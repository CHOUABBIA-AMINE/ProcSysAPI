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ev Framework\Workspace\Backend\HyFloAPI\src\main\resources\data\"/>
    </mc:Choice>
  </mc:AlternateContent>
  <bookViews>
    <workbookView xWindow="-105" yWindow="-105" windowWidth="19425" windowHeight="10425" tabRatio="783" activeTab="10"/>
  </bookViews>
  <sheets>
    <sheet name="02-03-01" sheetId="1" r:id="rId1"/>
    <sheet name="02-03-08" sheetId="2" r:id="rId2"/>
    <sheet name="02-03-09" sheetId="3" r:id="rId3"/>
    <sheet name="02-03-PS" sheetId="5" r:id="rId4"/>
    <sheet name="02-03-PC" sheetId="8" r:id="rId5"/>
    <sheet name="02-03-PPR" sheetId="10" r:id="rId6"/>
    <sheet name="02-03-PI" sheetId="7" r:id="rId7"/>
    <sheet name="02-03-PP" sheetId="9" r:id="rId8"/>
    <sheet name="02-03-PRVD" sheetId="11" r:id="rId9"/>
    <sheet name="02-03-10" sheetId="13" r:id="rId10"/>
    <sheet name="Feuil1" sheetId="6" r:id="rId11"/>
    <sheet name="Stations" sheetId="15" r:id="rId12"/>
  </sheets>
  <definedNames>
    <definedName name="_xlnm._FilterDatabase" localSheetId="0" hidden="1">'02-03-01'!$A$2:$H$179</definedName>
    <definedName name="_xlnm._FilterDatabase" localSheetId="1" hidden="1">'02-03-08'!$A$1:$AC$59</definedName>
    <definedName name="_xlnm._FilterDatabase" localSheetId="2" hidden="1">'02-03-09'!$A$1:$Z$82</definedName>
    <definedName name="_xlnm._FilterDatabase" localSheetId="9" hidden="1">'02-03-10'!$A$2:$N$905</definedName>
    <definedName name="_xlnm._FilterDatabase" localSheetId="4" hidden="1">'02-03-PC'!$A$2:$N$237</definedName>
    <definedName name="_xlnm._FilterDatabase" localSheetId="6" hidden="1">'02-03-PI'!$A$1:$AZ$236</definedName>
    <definedName name="_xlnm._FilterDatabase" localSheetId="7" hidden="1">'02-03-PP'!$A$1:$AZ$235</definedName>
    <definedName name="_xlnm._FilterDatabase" localSheetId="5" hidden="1">'02-03-PPR'!$A$2:$N$237</definedName>
    <definedName name="_xlnm._FilterDatabase" localSheetId="8" hidden="1">'02-03-PRVD'!$A$1:$AZ$37</definedName>
    <definedName name="_xlnm._FilterDatabase" localSheetId="3" hidden="1">'02-03-PS'!$A$2:$N$836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5" l="1"/>
  <c r="C25" i="15"/>
  <c r="D25" i="15"/>
  <c r="E25" i="15"/>
  <c r="F25" i="15"/>
  <c r="G25" i="15"/>
  <c r="H25" i="15"/>
  <c r="I25" i="15"/>
  <c r="J25" i="15"/>
  <c r="K27" i="15" l="1"/>
  <c r="K26" i="15"/>
  <c r="K25" i="15"/>
  <c r="I50" i="1"/>
  <c r="I48" i="1"/>
  <c r="I46" i="1"/>
  <c r="I44" i="1"/>
  <c r="I42" i="1"/>
  <c r="I40" i="1"/>
  <c r="N125" i="8" l="1"/>
  <c r="N126" i="8"/>
  <c r="N127" i="8"/>
  <c r="N128" i="8"/>
  <c r="N129" i="8"/>
  <c r="N130" i="8"/>
  <c r="N131" i="8"/>
  <c r="N132" i="8"/>
  <c r="N133" i="8"/>
  <c r="N134" i="8"/>
  <c r="N135" i="8"/>
  <c r="B135" i="8"/>
  <c r="C135" i="8"/>
  <c r="B134" i="8"/>
  <c r="C134" i="8"/>
  <c r="B133" i="8"/>
  <c r="C133" i="8"/>
  <c r="B132" i="8"/>
  <c r="C132" i="8"/>
  <c r="B131" i="8"/>
  <c r="C131" i="8"/>
  <c r="K133" i="8"/>
  <c r="L133" i="8"/>
  <c r="K134" i="8"/>
  <c r="L134" i="8"/>
  <c r="K135" i="8"/>
  <c r="L135" i="8"/>
  <c r="K131" i="8"/>
  <c r="L131" i="8"/>
  <c r="K132" i="8"/>
  <c r="L132" i="8"/>
  <c r="B130" i="8"/>
  <c r="C130" i="8"/>
  <c r="B129" i="8"/>
  <c r="C129" i="8"/>
  <c r="B128" i="8"/>
  <c r="C128" i="8"/>
  <c r="B127" i="8"/>
  <c r="C127" i="8"/>
  <c r="B126" i="8"/>
  <c r="C126" i="8"/>
  <c r="B125" i="8"/>
  <c r="C125" i="8"/>
  <c r="K125" i="8"/>
  <c r="L125" i="8"/>
  <c r="K126" i="8"/>
  <c r="L126" i="8"/>
  <c r="K127" i="8"/>
  <c r="L127" i="8"/>
  <c r="K128" i="8"/>
  <c r="L128" i="8"/>
  <c r="K129" i="8"/>
  <c r="L129" i="8"/>
  <c r="K130" i="8"/>
  <c r="L130" i="8"/>
  <c r="B124" i="8"/>
  <c r="C124" i="8"/>
  <c r="B123" i="8"/>
  <c r="C123" i="8"/>
  <c r="B122" i="8"/>
  <c r="C122" i="8"/>
  <c r="B121" i="8"/>
  <c r="C121" i="8"/>
  <c r="K121" i="8"/>
  <c r="L121" i="8"/>
  <c r="K122" i="8"/>
  <c r="L122" i="8"/>
  <c r="K123" i="8"/>
  <c r="L123" i="8"/>
  <c r="K124" i="8"/>
  <c r="L124" i="8"/>
  <c r="B120" i="8"/>
  <c r="C120" i="8"/>
  <c r="B119" i="8"/>
  <c r="C119" i="8"/>
  <c r="B118" i="8"/>
  <c r="C118" i="8"/>
  <c r="K118" i="8"/>
  <c r="L118" i="8"/>
  <c r="K119" i="8"/>
  <c r="L119" i="8"/>
  <c r="K120" i="8"/>
  <c r="L120" i="8"/>
  <c r="B117" i="8"/>
  <c r="C117" i="8"/>
  <c r="B116" i="8"/>
  <c r="C116" i="8"/>
  <c r="B115" i="8"/>
  <c r="C115" i="8"/>
  <c r="K116" i="8"/>
  <c r="L116" i="8"/>
  <c r="K117" i="8"/>
  <c r="L117" i="8"/>
  <c r="L115" i="8"/>
  <c r="K115" i="8"/>
  <c r="B114" i="8"/>
  <c r="C114" i="8"/>
  <c r="B113" i="8"/>
  <c r="C113" i="8"/>
  <c r="L114" i="8"/>
  <c r="L113" i="8"/>
  <c r="B112" i="8"/>
  <c r="C112" i="8"/>
  <c r="B111" i="8"/>
  <c r="C111" i="8"/>
  <c r="K112" i="8"/>
  <c r="L112" i="8"/>
  <c r="K111" i="8"/>
  <c r="L111" i="8"/>
  <c r="B110" i="8"/>
  <c r="C110" i="8"/>
  <c r="K110" i="8"/>
  <c r="L110" i="8"/>
  <c r="B109" i="8"/>
  <c r="C109" i="8"/>
  <c r="B108" i="8"/>
  <c r="C108" i="8"/>
  <c r="B107" i="8"/>
  <c r="C107" i="8"/>
  <c r="B106" i="8"/>
  <c r="C106" i="8"/>
  <c r="B105" i="8"/>
  <c r="C105" i="8"/>
  <c r="K105" i="8"/>
  <c r="L105" i="8"/>
  <c r="K106" i="8"/>
  <c r="L106" i="8"/>
  <c r="K107" i="8"/>
  <c r="L107" i="8"/>
  <c r="K108" i="8"/>
  <c r="L108" i="8"/>
  <c r="K109" i="8"/>
  <c r="L109" i="8"/>
  <c r="B808" i="5"/>
  <c r="C808" i="5"/>
  <c r="B809" i="5"/>
  <c r="N809" i="5" s="1"/>
  <c r="C809" i="5"/>
  <c r="B810" i="5"/>
  <c r="C810" i="5"/>
  <c r="B811" i="5"/>
  <c r="C811" i="5"/>
  <c r="N811" i="5" s="1"/>
  <c r="B812" i="5"/>
  <c r="N812" i="5" s="1"/>
  <c r="C812" i="5"/>
  <c r="B813" i="5"/>
  <c r="N813" i="5" s="1"/>
  <c r="C813" i="5"/>
  <c r="B814" i="5"/>
  <c r="C814" i="5"/>
  <c r="B815" i="5"/>
  <c r="C815" i="5"/>
  <c r="B807" i="5"/>
  <c r="N807" i="5" s="1"/>
  <c r="C807" i="5"/>
  <c r="N808" i="5"/>
  <c r="N810" i="5"/>
  <c r="N814" i="5"/>
  <c r="N815" i="5"/>
  <c r="K808" i="5"/>
  <c r="L808" i="5"/>
  <c r="K809" i="5"/>
  <c r="L809" i="5"/>
  <c r="K810" i="5"/>
  <c r="L810" i="5"/>
  <c r="K811" i="5"/>
  <c r="L811" i="5"/>
  <c r="K812" i="5"/>
  <c r="L812" i="5"/>
  <c r="K813" i="5"/>
  <c r="L813" i="5"/>
  <c r="K814" i="5"/>
  <c r="L814" i="5"/>
  <c r="K815" i="5"/>
  <c r="L815" i="5"/>
  <c r="L807" i="5"/>
  <c r="K807" i="5"/>
  <c r="B104" i="8" l="1"/>
  <c r="C104" i="8"/>
  <c r="B103" i="8"/>
  <c r="C103" i="8"/>
  <c r="B102" i="8"/>
  <c r="C102" i="8"/>
  <c r="K102" i="8"/>
  <c r="L102" i="8"/>
  <c r="K103" i="8"/>
  <c r="L103" i="8"/>
  <c r="K104" i="8"/>
  <c r="L104" i="8"/>
  <c r="B97" i="8"/>
  <c r="C97" i="8"/>
  <c r="B98" i="8"/>
  <c r="C98" i="8"/>
  <c r="B99" i="8"/>
  <c r="C99" i="8"/>
  <c r="B100" i="8"/>
  <c r="C100" i="8"/>
  <c r="B101" i="8"/>
  <c r="C101" i="8"/>
  <c r="B96" i="8"/>
  <c r="C96" i="8"/>
  <c r="B91" i="8"/>
  <c r="C91" i="8"/>
  <c r="B92" i="8"/>
  <c r="C92" i="8"/>
  <c r="B93" i="8"/>
  <c r="C93" i="8"/>
  <c r="B94" i="8"/>
  <c r="C94" i="8"/>
  <c r="B95" i="8"/>
  <c r="C95" i="8"/>
  <c r="B90" i="8"/>
  <c r="C90" i="8"/>
  <c r="K96" i="8"/>
  <c r="L96" i="8"/>
  <c r="K97" i="8"/>
  <c r="L97" i="8"/>
  <c r="K98" i="8"/>
  <c r="L98" i="8"/>
  <c r="K99" i="8"/>
  <c r="L99" i="8"/>
  <c r="K100" i="8"/>
  <c r="L100" i="8"/>
  <c r="K101" i="8"/>
  <c r="L101" i="8"/>
  <c r="K90" i="8"/>
  <c r="L90" i="8"/>
  <c r="K91" i="8"/>
  <c r="L91" i="8"/>
  <c r="K92" i="8"/>
  <c r="L92" i="8"/>
  <c r="K93" i="8"/>
  <c r="L93" i="8"/>
  <c r="K94" i="8"/>
  <c r="L94" i="8"/>
  <c r="K95" i="8"/>
  <c r="L95" i="8"/>
  <c r="B87" i="8"/>
  <c r="C87" i="8"/>
  <c r="B88" i="8"/>
  <c r="C88" i="8"/>
  <c r="B89" i="8"/>
  <c r="C89" i="8"/>
  <c r="B86" i="8"/>
  <c r="C86" i="8"/>
  <c r="B85" i="8"/>
  <c r="C85" i="8"/>
  <c r="K85" i="8"/>
  <c r="L85" i="8"/>
  <c r="K86" i="8"/>
  <c r="L86" i="8"/>
  <c r="K87" i="8"/>
  <c r="L87" i="8"/>
  <c r="K88" i="8"/>
  <c r="L88" i="8"/>
  <c r="K89" i="8"/>
  <c r="L89" i="8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B163" i="10"/>
  <c r="C163" i="10"/>
  <c r="B164" i="10"/>
  <c r="C164" i="10"/>
  <c r="B165" i="10"/>
  <c r="C165" i="10"/>
  <c r="B166" i="10"/>
  <c r="C166" i="10"/>
  <c r="B162" i="10"/>
  <c r="C162" i="10"/>
  <c r="B161" i="10"/>
  <c r="C161" i="10"/>
  <c r="B160" i="10"/>
  <c r="C160" i="10"/>
  <c r="K160" i="10"/>
  <c r="L160" i="10"/>
  <c r="K161" i="10"/>
  <c r="L161" i="10"/>
  <c r="K162" i="10"/>
  <c r="L162" i="10"/>
  <c r="K163" i="10"/>
  <c r="L163" i="10"/>
  <c r="K164" i="10"/>
  <c r="L164" i="10"/>
  <c r="K165" i="10"/>
  <c r="L165" i="10"/>
  <c r="K166" i="10"/>
  <c r="L166" i="10"/>
  <c r="K109" i="10"/>
  <c r="L109" i="10"/>
  <c r="K110" i="10"/>
  <c r="L110" i="10"/>
  <c r="K111" i="10"/>
  <c r="L111" i="10"/>
  <c r="K112" i="10"/>
  <c r="L112" i="10"/>
  <c r="K113" i="10"/>
  <c r="L113" i="10"/>
  <c r="K114" i="10"/>
  <c r="L114" i="10"/>
  <c r="K115" i="10"/>
  <c r="L115" i="10"/>
  <c r="K116" i="10"/>
  <c r="L116" i="10"/>
  <c r="K117" i="10"/>
  <c r="L117" i="10"/>
  <c r="K118" i="10"/>
  <c r="L118" i="10"/>
  <c r="K119" i="10"/>
  <c r="L119" i="10"/>
  <c r="K120" i="10"/>
  <c r="L120" i="10"/>
  <c r="K121" i="10"/>
  <c r="L121" i="10"/>
  <c r="K122" i="10"/>
  <c r="L122" i="10"/>
  <c r="K123" i="10"/>
  <c r="L123" i="10"/>
  <c r="K124" i="10"/>
  <c r="L124" i="10"/>
  <c r="K125" i="10"/>
  <c r="L125" i="10"/>
  <c r="K126" i="10"/>
  <c r="L126" i="10"/>
  <c r="K127" i="10"/>
  <c r="L127" i="10"/>
  <c r="K128" i="10"/>
  <c r="L128" i="10"/>
  <c r="K129" i="10"/>
  <c r="L129" i="10"/>
  <c r="K130" i="10"/>
  <c r="L130" i="10"/>
  <c r="K131" i="10"/>
  <c r="L131" i="10"/>
  <c r="K132" i="10"/>
  <c r="L132" i="10"/>
  <c r="K133" i="10"/>
  <c r="L133" i="10"/>
  <c r="K134" i="10"/>
  <c r="L134" i="10"/>
  <c r="K135" i="10"/>
  <c r="L135" i="10"/>
  <c r="K136" i="10"/>
  <c r="L136" i="10"/>
  <c r="K137" i="10"/>
  <c r="L137" i="10"/>
  <c r="K138" i="10"/>
  <c r="L138" i="10"/>
  <c r="K139" i="10"/>
  <c r="L139" i="10"/>
  <c r="K140" i="10"/>
  <c r="L140" i="10"/>
  <c r="K141" i="10"/>
  <c r="L141" i="10"/>
  <c r="K142" i="10"/>
  <c r="L142" i="10"/>
  <c r="K143" i="10"/>
  <c r="L143" i="10"/>
  <c r="K144" i="10"/>
  <c r="L144" i="10"/>
  <c r="K145" i="10"/>
  <c r="L145" i="10"/>
  <c r="K146" i="10"/>
  <c r="L146" i="10"/>
  <c r="K147" i="10"/>
  <c r="L147" i="10"/>
  <c r="K148" i="10"/>
  <c r="L148" i="10"/>
  <c r="K149" i="10"/>
  <c r="L149" i="10"/>
  <c r="K150" i="10"/>
  <c r="L150" i="10"/>
  <c r="K151" i="10"/>
  <c r="L151" i="10"/>
  <c r="K152" i="10"/>
  <c r="L152" i="10"/>
  <c r="K153" i="10"/>
  <c r="L153" i="10"/>
  <c r="K154" i="10"/>
  <c r="L154" i="10"/>
  <c r="K155" i="10"/>
  <c r="L155" i="10"/>
  <c r="K156" i="10"/>
  <c r="L156" i="10"/>
  <c r="K157" i="10"/>
  <c r="L157" i="10"/>
  <c r="K158" i="10"/>
  <c r="L158" i="10"/>
  <c r="K159" i="10"/>
  <c r="L159" i="10"/>
  <c r="B84" i="8"/>
  <c r="C84" i="8"/>
  <c r="B83" i="8"/>
  <c r="C83" i="8"/>
  <c r="B82" i="8"/>
  <c r="C82" i="8"/>
  <c r="B81" i="8"/>
  <c r="C81" i="8"/>
  <c r="B80" i="8"/>
  <c r="C80" i="8"/>
  <c r="K80" i="8"/>
  <c r="L80" i="8"/>
  <c r="K81" i="8"/>
  <c r="L81" i="8"/>
  <c r="K82" i="8"/>
  <c r="L82" i="8"/>
  <c r="K83" i="8"/>
  <c r="L83" i="8"/>
  <c r="K84" i="8"/>
  <c r="L84" i="8"/>
  <c r="B79" i="8"/>
  <c r="C79" i="8"/>
  <c r="B78" i="8"/>
  <c r="N78" i="8" s="1"/>
  <c r="C78" i="8"/>
  <c r="B77" i="8"/>
  <c r="N77" i="8" s="1"/>
  <c r="C77" i="8"/>
  <c r="B76" i="8"/>
  <c r="C76" i="8"/>
  <c r="B75" i="8"/>
  <c r="C75" i="8"/>
  <c r="K75" i="8"/>
  <c r="L75" i="8"/>
  <c r="K76" i="8"/>
  <c r="L76" i="8"/>
  <c r="K77" i="8"/>
  <c r="L77" i="8"/>
  <c r="K78" i="8"/>
  <c r="L78" i="8"/>
  <c r="K79" i="8"/>
  <c r="L79" i="8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B152" i="10"/>
  <c r="C152" i="10"/>
  <c r="B153" i="10"/>
  <c r="C153" i="10"/>
  <c r="B154" i="10"/>
  <c r="C154" i="10"/>
  <c r="B155" i="10"/>
  <c r="C155" i="10"/>
  <c r="B156" i="10"/>
  <c r="C156" i="10"/>
  <c r="B157" i="10"/>
  <c r="C157" i="10"/>
  <c r="B158" i="10"/>
  <c r="C158" i="10"/>
  <c r="B159" i="10"/>
  <c r="C159" i="10"/>
  <c r="B123" i="10"/>
  <c r="C123" i="10"/>
  <c r="B122" i="10"/>
  <c r="C122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13" i="10"/>
  <c r="C113" i="10"/>
  <c r="B112" i="10"/>
  <c r="C112" i="10"/>
  <c r="B111" i="10"/>
  <c r="C111" i="10"/>
  <c r="B110" i="10"/>
  <c r="C110" i="10"/>
  <c r="B109" i="10"/>
  <c r="C109" i="10"/>
  <c r="K71" i="8"/>
  <c r="L71" i="8"/>
  <c r="K72" i="8"/>
  <c r="L72" i="8"/>
  <c r="K73" i="8"/>
  <c r="L73" i="8"/>
  <c r="K74" i="8"/>
  <c r="L74" i="8"/>
  <c r="B74" i="8"/>
  <c r="C74" i="8"/>
  <c r="B73" i="8"/>
  <c r="C73" i="8"/>
  <c r="B72" i="8"/>
  <c r="N72" i="8" s="1"/>
  <c r="C72" i="8"/>
  <c r="B71" i="8"/>
  <c r="N71" i="8" s="1"/>
  <c r="C71" i="8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92" i="10"/>
  <c r="C92" i="10"/>
  <c r="B91" i="10"/>
  <c r="C91" i="10"/>
  <c r="K92" i="10"/>
  <c r="L92" i="10"/>
  <c r="K93" i="10"/>
  <c r="L93" i="10"/>
  <c r="K94" i="10"/>
  <c r="L94" i="10"/>
  <c r="K95" i="10"/>
  <c r="L95" i="10"/>
  <c r="K96" i="10"/>
  <c r="L96" i="10"/>
  <c r="K97" i="10"/>
  <c r="L97" i="10"/>
  <c r="K98" i="10"/>
  <c r="L98" i="10"/>
  <c r="K99" i="10"/>
  <c r="L99" i="10"/>
  <c r="K100" i="10"/>
  <c r="L100" i="10"/>
  <c r="K101" i="10"/>
  <c r="L101" i="10"/>
  <c r="K102" i="10"/>
  <c r="L102" i="10"/>
  <c r="K103" i="10"/>
  <c r="L103" i="10"/>
  <c r="K104" i="10"/>
  <c r="L104" i="10"/>
  <c r="K105" i="10"/>
  <c r="L105" i="10"/>
  <c r="K106" i="10"/>
  <c r="L106" i="10"/>
  <c r="K107" i="10"/>
  <c r="L107" i="10"/>
  <c r="K108" i="10"/>
  <c r="L108" i="10"/>
  <c r="L91" i="10"/>
  <c r="K91" i="10"/>
  <c r="B90" i="10"/>
  <c r="C90" i="10"/>
  <c r="B89" i="10"/>
  <c r="C89" i="10"/>
  <c r="L89" i="10"/>
  <c r="L90" i="10"/>
  <c r="B797" i="5"/>
  <c r="C797" i="5"/>
  <c r="B798" i="5"/>
  <c r="C798" i="5"/>
  <c r="B799" i="5"/>
  <c r="C799" i="5"/>
  <c r="B800" i="5"/>
  <c r="C800" i="5"/>
  <c r="B801" i="5"/>
  <c r="C801" i="5"/>
  <c r="B802" i="5"/>
  <c r="C802" i="5"/>
  <c r="B803" i="5"/>
  <c r="C803" i="5"/>
  <c r="B804" i="5"/>
  <c r="C804" i="5"/>
  <c r="B805" i="5"/>
  <c r="C805" i="5"/>
  <c r="B806" i="5"/>
  <c r="C806" i="5"/>
  <c r="B796" i="5"/>
  <c r="C796" i="5"/>
  <c r="B795" i="5"/>
  <c r="C795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B769" i="5"/>
  <c r="C769" i="5"/>
  <c r="B770" i="5"/>
  <c r="C770" i="5"/>
  <c r="B771" i="5"/>
  <c r="C771" i="5"/>
  <c r="B772" i="5"/>
  <c r="C772" i="5"/>
  <c r="B773" i="5"/>
  <c r="C773" i="5"/>
  <c r="B774" i="5"/>
  <c r="C774" i="5"/>
  <c r="B775" i="5"/>
  <c r="C775" i="5"/>
  <c r="B776" i="5"/>
  <c r="C776" i="5"/>
  <c r="B777" i="5"/>
  <c r="C777" i="5"/>
  <c r="B778" i="5"/>
  <c r="C778" i="5"/>
  <c r="B779" i="5"/>
  <c r="C779" i="5"/>
  <c r="B780" i="5"/>
  <c r="C780" i="5"/>
  <c r="B781" i="5"/>
  <c r="C781" i="5"/>
  <c r="B782" i="5"/>
  <c r="C782" i="5"/>
  <c r="B783" i="5"/>
  <c r="C783" i="5"/>
  <c r="B784" i="5"/>
  <c r="C784" i="5"/>
  <c r="B785" i="5"/>
  <c r="C785" i="5"/>
  <c r="B786" i="5"/>
  <c r="C786" i="5"/>
  <c r="B787" i="5"/>
  <c r="C787" i="5"/>
  <c r="B788" i="5"/>
  <c r="C788" i="5"/>
  <c r="B789" i="5"/>
  <c r="C789" i="5"/>
  <c r="B790" i="5"/>
  <c r="C790" i="5"/>
  <c r="B791" i="5"/>
  <c r="C791" i="5"/>
  <c r="B792" i="5"/>
  <c r="C792" i="5"/>
  <c r="B793" i="5"/>
  <c r="C793" i="5"/>
  <c r="B794" i="5"/>
  <c r="C794" i="5"/>
  <c r="B768" i="5"/>
  <c r="C768" i="5"/>
  <c r="B767" i="5"/>
  <c r="C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67" i="5"/>
  <c r="B70" i="8"/>
  <c r="C70" i="8"/>
  <c r="B69" i="8"/>
  <c r="N69" i="8" s="1"/>
  <c r="C69" i="8"/>
  <c r="K69" i="8"/>
  <c r="L69" i="8"/>
  <c r="K70" i="8"/>
  <c r="L70" i="8"/>
  <c r="B64" i="8"/>
  <c r="C64" i="8"/>
  <c r="B65" i="8"/>
  <c r="C65" i="8"/>
  <c r="B66" i="8"/>
  <c r="C66" i="8"/>
  <c r="B67" i="8"/>
  <c r="N67" i="8" s="1"/>
  <c r="C67" i="8"/>
  <c r="B68" i="8"/>
  <c r="N68" i="8" s="1"/>
  <c r="C68" i="8"/>
  <c r="B63" i="8"/>
  <c r="C63" i="8"/>
  <c r="B62" i="8"/>
  <c r="C62" i="8"/>
  <c r="K63" i="8"/>
  <c r="L63" i="8"/>
  <c r="K64" i="8"/>
  <c r="L64" i="8"/>
  <c r="K65" i="8"/>
  <c r="L65" i="8"/>
  <c r="K66" i="8"/>
  <c r="L66" i="8"/>
  <c r="K67" i="8"/>
  <c r="L67" i="8"/>
  <c r="K68" i="8"/>
  <c r="L68" i="8"/>
  <c r="L62" i="8"/>
  <c r="K62" i="8"/>
  <c r="L57" i="8"/>
  <c r="L58" i="8"/>
  <c r="L59" i="8"/>
  <c r="L60" i="8"/>
  <c r="L61" i="8"/>
  <c r="L56" i="8"/>
  <c r="B88" i="10"/>
  <c r="C88" i="10"/>
  <c r="B87" i="10"/>
  <c r="C87" i="10"/>
  <c r="B86" i="10"/>
  <c r="C86" i="10"/>
  <c r="B85" i="10"/>
  <c r="C85" i="10"/>
  <c r="B84" i="10"/>
  <c r="C84" i="10"/>
  <c r="B83" i="10"/>
  <c r="C83" i="10"/>
  <c r="B82" i="10"/>
  <c r="C82" i="10"/>
  <c r="B81" i="10"/>
  <c r="C81" i="10"/>
  <c r="L82" i="10"/>
  <c r="L83" i="10"/>
  <c r="L84" i="10"/>
  <c r="L85" i="10"/>
  <c r="L86" i="10"/>
  <c r="L87" i="10"/>
  <c r="L88" i="10"/>
  <c r="L81" i="10"/>
  <c r="K46" i="10"/>
  <c r="L46" i="10"/>
  <c r="K47" i="10"/>
  <c r="L47" i="10"/>
  <c r="K48" i="10"/>
  <c r="L48" i="10"/>
  <c r="K49" i="10"/>
  <c r="L49" i="10"/>
  <c r="K50" i="10"/>
  <c r="L50" i="10"/>
  <c r="K51" i="10"/>
  <c r="L51" i="10"/>
  <c r="K52" i="10"/>
  <c r="L52" i="10"/>
  <c r="K53" i="10"/>
  <c r="L53" i="10"/>
  <c r="K54" i="10"/>
  <c r="L54" i="10"/>
  <c r="K55" i="10"/>
  <c r="L55" i="10"/>
  <c r="K56" i="10"/>
  <c r="L56" i="10"/>
  <c r="K57" i="10"/>
  <c r="L57" i="10"/>
  <c r="K58" i="10"/>
  <c r="L58" i="10"/>
  <c r="K59" i="10"/>
  <c r="L59" i="10"/>
  <c r="K60" i="10"/>
  <c r="L60" i="10"/>
  <c r="K61" i="10"/>
  <c r="L61" i="10"/>
  <c r="K62" i="10"/>
  <c r="L62" i="10"/>
  <c r="K63" i="10"/>
  <c r="L63" i="10"/>
  <c r="K64" i="10"/>
  <c r="L64" i="10"/>
  <c r="K65" i="10"/>
  <c r="L65" i="10"/>
  <c r="K66" i="10"/>
  <c r="L66" i="10"/>
  <c r="K67" i="10"/>
  <c r="L67" i="10"/>
  <c r="K68" i="10"/>
  <c r="L68" i="10"/>
  <c r="K69" i="10"/>
  <c r="L69" i="10"/>
  <c r="K70" i="10"/>
  <c r="L70" i="10"/>
  <c r="K71" i="10"/>
  <c r="L71" i="10"/>
  <c r="K72" i="10"/>
  <c r="L72" i="10"/>
  <c r="K73" i="10"/>
  <c r="L73" i="10"/>
  <c r="K74" i="10"/>
  <c r="L74" i="10"/>
  <c r="K75" i="10"/>
  <c r="L75" i="10"/>
  <c r="K76" i="10"/>
  <c r="L76" i="10"/>
  <c r="K77" i="10"/>
  <c r="L77" i="10"/>
  <c r="K78" i="10"/>
  <c r="L78" i="10"/>
  <c r="K79" i="10"/>
  <c r="L79" i="10"/>
  <c r="K80" i="10"/>
  <c r="L80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66" i="10"/>
  <c r="C66" i="10"/>
  <c r="B65" i="10"/>
  <c r="C65" i="10"/>
  <c r="B745" i="5"/>
  <c r="C745" i="5"/>
  <c r="B746" i="5"/>
  <c r="C746" i="5"/>
  <c r="B747" i="5"/>
  <c r="C747" i="5"/>
  <c r="B748" i="5"/>
  <c r="C748" i="5"/>
  <c r="B749" i="5"/>
  <c r="C749" i="5"/>
  <c r="B750" i="5"/>
  <c r="C750" i="5"/>
  <c r="B751" i="5"/>
  <c r="C751" i="5"/>
  <c r="B752" i="5"/>
  <c r="C752" i="5"/>
  <c r="B753" i="5"/>
  <c r="C753" i="5"/>
  <c r="B754" i="5"/>
  <c r="C754" i="5"/>
  <c r="B755" i="5"/>
  <c r="C755" i="5"/>
  <c r="B756" i="5"/>
  <c r="C756" i="5"/>
  <c r="B757" i="5"/>
  <c r="C757" i="5"/>
  <c r="B758" i="5"/>
  <c r="C758" i="5"/>
  <c r="B759" i="5"/>
  <c r="C759" i="5"/>
  <c r="B760" i="5"/>
  <c r="C760" i="5"/>
  <c r="B761" i="5"/>
  <c r="C761" i="5"/>
  <c r="B762" i="5"/>
  <c r="C762" i="5"/>
  <c r="B763" i="5"/>
  <c r="C763" i="5"/>
  <c r="B764" i="5"/>
  <c r="C764" i="5"/>
  <c r="B765" i="5"/>
  <c r="C765" i="5"/>
  <c r="B766" i="5"/>
  <c r="C766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B725" i="5"/>
  <c r="C725" i="5"/>
  <c r="B726" i="5"/>
  <c r="C726" i="5"/>
  <c r="B727" i="5"/>
  <c r="C727" i="5"/>
  <c r="B728" i="5"/>
  <c r="C728" i="5"/>
  <c r="B729" i="5"/>
  <c r="C729" i="5"/>
  <c r="B730" i="5"/>
  <c r="C730" i="5"/>
  <c r="B731" i="5"/>
  <c r="C731" i="5"/>
  <c r="B732" i="5"/>
  <c r="C732" i="5"/>
  <c r="B733" i="5"/>
  <c r="C733" i="5"/>
  <c r="B734" i="5"/>
  <c r="C734" i="5"/>
  <c r="B735" i="5"/>
  <c r="C735" i="5"/>
  <c r="B736" i="5"/>
  <c r="C736" i="5"/>
  <c r="B737" i="5"/>
  <c r="C737" i="5"/>
  <c r="B738" i="5"/>
  <c r="C738" i="5"/>
  <c r="B739" i="5"/>
  <c r="C739" i="5"/>
  <c r="B740" i="5"/>
  <c r="C740" i="5"/>
  <c r="B741" i="5"/>
  <c r="C741" i="5"/>
  <c r="B742" i="5"/>
  <c r="C742" i="5"/>
  <c r="B743" i="5"/>
  <c r="C743" i="5"/>
  <c r="B744" i="5"/>
  <c r="C744" i="5"/>
  <c r="B724" i="5"/>
  <c r="C724" i="5"/>
  <c r="B723" i="5"/>
  <c r="C723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22" i="5"/>
  <c r="C722" i="5"/>
  <c r="B722" i="5"/>
  <c r="N722" i="5" s="1"/>
  <c r="L721" i="5"/>
  <c r="C721" i="5"/>
  <c r="B721" i="5"/>
  <c r="L720" i="5"/>
  <c r="C720" i="5"/>
  <c r="B720" i="5"/>
  <c r="L719" i="5"/>
  <c r="C719" i="5"/>
  <c r="B719" i="5"/>
  <c r="L718" i="5"/>
  <c r="C718" i="5"/>
  <c r="B718" i="5"/>
  <c r="N718" i="5" s="1"/>
  <c r="L717" i="5"/>
  <c r="C717" i="5"/>
  <c r="B717" i="5"/>
  <c r="L716" i="5"/>
  <c r="C716" i="5"/>
  <c r="B716" i="5"/>
  <c r="L715" i="5"/>
  <c r="C715" i="5"/>
  <c r="B715" i="5"/>
  <c r="L714" i="5"/>
  <c r="C714" i="5"/>
  <c r="B714" i="5"/>
  <c r="N714" i="5" s="1"/>
  <c r="L713" i="5"/>
  <c r="C713" i="5"/>
  <c r="B713" i="5"/>
  <c r="L712" i="5"/>
  <c r="C712" i="5"/>
  <c r="B712" i="5"/>
  <c r="L711" i="5"/>
  <c r="C711" i="5"/>
  <c r="B711" i="5"/>
  <c r="L710" i="5"/>
  <c r="C710" i="5"/>
  <c r="B710" i="5"/>
  <c r="N710" i="5" s="1"/>
  <c r="L709" i="5"/>
  <c r="C709" i="5"/>
  <c r="B709" i="5"/>
  <c r="L708" i="5"/>
  <c r="C708" i="5"/>
  <c r="B708" i="5"/>
  <c r="L707" i="5"/>
  <c r="C707" i="5"/>
  <c r="B707" i="5"/>
  <c r="L706" i="5"/>
  <c r="C706" i="5"/>
  <c r="B706" i="5"/>
  <c r="N706" i="5" s="1"/>
  <c r="L705" i="5"/>
  <c r="C705" i="5"/>
  <c r="B705" i="5"/>
  <c r="L704" i="5"/>
  <c r="C704" i="5"/>
  <c r="B704" i="5"/>
  <c r="L703" i="5"/>
  <c r="C703" i="5"/>
  <c r="B703" i="5"/>
  <c r="L702" i="5"/>
  <c r="C702" i="5"/>
  <c r="B702" i="5"/>
  <c r="N702" i="5" s="1"/>
  <c r="L701" i="5"/>
  <c r="C701" i="5"/>
  <c r="B701" i="5"/>
  <c r="L700" i="5"/>
  <c r="C700" i="5"/>
  <c r="B700" i="5"/>
  <c r="L699" i="5"/>
  <c r="C699" i="5"/>
  <c r="B699" i="5"/>
  <c r="L698" i="5"/>
  <c r="C698" i="5"/>
  <c r="B698" i="5"/>
  <c r="N698" i="5" s="1"/>
  <c r="L697" i="5"/>
  <c r="C697" i="5"/>
  <c r="B697" i="5"/>
  <c r="L696" i="5"/>
  <c r="C696" i="5"/>
  <c r="B696" i="5"/>
  <c r="L695" i="5"/>
  <c r="C695" i="5"/>
  <c r="B695" i="5"/>
  <c r="L694" i="5"/>
  <c r="C694" i="5"/>
  <c r="B694" i="5"/>
  <c r="N694" i="5" s="1"/>
  <c r="L693" i="5"/>
  <c r="C693" i="5"/>
  <c r="B693" i="5"/>
  <c r="L692" i="5"/>
  <c r="C692" i="5"/>
  <c r="B692" i="5"/>
  <c r="L691" i="5"/>
  <c r="C691" i="5"/>
  <c r="B691" i="5"/>
  <c r="L690" i="5"/>
  <c r="C690" i="5"/>
  <c r="B690" i="5"/>
  <c r="N690" i="5" s="1"/>
  <c r="L689" i="5"/>
  <c r="C689" i="5"/>
  <c r="B689" i="5"/>
  <c r="L688" i="5"/>
  <c r="C688" i="5"/>
  <c r="B688" i="5"/>
  <c r="L687" i="5"/>
  <c r="C687" i="5"/>
  <c r="B687" i="5"/>
  <c r="L686" i="5"/>
  <c r="C686" i="5"/>
  <c r="B686" i="5"/>
  <c r="N686" i="5" s="1"/>
  <c r="L685" i="5"/>
  <c r="C685" i="5"/>
  <c r="B685" i="5"/>
  <c r="L684" i="5"/>
  <c r="C684" i="5"/>
  <c r="B684" i="5"/>
  <c r="L683" i="5"/>
  <c r="C683" i="5"/>
  <c r="B683" i="5"/>
  <c r="L682" i="5"/>
  <c r="C682" i="5"/>
  <c r="B682" i="5"/>
  <c r="N682" i="5" s="1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41" i="5"/>
  <c r="B642" i="5"/>
  <c r="C642" i="5"/>
  <c r="B643" i="5"/>
  <c r="C643" i="5"/>
  <c r="B644" i="5"/>
  <c r="C644" i="5"/>
  <c r="B645" i="5"/>
  <c r="C645" i="5"/>
  <c r="B646" i="5"/>
  <c r="C646" i="5"/>
  <c r="B647" i="5"/>
  <c r="C647" i="5"/>
  <c r="B648" i="5"/>
  <c r="C648" i="5"/>
  <c r="B649" i="5"/>
  <c r="C649" i="5"/>
  <c r="B650" i="5"/>
  <c r="C650" i="5"/>
  <c r="B651" i="5"/>
  <c r="C651" i="5"/>
  <c r="B652" i="5"/>
  <c r="C652" i="5"/>
  <c r="B653" i="5"/>
  <c r="C653" i="5"/>
  <c r="B654" i="5"/>
  <c r="C654" i="5"/>
  <c r="B655" i="5"/>
  <c r="C655" i="5"/>
  <c r="B656" i="5"/>
  <c r="C656" i="5"/>
  <c r="B657" i="5"/>
  <c r="C657" i="5"/>
  <c r="B658" i="5"/>
  <c r="C658" i="5"/>
  <c r="B659" i="5"/>
  <c r="C659" i="5"/>
  <c r="B660" i="5"/>
  <c r="C660" i="5"/>
  <c r="B661" i="5"/>
  <c r="C661" i="5"/>
  <c r="B662" i="5"/>
  <c r="C662" i="5"/>
  <c r="B663" i="5"/>
  <c r="C663" i="5"/>
  <c r="B664" i="5"/>
  <c r="C664" i="5"/>
  <c r="B665" i="5"/>
  <c r="C665" i="5"/>
  <c r="B666" i="5"/>
  <c r="C666" i="5"/>
  <c r="B667" i="5"/>
  <c r="C667" i="5"/>
  <c r="B668" i="5"/>
  <c r="C668" i="5"/>
  <c r="B669" i="5"/>
  <c r="C669" i="5"/>
  <c r="B670" i="5"/>
  <c r="C670" i="5"/>
  <c r="B671" i="5"/>
  <c r="C671" i="5"/>
  <c r="B672" i="5"/>
  <c r="C672" i="5"/>
  <c r="B673" i="5"/>
  <c r="C673" i="5"/>
  <c r="B674" i="5"/>
  <c r="C674" i="5"/>
  <c r="B675" i="5"/>
  <c r="C675" i="5"/>
  <c r="B676" i="5"/>
  <c r="C676" i="5"/>
  <c r="B677" i="5"/>
  <c r="C677" i="5"/>
  <c r="B678" i="5"/>
  <c r="C678" i="5"/>
  <c r="B679" i="5"/>
  <c r="C679" i="5"/>
  <c r="B680" i="5"/>
  <c r="C680" i="5"/>
  <c r="B681" i="5"/>
  <c r="C681" i="5"/>
  <c r="B641" i="5"/>
  <c r="C641" i="5"/>
  <c r="B57" i="8"/>
  <c r="C57" i="8"/>
  <c r="B58" i="8"/>
  <c r="C58" i="8"/>
  <c r="B59" i="8"/>
  <c r="C59" i="8"/>
  <c r="B60" i="8"/>
  <c r="C60" i="8"/>
  <c r="B61" i="8"/>
  <c r="C61" i="8"/>
  <c r="B56" i="8"/>
  <c r="C56" i="8"/>
  <c r="K50" i="8"/>
  <c r="L50" i="8"/>
  <c r="K51" i="8"/>
  <c r="L51" i="8"/>
  <c r="K52" i="8"/>
  <c r="L52" i="8"/>
  <c r="K53" i="8"/>
  <c r="L53" i="8"/>
  <c r="K54" i="8"/>
  <c r="L54" i="8"/>
  <c r="K55" i="8"/>
  <c r="L55" i="8"/>
  <c r="B51" i="8"/>
  <c r="C51" i="8"/>
  <c r="B52" i="8"/>
  <c r="C52" i="8"/>
  <c r="B53" i="8"/>
  <c r="C53" i="8"/>
  <c r="B54" i="8"/>
  <c r="C54" i="8"/>
  <c r="B55" i="8"/>
  <c r="C55" i="8"/>
  <c r="B50" i="8"/>
  <c r="C50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K30" i="8"/>
  <c r="L30" i="8"/>
  <c r="K31" i="8"/>
  <c r="L31" i="8"/>
  <c r="K32" i="8"/>
  <c r="L32" i="8"/>
  <c r="K33" i="8"/>
  <c r="L33" i="8"/>
  <c r="K34" i="8"/>
  <c r="L34" i="8"/>
  <c r="K35" i="8"/>
  <c r="L35" i="8"/>
  <c r="K36" i="8"/>
  <c r="L36" i="8"/>
  <c r="K37" i="8"/>
  <c r="L37" i="8"/>
  <c r="K38" i="8"/>
  <c r="L38" i="8"/>
  <c r="K39" i="8"/>
  <c r="L39" i="8"/>
  <c r="K40" i="8"/>
  <c r="L40" i="8"/>
  <c r="K41" i="8"/>
  <c r="L41" i="8"/>
  <c r="K42" i="8"/>
  <c r="L42" i="8"/>
  <c r="K43" i="8"/>
  <c r="L43" i="8"/>
  <c r="K44" i="8"/>
  <c r="L44" i="8"/>
  <c r="K45" i="8"/>
  <c r="L45" i="8"/>
  <c r="K46" i="8"/>
  <c r="L46" i="8"/>
  <c r="K47" i="8"/>
  <c r="L47" i="8"/>
  <c r="K48" i="8"/>
  <c r="L48" i="8"/>
  <c r="K49" i="8"/>
  <c r="L49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31" i="8"/>
  <c r="C31" i="8"/>
  <c r="B30" i="8"/>
  <c r="C30" i="8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47" i="10"/>
  <c r="C47" i="10"/>
  <c r="B46" i="10"/>
  <c r="C46" i="10"/>
  <c r="B624" i="5"/>
  <c r="C624" i="5"/>
  <c r="B625" i="5"/>
  <c r="C625" i="5"/>
  <c r="B626" i="5"/>
  <c r="C626" i="5"/>
  <c r="B627" i="5"/>
  <c r="C627" i="5"/>
  <c r="B628" i="5"/>
  <c r="C628" i="5"/>
  <c r="B629" i="5"/>
  <c r="C629" i="5"/>
  <c r="B630" i="5"/>
  <c r="C630" i="5"/>
  <c r="B631" i="5"/>
  <c r="C631" i="5"/>
  <c r="B632" i="5"/>
  <c r="C632" i="5"/>
  <c r="B633" i="5"/>
  <c r="C633" i="5"/>
  <c r="B634" i="5"/>
  <c r="C634" i="5"/>
  <c r="B635" i="5"/>
  <c r="C635" i="5"/>
  <c r="B636" i="5"/>
  <c r="C636" i="5"/>
  <c r="B637" i="5"/>
  <c r="C637" i="5"/>
  <c r="B638" i="5"/>
  <c r="C638" i="5"/>
  <c r="B639" i="5"/>
  <c r="C639" i="5"/>
  <c r="B640" i="5"/>
  <c r="C640" i="5"/>
  <c r="B623" i="5"/>
  <c r="C623" i="5"/>
  <c r="B610" i="5"/>
  <c r="C610" i="5"/>
  <c r="B611" i="5"/>
  <c r="C611" i="5"/>
  <c r="B612" i="5"/>
  <c r="C612" i="5"/>
  <c r="B613" i="5"/>
  <c r="C613" i="5"/>
  <c r="B614" i="5"/>
  <c r="C614" i="5"/>
  <c r="B615" i="5"/>
  <c r="C615" i="5"/>
  <c r="B616" i="5"/>
  <c r="C616" i="5"/>
  <c r="B617" i="5"/>
  <c r="C617" i="5"/>
  <c r="B618" i="5"/>
  <c r="C618" i="5"/>
  <c r="B619" i="5"/>
  <c r="C619" i="5"/>
  <c r="B620" i="5"/>
  <c r="C620" i="5"/>
  <c r="B621" i="5"/>
  <c r="C621" i="5"/>
  <c r="B622" i="5"/>
  <c r="C622" i="5"/>
  <c r="B609" i="5"/>
  <c r="C609" i="5"/>
  <c r="B597" i="5"/>
  <c r="C597" i="5"/>
  <c r="B598" i="5"/>
  <c r="C598" i="5"/>
  <c r="B599" i="5"/>
  <c r="C599" i="5"/>
  <c r="B600" i="5"/>
  <c r="C600" i="5"/>
  <c r="B601" i="5"/>
  <c r="C601" i="5"/>
  <c r="B602" i="5"/>
  <c r="C602" i="5"/>
  <c r="B603" i="5"/>
  <c r="C603" i="5"/>
  <c r="B604" i="5"/>
  <c r="C604" i="5"/>
  <c r="B605" i="5"/>
  <c r="C605" i="5"/>
  <c r="B606" i="5"/>
  <c r="C606" i="5"/>
  <c r="B607" i="5"/>
  <c r="C607" i="5"/>
  <c r="B608" i="5"/>
  <c r="C608" i="5"/>
  <c r="B596" i="5"/>
  <c r="C596" i="5"/>
  <c r="K609" i="5"/>
  <c r="L609" i="5"/>
  <c r="K610" i="5"/>
  <c r="L610" i="5"/>
  <c r="K611" i="5"/>
  <c r="L611" i="5"/>
  <c r="K612" i="5"/>
  <c r="L612" i="5"/>
  <c r="K613" i="5"/>
  <c r="L613" i="5"/>
  <c r="K614" i="5"/>
  <c r="L614" i="5"/>
  <c r="K615" i="5"/>
  <c r="L615" i="5"/>
  <c r="K616" i="5"/>
  <c r="L616" i="5"/>
  <c r="K617" i="5"/>
  <c r="L617" i="5"/>
  <c r="K618" i="5"/>
  <c r="L618" i="5"/>
  <c r="K619" i="5"/>
  <c r="L619" i="5"/>
  <c r="K620" i="5"/>
  <c r="L620" i="5"/>
  <c r="K621" i="5"/>
  <c r="L621" i="5"/>
  <c r="K622" i="5"/>
  <c r="L622" i="5"/>
  <c r="K623" i="5"/>
  <c r="L623" i="5"/>
  <c r="K624" i="5"/>
  <c r="L624" i="5"/>
  <c r="K625" i="5"/>
  <c r="L625" i="5"/>
  <c r="K626" i="5"/>
  <c r="L626" i="5"/>
  <c r="K627" i="5"/>
  <c r="L627" i="5"/>
  <c r="K628" i="5"/>
  <c r="L628" i="5"/>
  <c r="K629" i="5"/>
  <c r="L629" i="5"/>
  <c r="K630" i="5"/>
  <c r="L630" i="5"/>
  <c r="K631" i="5"/>
  <c r="L631" i="5"/>
  <c r="K632" i="5"/>
  <c r="L632" i="5"/>
  <c r="K633" i="5"/>
  <c r="L633" i="5"/>
  <c r="K634" i="5"/>
  <c r="L634" i="5"/>
  <c r="K635" i="5"/>
  <c r="L635" i="5"/>
  <c r="K636" i="5"/>
  <c r="L636" i="5"/>
  <c r="K637" i="5"/>
  <c r="L637" i="5"/>
  <c r="K638" i="5"/>
  <c r="L638" i="5"/>
  <c r="K639" i="5"/>
  <c r="L639" i="5"/>
  <c r="K640" i="5"/>
  <c r="L640" i="5"/>
  <c r="K597" i="5"/>
  <c r="L597" i="5"/>
  <c r="K598" i="5"/>
  <c r="L598" i="5"/>
  <c r="K599" i="5"/>
  <c r="L599" i="5"/>
  <c r="K600" i="5"/>
  <c r="L600" i="5"/>
  <c r="K601" i="5"/>
  <c r="L601" i="5"/>
  <c r="K602" i="5"/>
  <c r="L602" i="5"/>
  <c r="K603" i="5"/>
  <c r="L603" i="5"/>
  <c r="K604" i="5"/>
  <c r="L604" i="5"/>
  <c r="K605" i="5"/>
  <c r="L605" i="5"/>
  <c r="K606" i="5"/>
  <c r="L606" i="5"/>
  <c r="K607" i="5"/>
  <c r="L607" i="5"/>
  <c r="K608" i="5"/>
  <c r="L608" i="5"/>
  <c r="L596" i="5"/>
  <c r="K596" i="5"/>
  <c r="B29" i="8"/>
  <c r="C29" i="8"/>
  <c r="B28" i="8"/>
  <c r="C28" i="8"/>
  <c r="B27" i="8"/>
  <c r="C27" i="8"/>
  <c r="B26" i="8"/>
  <c r="C26" i="8"/>
  <c r="B25" i="8"/>
  <c r="C25" i="8"/>
  <c r="B24" i="8"/>
  <c r="C24" i="8"/>
  <c r="B23" i="8"/>
  <c r="C23" i="8"/>
  <c r="B22" i="8"/>
  <c r="C22" i="8"/>
  <c r="B21" i="8"/>
  <c r="C21" i="8"/>
  <c r="K21" i="8"/>
  <c r="L21" i="8"/>
  <c r="K22" i="8"/>
  <c r="L22" i="8"/>
  <c r="K23" i="8"/>
  <c r="L23" i="8"/>
  <c r="K24" i="8"/>
  <c r="L24" i="8"/>
  <c r="K25" i="8"/>
  <c r="L25" i="8"/>
  <c r="K26" i="8"/>
  <c r="L26" i="8"/>
  <c r="K27" i="8"/>
  <c r="L27" i="8"/>
  <c r="K28" i="8"/>
  <c r="L28" i="8"/>
  <c r="K29" i="8"/>
  <c r="L29" i="8"/>
  <c r="K43" i="10"/>
  <c r="L43" i="10"/>
  <c r="K44" i="10"/>
  <c r="L44" i="10"/>
  <c r="K45" i="10"/>
  <c r="L45" i="10"/>
  <c r="B45" i="10"/>
  <c r="C45" i="10"/>
  <c r="B44" i="10"/>
  <c r="C44" i="10"/>
  <c r="B43" i="10"/>
  <c r="C43" i="10"/>
  <c r="B42" i="10"/>
  <c r="C42" i="10"/>
  <c r="K42" i="10"/>
  <c r="L42" i="10"/>
  <c r="B20" i="8"/>
  <c r="C20" i="8"/>
  <c r="K20" i="8"/>
  <c r="L20" i="8"/>
  <c r="B16" i="8"/>
  <c r="C16" i="8"/>
  <c r="B17" i="8"/>
  <c r="C17" i="8"/>
  <c r="B18" i="8"/>
  <c r="C18" i="8"/>
  <c r="B19" i="8"/>
  <c r="C19" i="8"/>
  <c r="B15" i="8"/>
  <c r="C15" i="8"/>
  <c r="K15" i="8"/>
  <c r="L15" i="8"/>
  <c r="K16" i="8"/>
  <c r="L16" i="8"/>
  <c r="K17" i="8"/>
  <c r="L17" i="8"/>
  <c r="K18" i="8"/>
  <c r="L18" i="8"/>
  <c r="K19" i="8"/>
  <c r="L19" i="8"/>
  <c r="B589" i="5"/>
  <c r="C589" i="5"/>
  <c r="B590" i="5"/>
  <c r="C590" i="5"/>
  <c r="B591" i="5"/>
  <c r="C591" i="5"/>
  <c r="B592" i="5"/>
  <c r="C592" i="5"/>
  <c r="B593" i="5"/>
  <c r="C593" i="5"/>
  <c r="B594" i="5"/>
  <c r="C594" i="5"/>
  <c r="B595" i="5"/>
  <c r="C595" i="5"/>
  <c r="B588" i="5"/>
  <c r="C588" i="5"/>
  <c r="B587" i="5"/>
  <c r="C587" i="5"/>
  <c r="L588" i="5"/>
  <c r="L589" i="5"/>
  <c r="L590" i="5"/>
  <c r="L591" i="5"/>
  <c r="L592" i="5"/>
  <c r="L593" i="5"/>
  <c r="L594" i="5"/>
  <c r="L595" i="5"/>
  <c r="L587" i="5"/>
  <c r="B566" i="5"/>
  <c r="C566" i="5"/>
  <c r="B567" i="5"/>
  <c r="C567" i="5"/>
  <c r="B568" i="5"/>
  <c r="C568" i="5"/>
  <c r="B569" i="5"/>
  <c r="C569" i="5"/>
  <c r="B570" i="5"/>
  <c r="C570" i="5"/>
  <c r="B571" i="5"/>
  <c r="C571" i="5"/>
  <c r="B572" i="5"/>
  <c r="C572" i="5"/>
  <c r="B573" i="5"/>
  <c r="C573" i="5"/>
  <c r="B574" i="5"/>
  <c r="C574" i="5"/>
  <c r="B575" i="5"/>
  <c r="C575" i="5"/>
  <c r="B576" i="5"/>
  <c r="C576" i="5"/>
  <c r="B577" i="5"/>
  <c r="C577" i="5"/>
  <c r="B578" i="5"/>
  <c r="C578" i="5"/>
  <c r="B579" i="5"/>
  <c r="C579" i="5"/>
  <c r="B580" i="5"/>
  <c r="C580" i="5"/>
  <c r="B581" i="5"/>
  <c r="C581" i="5"/>
  <c r="B582" i="5"/>
  <c r="C582" i="5"/>
  <c r="B583" i="5"/>
  <c r="C583" i="5"/>
  <c r="B584" i="5"/>
  <c r="C584" i="5"/>
  <c r="B585" i="5"/>
  <c r="C585" i="5"/>
  <c r="B586" i="5"/>
  <c r="C586" i="5"/>
  <c r="K565" i="5"/>
  <c r="L565" i="5"/>
  <c r="K566" i="5"/>
  <c r="L566" i="5"/>
  <c r="K567" i="5"/>
  <c r="L567" i="5"/>
  <c r="K568" i="5"/>
  <c r="L568" i="5"/>
  <c r="K569" i="5"/>
  <c r="L569" i="5"/>
  <c r="K570" i="5"/>
  <c r="L570" i="5"/>
  <c r="K571" i="5"/>
  <c r="L571" i="5"/>
  <c r="K572" i="5"/>
  <c r="L572" i="5"/>
  <c r="K573" i="5"/>
  <c r="L573" i="5"/>
  <c r="K574" i="5"/>
  <c r="L574" i="5"/>
  <c r="K575" i="5"/>
  <c r="L575" i="5"/>
  <c r="K576" i="5"/>
  <c r="L576" i="5"/>
  <c r="K577" i="5"/>
  <c r="L577" i="5"/>
  <c r="K578" i="5"/>
  <c r="L578" i="5"/>
  <c r="K579" i="5"/>
  <c r="L579" i="5"/>
  <c r="K580" i="5"/>
  <c r="L580" i="5"/>
  <c r="K581" i="5"/>
  <c r="L581" i="5"/>
  <c r="K582" i="5"/>
  <c r="L582" i="5"/>
  <c r="K583" i="5"/>
  <c r="L583" i="5"/>
  <c r="K584" i="5"/>
  <c r="L584" i="5"/>
  <c r="K585" i="5"/>
  <c r="L585" i="5"/>
  <c r="K586" i="5"/>
  <c r="L586" i="5"/>
  <c r="B565" i="5"/>
  <c r="C565" i="5"/>
  <c r="N905" i="13"/>
  <c r="N904" i="13"/>
  <c r="N903" i="13"/>
  <c r="B41" i="10"/>
  <c r="C41" i="10"/>
  <c r="B40" i="10"/>
  <c r="C40" i="10"/>
  <c r="B39" i="10"/>
  <c r="C39" i="10"/>
  <c r="B38" i="10"/>
  <c r="C38" i="10"/>
  <c r="B37" i="10"/>
  <c r="C37" i="10"/>
  <c r="B36" i="10"/>
  <c r="C36" i="10"/>
  <c r="B35" i="10"/>
  <c r="C35" i="10"/>
  <c r="B34" i="10"/>
  <c r="C34" i="10"/>
  <c r="K34" i="10"/>
  <c r="L34" i="10"/>
  <c r="K35" i="10"/>
  <c r="L35" i="10"/>
  <c r="K36" i="10"/>
  <c r="L36" i="10"/>
  <c r="K37" i="10"/>
  <c r="L37" i="10"/>
  <c r="K38" i="10"/>
  <c r="L38" i="10"/>
  <c r="K39" i="10"/>
  <c r="L39" i="10"/>
  <c r="K40" i="10"/>
  <c r="L40" i="10"/>
  <c r="K41" i="10"/>
  <c r="L41" i="10"/>
  <c r="B546" i="5"/>
  <c r="C546" i="5"/>
  <c r="B547" i="5"/>
  <c r="C547" i="5"/>
  <c r="B548" i="5"/>
  <c r="C548" i="5"/>
  <c r="B549" i="5"/>
  <c r="C549" i="5"/>
  <c r="B550" i="5"/>
  <c r="C550" i="5"/>
  <c r="B551" i="5"/>
  <c r="C551" i="5"/>
  <c r="B552" i="5"/>
  <c r="C552" i="5"/>
  <c r="B553" i="5"/>
  <c r="C553" i="5"/>
  <c r="B554" i="5"/>
  <c r="C554" i="5"/>
  <c r="B555" i="5"/>
  <c r="C555" i="5"/>
  <c r="B556" i="5"/>
  <c r="C556" i="5"/>
  <c r="B557" i="5"/>
  <c r="C557" i="5"/>
  <c r="B558" i="5"/>
  <c r="C558" i="5"/>
  <c r="B559" i="5"/>
  <c r="C559" i="5"/>
  <c r="B560" i="5"/>
  <c r="C560" i="5"/>
  <c r="B561" i="5"/>
  <c r="C561" i="5"/>
  <c r="B562" i="5"/>
  <c r="C562" i="5"/>
  <c r="B563" i="5"/>
  <c r="C563" i="5"/>
  <c r="B564" i="5"/>
  <c r="C564" i="5"/>
  <c r="B545" i="5"/>
  <c r="C545" i="5"/>
  <c r="B544" i="5"/>
  <c r="C544" i="5"/>
  <c r="K544" i="5"/>
  <c r="L544" i="5"/>
  <c r="K545" i="5"/>
  <c r="L545" i="5"/>
  <c r="K546" i="5"/>
  <c r="L546" i="5"/>
  <c r="K547" i="5"/>
  <c r="L547" i="5"/>
  <c r="K548" i="5"/>
  <c r="L548" i="5"/>
  <c r="K549" i="5"/>
  <c r="L549" i="5"/>
  <c r="K550" i="5"/>
  <c r="L550" i="5"/>
  <c r="K551" i="5"/>
  <c r="L551" i="5"/>
  <c r="K552" i="5"/>
  <c r="L552" i="5"/>
  <c r="K553" i="5"/>
  <c r="L553" i="5"/>
  <c r="K554" i="5"/>
  <c r="L554" i="5"/>
  <c r="K555" i="5"/>
  <c r="L555" i="5"/>
  <c r="K556" i="5"/>
  <c r="L556" i="5"/>
  <c r="K557" i="5"/>
  <c r="L557" i="5"/>
  <c r="K558" i="5"/>
  <c r="L558" i="5"/>
  <c r="K559" i="5"/>
  <c r="L559" i="5"/>
  <c r="K560" i="5"/>
  <c r="L560" i="5"/>
  <c r="K561" i="5"/>
  <c r="L561" i="5"/>
  <c r="K562" i="5"/>
  <c r="L562" i="5"/>
  <c r="K563" i="5"/>
  <c r="L563" i="5"/>
  <c r="K564" i="5"/>
  <c r="L564" i="5"/>
  <c r="B12" i="8"/>
  <c r="C12" i="8"/>
  <c r="B13" i="8"/>
  <c r="C13" i="8"/>
  <c r="B14" i="8"/>
  <c r="C14" i="8"/>
  <c r="B11" i="8"/>
  <c r="C11" i="8"/>
  <c r="K10" i="8"/>
  <c r="L10" i="8"/>
  <c r="K11" i="8"/>
  <c r="L11" i="8"/>
  <c r="K12" i="8"/>
  <c r="L12" i="8"/>
  <c r="K13" i="8"/>
  <c r="L13" i="8"/>
  <c r="K14" i="8"/>
  <c r="L14" i="8"/>
  <c r="B10" i="8"/>
  <c r="C10" i="8"/>
  <c r="B31" i="10"/>
  <c r="C31" i="10"/>
  <c r="B32" i="10"/>
  <c r="C32" i="10"/>
  <c r="B33" i="10"/>
  <c r="C33" i="10"/>
  <c r="B30" i="10"/>
  <c r="C30" i="10"/>
  <c r="B26" i="10"/>
  <c r="C26" i="10"/>
  <c r="B27" i="10"/>
  <c r="C27" i="10"/>
  <c r="B28" i="10"/>
  <c r="C28" i="10"/>
  <c r="B29" i="10"/>
  <c r="C29" i="10"/>
  <c r="B25" i="10"/>
  <c r="C25" i="10"/>
  <c r="B24" i="10"/>
  <c r="C24" i="10"/>
  <c r="B22" i="10"/>
  <c r="C22" i="10"/>
  <c r="B23" i="10"/>
  <c r="C23" i="10"/>
  <c r="B21" i="10"/>
  <c r="C21" i="10"/>
  <c r="B20" i="10"/>
  <c r="C20" i="10"/>
  <c r="K20" i="10"/>
  <c r="L20" i="10"/>
  <c r="K21" i="10"/>
  <c r="L21" i="10"/>
  <c r="K22" i="10"/>
  <c r="L22" i="10"/>
  <c r="K23" i="10"/>
  <c r="L23" i="10"/>
  <c r="K24" i="10"/>
  <c r="L24" i="10"/>
  <c r="K25" i="10"/>
  <c r="L25" i="10"/>
  <c r="K26" i="10"/>
  <c r="L26" i="10"/>
  <c r="K27" i="10"/>
  <c r="L27" i="10"/>
  <c r="K28" i="10"/>
  <c r="L28" i="10"/>
  <c r="K29" i="10"/>
  <c r="L29" i="10"/>
  <c r="K30" i="10"/>
  <c r="L30" i="10"/>
  <c r="K31" i="10"/>
  <c r="L31" i="10"/>
  <c r="K32" i="10"/>
  <c r="L32" i="10"/>
  <c r="K33" i="10"/>
  <c r="L33" i="10"/>
  <c r="K4" i="8"/>
  <c r="L4" i="8"/>
  <c r="K5" i="8"/>
  <c r="L5" i="8"/>
  <c r="K6" i="8"/>
  <c r="L6" i="8"/>
  <c r="K7" i="8"/>
  <c r="L7" i="8"/>
  <c r="K8" i="8"/>
  <c r="L8" i="8"/>
  <c r="K9" i="8"/>
  <c r="L9" i="8"/>
  <c r="B4" i="8"/>
  <c r="C4" i="8"/>
  <c r="B5" i="8"/>
  <c r="C5" i="8"/>
  <c r="B6" i="8"/>
  <c r="C6" i="8"/>
  <c r="B7" i="8"/>
  <c r="C7" i="8"/>
  <c r="B8" i="8"/>
  <c r="C8" i="8"/>
  <c r="B9" i="8"/>
  <c r="C9" i="8"/>
  <c r="C3" i="8"/>
  <c r="B3" i="8"/>
  <c r="B543" i="5"/>
  <c r="C543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B509" i="5"/>
  <c r="C509" i="5"/>
  <c r="B510" i="5"/>
  <c r="C510" i="5"/>
  <c r="B511" i="5"/>
  <c r="C511" i="5"/>
  <c r="B512" i="5"/>
  <c r="C512" i="5"/>
  <c r="B513" i="5"/>
  <c r="C513" i="5"/>
  <c r="B514" i="5"/>
  <c r="C514" i="5"/>
  <c r="B515" i="5"/>
  <c r="C515" i="5"/>
  <c r="B516" i="5"/>
  <c r="C516" i="5"/>
  <c r="B517" i="5"/>
  <c r="C517" i="5"/>
  <c r="B518" i="5"/>
  <c r="C518" i="5"/>
  <c r="B519" i="5"/>
  <c r="C519" i="5"/>
  <c r="B520" i="5"/>
  <c r="C520" i="5"/>
  <c r="B521" i="5"/>
  <c r="C521" i="5"/>
  <c r="B522" i="5"/>
  <c r="C522" i="5"/>
  <c r="B523" i="5"/>
  <c r="C523" i="5"/>
  <c r="B524" i="5"/>
  <c r="C524" i="5"/>
  <c r="B525" i="5"/>
  <c r="C525" i="5"/>
  <c r="B526" i="5"/>
  <c r="C526" i="5"/>
  <c r="B527" i="5"/>
  <c r="C527" i="5"/>
  <c r="B528" i="5"/>
  <c r="C528" i="5"/>
  <c r="B529" i="5"/>
  <c r="C529" i="5"/>
  <c r="B530" i="5"/>
  <c r="C530" i="5"/>
  <c r="B531" i="5"/>
  <c r="C531" i="5"/>
  <c r="B532" i="5"/>
  <c r="C532" i="5"/>
  <c r="B533" i="5"/>
  <c r="C533" i="5"/>
  <c r="B534" i="5"/>
  <c r="C534" i="5"/>
  <c r="B535" i="5"/>
  <c r="C535" i="5"/>
  <c r="B536" i="5"/>
  <c r="C536" i="5"/>
  <c r="B537" i="5"/>
  <c r="C537" i="5"/>
  <c r="B538" i="5"/>
  <c r="C538" i="5"/>
  <c r="B539" i="5"/>
  <c r="C539" i="5"/>
  <c r="B540" i="5"/>
  <c r="C540" i="5"/>
  <c r="B541" i="5"/>
  <c r="C541" i="5"/>
  <c r="B542" i="5"/>
  <c r="C542" i="5"/>
  <c r="B489" i="5"/>
  <c r="C489" i="5"/>
  <c r="K489" i="5"/>
  <c r="L489" i="5"/>
  <c r="K490" i="5"/>
  <c r="L490" i="5"/>
  <c r="K491" i="5"/>
  <c r="L491" i="5"/>
  <c r="K492" i="5"/>
  <c r="L492" i="5"/>
  <c r="K493" i="5"/>
  <c r="L493" i="5"/>
  <c r="K494" i="5"/>
  <c r="L494" i="5"/>
  <c r="K495" i="5"/>
  <c r="L495" i="5"/>
  <c r="K496" i="5"/>
  <c r="L496" i="5"/>
  <c r="K497" i="5"/>
  <c r="L497" i="5"/>
  <c r="K498" i="5"/>
  <c r="L498" i="5"/>
  <c r="K499" i="5"/>
  <c r="L499" i="5"/>
  <c r="K500" i="5"/>
  <c r="L500" i="5"/>
  <c r="K501" i="5"/>
  <c r="L501" i="5"/>
  <c r="K502" i="5"/>
  <c r="L502" i="5"/>
  <c r="K503" i="5"/>
  <c r="L503" i="5"/>
  <c r="K504" i="5"/>
  <c r="L504" i="5"/>
  <c r="K505" i="5"/>
  <c r="L505" i="5"/>
  <c r="K506" i="5"/>
  <c r="L506" i="5"/>
  <c r="K507" i="5"/>
  <c r="L507" i="5"/>
  <c r="K508" i="5"/>
  <c r="L508" i="5"/>
  <c r="K509" i="5"/>
  <c r="L509" i="5"/>
  <c r="K510" i="5"/>
  <c r="L510" i="5"/>
  <c r="K511" i="5"/>
  <c r="L511" i="5"/>
  <c r="K512" i="5"/>
  <c r="L512" i="5"/>
  <c r="K513" i="5"/>
  <c r="L513" i="5"/>
  <c r="K514" i="5"/>
  <c r="L514" i="5"/>
  <c r="K515" i="5"/>
  <c r="L515" i="5"/>
  <c r="K516" i="5"/>
  <c r="L516" i="5"/>
  <c r="K517" i="5"/>
  <c r="L517" i="5"/>
  <c r="K518" i="5"/>
  <c r="L518" i="5"/>
  <c r="K519" i="5"/>
  <c r="L519" i="5"/>
  <c r="K520" i="5"/>
  <c r="L520" i="5"/>
  <c r="K521" i="5"/>
  <c r="L521" i="5"/>
  <c r="K522" i="5"/>
  <c r="L522" i="5"/>
  <c r="K523" i="5"/>
  <c r="L523" i="5"/>
  <c r="K524" i="5"/>
  <c r="L524" i="5"/>
  <c r="K525" i="5"/>
  <c r="L525" i="5"/>
  <c r="K526" i="5"/>
  <c r="L526" i="5"/>
  <c r="K527" i="5"/>
  <c r="L527" i="5"/>
  <c r="K528" i="5"/>
  <c r="L528" i="5"/>
  <c r="K529" i="5"/>
  <c r="L529" i="5"/>
  <c r="K530" i="5"/>
  <c r="L530" i="5"/>
  <c r="K531" i="5"/>
  <c r="L531" i="5"/>
  <c r="K532" i="5"/>
  <c r="L532" i="5"/>
  <c r="K533" i="5"/>
  <c r="L533" i="5"/>
  <c r="K534" i="5"/>
  <c r="L534" i="5"/>
  <c r="K535" i="5"/>
  <c r="L535" i="5"/>
  <c r="K536" i="5"/>
  <c r="L536" i="5"/>
  <c r="K537" i="5"/>
  <c r="L537" i="5"/>
  <c r="K538" i="5"/>
  <c r="L538" i="5"/>
  <c r="K539" i="5"/>
  <c r="L539" i="5"/>
  <c r="K540" i="5"/>
  <c r="L540" i="5"/>
  <c r="K541" i="5"/>
  <c r="L541" i="5"/>
  <c r="K542" i="5"/>
  <c r="L542" i="5"/>
  <c r="K543" i="5"/>
  <c r="L543" i="5"/>
  <c r="B12" i="10"/>
  <c r="C12" i="10"/>
  <c r="B13" i="10"/>
  <c r="C13" i="10"/>
  <c r="B14" i="10"/>
  <c r="C14" i="10"/>
  <c r="B15" i="10"/>
  <c r="C15" i="10"/>
  <c r="N15" i="10" s="1"/>
  <c r="B16" i="10"/>
  <c r="C16" i="10"/>
  <c r="B17" i="10"/>
  <c r="C17" i="10"/>
  <c r="N17" i="10" s="1"/>
  <c r="B18" i="10"/>
  <c r="N18" i="10" s="1"/>
  <c r="C18" i="10"/>
  <c r="B19" i="10"/>
  <c r="C19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N11" i="10"/>
  <c r="N12" i="10"/>
  <c r="N13" i="10"/>
  <c r="B11" i="10"/>
  <c r="C11" i="10"/>
  <c r="B4" i="10"/>
  <c r="N4" i="10" s="1"/>
  <c r="C4" i="10"/>
  <c r="B5" i="10"/>
  <c r="N5" i="10" s="1"/>
  <c r="C5" i="10"/>
  <c r="B6" i="10"/>
  <c r="C6" i="10"/>
  <c r="B7" i="10"/>
  <c r="C7" i="10"/>
  <c r="B8" i="10"/>
  <c r="N8" i="10" s="1"/>
  <c r="C8" i="10"/>
  <c r="B9" i="10"/>
  <c r="C9" i="10"/>
  <c r="B10" i="10"/>
  <c r="C10" i="10"/>
  <c r="N10" i="10" s="1"/>
  <c r="C3" i="10"/>
  <c r="B3" i="10"/>
  <c r="K4" i="10"/>
  <c r="L4" i="10"/>
  <c r="K5" i="10"/>
  <c r="L5" i="10"/>
  <c r="K6" i="10"/>
  <c r="L6" i="10"/>
  <c r="K7" i="10"/>
  <c r="L7" i="10"/>
  <c r="K8" i="10"/>
  <c r="L8" i="10"/>
  <c r="K9" i="10"/>
  <c r="L9" i="10"/>
  <c r="K10" i="10"/>
  <c r="L10" i="10"/>
  <c r="N6" i="10"/>
  <c r="N7" i="10"/>
  <c r="N9" i="10"/>
  <c r="K454" i="5"/>
  <c r="L454" i="5"/>
  <c r="K455" i="5"/>
  <c r="L455" i="5"/>
  <c r="K456" i="5"/>
  <c r="L456" i="5"/>
  <c r="K457" i="5"/>
  <c r="L457" i="5"/>
  <c r="K458" i="5"/>
  <c r="L458" i="5"/>
  <c r="K459" i="5"/>
  <c r="L459" i="5"/>
  <c r="K460" i="5"/>
  <c r="L460" i="5"/>
  <c r="K461" i="5"/>
  <c r="L461" i="5"/>
  <c r="K462" i="5"/>
  <c r="L462" i="5"/>
  <c r="K463" i="5"/>
  <c r="L463" i="5"/>
  <c r="K464" i="5"/>
  <c r="L464" i="5"/>
  <c r="K465" i="5"/>
  <c r="L465" i="5"/>
  <c r="K466" i="5"/>
  <c r="L466" i="5"/>
  <c r="K467" i="5"/>
  <c r="L467" i="5"/>
  <c r="K468" i="5"/>
  <c r="L468" i="5"/>
  <c r="K469" i="5"/>
  <c r="L469" i="5"/>
  <c r="K470" i="5"/>
  <c r="L470" i="5"/>
  <c r="K471" i="5"/>
  <c r="L471" i="5"/>
  <c r="K472" i="5"/>
  <c r="L472" i="5"/>
  <c r="K473" i="5"/>
  <c r="L473" i="5"/>
  <c r="K474" i="5"/>
  <c r="L474" i="5"/>
  <c r="K475" i="5"/>
  <c r="L475" i="5"/>
  <c r="K476" i="5"/>
  <c r="L476" i="5"/>
  <c r="K477" i="5"/>
  <c r="L477" i="5"/>
  <c r="K478" i="5"/>
  <c r="L478" i="5"/>
  <c r="K479" i="5"/>
  <c r="L479" i="5"/>
  <c r="K480" i="5"/>
  <c r="L480" i="5"/>
  <c r="K481" i="5"/>
  <c r="L481" i="5"/>
  <c r="K482" i="5"/>
  <c r="L482" i="5"/>
  <c r="K483" i="5"/>
  <c r="L483" i="5"/>
  <c r="K484" i="5"/>
  <c r="L484" i="5"/>
  <c r="K485" i="5"/>
  <c r="L485" i="5"/>
  <c r="K486" i="5"/>
  <c r="L486" i="5"/>
  <c r="K487" i="5"/>
  <c r="L487" i="5"/>
  <c r="K488" i="5"/>
  <c r="L488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55" i="5"/>
  <c r="C455" i="5"/>
  <c r="B454" i="5"/>
  <c r="C454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18" i="5"/>
  <c r="C418" i="5"/>
  <c r="B417" i="5"/>
  <c r="C417" i="5"/>
  <c r="K417" i="5"/>
  <c r="L417" i="5"/>
  <c r="K418" i="5"/>
  <c r="L418" i="5"/>
  <c r="K419" i="5"/>
  <c r="L419" i="5"/>
  <c r="K420" i="5"/>
  <c r="L420" i="5"/>
  <c r="K421" i="5"/>
  <c r="L421" i="5"/>
  <c r="K422" i="5"/>
  <c r="L422" i="5"/>
  <c r="K423" i="5"/>
  <c r="L423" i="5"/>
  <c r="K424" i="5"/>
  <c r="L424" i="5"/>
  <c r="K425" i="5"/>
  <c r="L425" i="5"/>
  <c r="K426" i="5"/>
  <c r="L426" i="5"/>
  <c r="K427" i="5"/>
  <c r="L427" i="5"/>
  <c r="K428" i="5"/>
  <c r="L428" i="5"/>
  <c r="K429" i="5"/>
  <c r="L429" i="5"/>
  <c r="K430" i="5"/>
  <c r="L430" i="5"/>
  <c r="K431" i="5"/>
  <c r="L431" i="5"/>
  <c r="K432" i="5"/>
  <c r="L432" i="5"/>
  <c r="K433" i="5"/>
  <c r="L433" i="5"/>
  <c r="K434" i="5"/>
  <c r="L434" i="5"/>
  <c r="K435" i="5"/>
  <c r="L435" i="5"/>
  <c r="K436" i="5"/>
  <c r="L436" i="5"/>
  <c r="K437" i="5"/>
  <c r="L437" i="5"/>
  <c r="K438" i="5"/>
  <c r="L438" i="5"/>
  <c r="K439" i="5"/>
  <c r="L439" i="5"/>
  <c r="K440" i="5"/>
  <c r="L440" i="5"/>
  <c r="K441" i="5"/>
  <c r="L441" i="5"/>
  <c r="K442" i="5"/>
  <c r="L442" i="5"/>
  <c r="K443" i="5"/>
  <c r="L443" i="5"/>
  <c r="K444" i="5"/>
  <c r="L444" i="5"/>
  <c r="K445" i="5"/>
  <c r="L445" i="5"/>
  <c r="K446" i="5"/>
  <c r="L446" i="5"/>
  <c r="K447" i="5"/>
  <c r="L447" i="5"/>
  <c r="K448" i="5"/>
  <c r="L448" i="5"/>
  <c r="K449" i="5"/>
  <c r="L449" i="5"/>
  <c r="K450" i="5"/>
  <c r="L450" i="5"/>
  <c r="K451" i="5"/>
  <c r="L451" i="5"/>
  <c r="K452" i="5"/>
  <c r="L452" i="5"/>
  <c r="K453" i="5"/>
  <c r="L453" i="5"/>
  <c r="B397" i="5"/>
  <c r="C397" i="5"/>
  <c r="B398" i="5"/>
  <c r="C398" i="5"/>
  <c r="B399" i="5"/>
  <c r="C399" i="5"/>
  <c r="B400" i="5"/>
  <c r="C4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396" i="5"/>
  <c r="C396" i="5"/>
  <c r="B395" i="5"/>
  <c r="C395" i="5"/>
  <c r="K395" i="5"/>
  <c r="L395" i="5"/>
  <c r="K396" i="5"/>
  <c r="L396" i="5"/>
  <c r="K397" i="5"/>
  <c r="L397" i="5"/>
  <c r="K398" i="5"/>
  <c r="L398" i="5"/>
  <c r="K399" i="5"/>
  <c r="L399" i="5"/>
  <c r="K400" i="5"/>
  <c r="L400" i="5"/>
  <c r="K401" i="5"/>
  <c r="L401" i="5"/>
  <c r="K402" i="5"/>
  <c r="L402" i="5"/>
  <c r="K403" i="5"/>
  <c r="L403" i="5"/>
  <c r="K404" i="5"/>
  <c r="L404" i="5"/>
  <c r="K405" i="5"/>
  <c r="L405" i="5"/>
  <c r="K406" i="5"/>
  <c r="L406" i="5"/>
  <c r="K407" i="5"/>
  <c r="L407" i="5"/>
  <c r="K408" i="5"/>
  <c r="L408" i="5"/>
  <c r="K409" i="5"/>
  <c r="L409" i="5"/>
  <c r="K410" i="5"/>
  <c r="L410" i="5"/>
  <c r="K411" i="5"/>
  <c r="L411" i="5"/>
  <c r="K412" i="5"/>
  <c r="L412" i="5"/>
  <c r="K413" i="5"/>
  <c r="L413" i="5"/>
  <c r="K414" i="5"/>
  <c r="L414" i="5"/>
  <c r="K415" i="5"/>
  <c r="L415" i="5"/>
  <c r="K416" i="5"/>
  <c r="L416" i="5"/>
  <c r="B367" i="5"/>
  <c r="C367" i="5"/>
  <c r="B368" i="5"/>
  <c r="C368" i="5"/>
  <c r="B369" i="5"/>
  <c r="C369" i="5"/>
  <c r="B370" i="5"/>
  <c r="C370" i="5"/>
  <c r="B371" i="5"/>
  <c r="C371" i="5"/>
  <c r="B372" i="5"/>
  <c r="C372" i="5"/>
  <c r="B373" i="5"/>
  <c r="C373" i="5"/>
  <c r="B374" i="5"/>
  <c r="C374" i="5"/>
  <c r="B375" i="5"/>
  <c r="C375" i="5"/>
  <c r="B376" i="5"/>
  <c r="C376" i="5"/>
  <c r="B377" i="5"/>
  <c r="C377" i="5"/>
  <c r="B378" i="5"/>
  <c r="C378" i="5"/>
  <c r="B379" i="5"/>
  <c r="C379" i="5"/>
  <c r="B380" i="5"/>
  <c r="C380" i="5"/>
  <c r="B381" i="5"/>
  <c r="C381" i="5"/>
  <c r="B382" i="5"/>
  <c r="C382" i="5"/>
  <c r="B383" i="5"/>
  <c r="C383" i="5"/>
  <c r="B384" i="5"/>
  <c r="C384" i="5"/>
  <c r="B385" i="5"/>
  <c r="C385" i="5"/>
  <c r="B386" i="5"/>
  <c r="C386" i="5"/>
  <c r="B387" i="5"/>
  <c r="C387" i="5"/>
  <c r="B388" i="5"/>
  <c r="C388" i="5"/>
  <c r="B389" i="5"/>
  <c r="C389" i="5"/>
  <c r="B390" i="5"/>
  <c r="C390" i="5"/>
  <c r="B391" i="5"/>
  <c r="C391" i="5"/>
  <c r="B392" i="5"/>
  <c r="C392" i="5"/>
  <c r="B393" i="5"/>
  <c r="C393" i="5"/>
  <c r="B394" i="5"/>
  <c r="C394" i="5"/>
  <c r="B366" i="5"/>
  <c r="C366" i="5"/>
  <c r="B365" i="5"/>
  <c r="C365" i="5"/>
  <c r="K365" i="5"/>
  <c r="L365" i="5"/>
  <c r="K366" i="5"/>
  <c r="L366" i="5"/>
  <c r="K367" i="5"/>
  <c r="L367" i="5"/>
  <c r="K368" i="5"/>
  <c r="L368" i="5"/>
  <c r="K369" i="5"/>
  <c r="L369" i="5"/>
  <c r="K370" i="5"/>
  <c r="L370" i="5"/>
  <c r="K371" i="5"/>
  <c r="L371" i="5"/>
  <c r="K372" i="5"/>
  <c r="L372" i="5"/>
  <c r="K373" i="5"/>
  <c r="L373" i="5"/>
  <c r="K374" i="5"/>
  <c r="L374" i="5"/>
  <c r="K375" i="5"/>
  <c r="L375" i="5"/>
  <c r="K376" i="5"/>
  <c r="L376" i="5"/>
  <c r="K377" i="5"/>
  <c r="L377" i="5"/>
  <c r="K378" i="5"/>
  <c r="L378" i="5"/>
  <c r="K379" i="5"/>
  <c r="L379" i="5"/>
  <c r="K380" i="5"/>
  <c r="L380" i="5"/>
  <c r="K381" i="5"/>
  <c r="L381" i="5"/>
  <c r="K382" i="5"/>
  <c r="L382" i="5"/>
  <c r="K383" i="5"/>
  <c r="L383" i="5"/>
  <c r="K384" i="5"/>
  <c r="L384" i="5"/>
  <c r="K385" i="5"/>
  <c r="L385" i="5"/>
  <c r="K386" i="5"/>
  <c r="L386" i="5"/>
  <c r="K387" i="5"/>
  <c r="L387" i="5"/>
  <c r="K388" i="5"/>
  <c r="L388" i="5"/>
  <c r="K389" i="5"/>
  <c r="L389" i="5"/>
  <c r="K390" i="5"/>
  <c r="L390" i="5"/>
  <c r="K391" i="5"/>
  <c r="L391" i="5"/>
  <c r="K392" i="5"/>
  <c r="L392" i="5"/>
  <c r="K393" i="5"/>
  <c r="L393" i="5"/>
  <c r="K394" i="5"/>
  <c r="L394" i="5"/>
  <c r="B348" i="5"/>
  <c r="C348" i="5"/>
  <c r="B349" i="5"/>
  <c r="C349" i="5"/>
  <c r="B350" i="5"/>
  <c r="C350" i="5"/>
  <c r="B351" i="5"/>
  <c r="C351" i="5"/>
  <c r="B352" i="5"/>
  <c r="C352" i="5"/>
  <c r="B353" i="5"/>
  <c r="C353" i="5"/>
  <c r="B354" i="5"/>
  <c r="C354" i="5"/>
  <c r="B355" i="5"/>
  <c r="C355" i="5"/>
  <c r="B356" i="5"/>
  <c r="C356" i="5"/>
  <c r="B357" i="5"/>
  <c r="C357" i="5"/>
  <c r="B358" i="5"/>
  <c r="C358" i="5"/>
  <c r="B359" i="5"/>
  <c r="C359" i="5"/>
  <c r="B360" i="5"/>
  <c r="C360" i="5"/>
  <c r="B361" i="5"/>
  <c r="C361" i="5"/>
  <c r="B362" i="5"/>
  <c r="C362" i="5"/>
  <c r="B363" i="5"/>
  <c r="C363" i="5"/>
  <c r="B364" i="5"/>
  <c r="C364" i="5"/>
  <c r="K347" i="5"/>
  <c r="L347" i="5"/>
  <c r="K348" i="5"/>
  <c r="L348" i="5"/>
  <c r="K349" i="5"/>
  <c r="L349" i="5"/>
  <c r="K350" i="5"/>
  <c r="L350" i="5"/>
  <c r="K351" i="5"/>
  <c r="L351" i="5"/>
  <c r="K352" i="5"/>
  <c r="L352" i="5"/>
  <c r="K353" i="5"/>
  <c r="L353" i="5"/>
  <c r="K354" i="5"/>
  <c r="L354" i="5"/>
  <c r="K355" i="5"/>
  <c r="L355" i="5"/>
  <c r="K356" i="5"/>
  <c r="L356" i="5"/>
  <c r="K357" i="5"/>
  <c r="L357" i="5"/>
  <c r="K358" i="5"/>
  <c r="L358" i="5"/>
  <c r="K359" i="5"/>
  <c r="L359" i="5"/>
  <c r="K360" i="5"/>
  <c r="L360" i="5"/>
  <c r="K361" i="5"/>
  <c r="L361" i="5"/>
  <c r="K362" i="5"/>
  <c r="L362" i="5"/>
  <c r="K363" i="5"/>
  <c r="L363" i="5"/>
  <c r="K364" i="5"/>
  <c r="L364" i="5"/>
  <c r="B347" i="5"/>
  <c r="C347" i="5"/>
  <c r="B338" i="5"/>
  <c r="C338" i="5"/>
  <c r="B339" i="5"/>
  <c r="C339" i="5"/>
  <c r="B340" i="5"/>
  <c r="C340" i="5"/>
  <c r="B341" i="5"/>
  <c r="C341" i="5"/>
  <c r="B342" i="5"/>
  <c r="C342" i="5"/>
  <c r="B343" i="5"/>
  <c r="C343" i="5"/>
  <c r="B344" i="5"/>
  <c r="C344" i="5"/>
  <c r="B345" i="5"/>
  <c r="C345" i="5"/>
  <c r="B346" i="5"/>
  <c r="C346" i="5"/>
  <c r="K336" i="5"/>
  <c r="L336" i="5"/>
  <c r="K337" i="5"/>
  <c r="L337" i="5"/>
  <c r="K338" i="5"/>
  <c r="L338" i="5"/>
  <c r="K339" i="5"/>
  <c r="L339" i="5"/>
  <c r="K340" i="5"/>
  <c r="L340" i="5"/>
  <c r="K341" i="5"/>
  <c r="L341" i="5"/>
  <c r="K342" i="5"/>
  <c r="L342" i="5"/>
  <c r="K343" i="5"/>
  <c r="L343" i="5"/>
  <c r="K344" i="5"/>
  <c r="L344" i="5"/>
  <c r="K345" i="5"/>
  <c r="L345" i="5"/>
  <c r="K346" i="5"/>
  <c r="L346" i="5"/>
  <c r="B337" i="5"/>
  <c r="C337" i="5"/>
  <c r="B336" i="5"/>
  <c r="C336" i="5"/>
  <c r="K311" i="5"/>
  <c r="L311" i="5"/>
  <c r="K312" i="5"/>
  <c r="L312" i="5"/>
  <c r="K313" i="5"/>
  <c r="L313" i="5"/>
  <c r="K314" i="5"/>
  <c r="L314" i="5"/>
  <c r="K315" i="5"/>
  <c r="L315" i="5"/>
  <c r="K316" i="5"/>
  <c r="L316" i="5"/>
  <c r="K317" i="5"/>
  <c r="L317" i="5"/>
  <c r="K318" i="5"/>
  <c r="L318" i="5"/>
  <c r="K319" i="5"/>
  <c r="L319" i="5"/>
  <c r="K320" i="5"/>
  <c r="L320" i="5"/>
  <c r="K321" i="5"/>
  <c r="L321" i="5"/>
  <c r="K322" i="5"/>
  <c r="L322" i="5"/>
  <c r="K323" i="5"/>
  <c r="L323" i="5"/>
  <c r="K324" i="5"/>
  <c r="L324" i="5"/>
  <c r="K325" i="5"/>
  <c r="L325" i="5"/>
  <c r="K326" i="5"/>
  <c r="L326" i="5"/>
  <c r="K327" i="5"/>
  <c r="L327" i="5"/>
  <c r="K328" i="5"/>
  <c r="L328" i="5"/>
  <c r="K329" i="5"/>
  <c r="L329" i="5"/>
  <c r="K330" i="5"/>
  <c r="L330" i="5"/>
  <c r="K331" i="5"/>
  <c r="L331" i="5"/>
  <c r="K332" i="5"/>
  <c r="L332" i="5"/>
  <c r="K333" i="5"/>
  <c r="L333" i="5"/>
  <c r="K334" i="5"/>
  <c r="L334" i="5"/>
  <c r="K335" i="5"/>
  <c r="L335" i="5"/>
  <c r="B313" i="5"/>
  <c r="C313" i="5"/>
  <c r="B314" i="5"/>
  <c r="C314" i="5"/>
  <c r="B315" i="5"/>
  <c r="C315" i="5"/>
  <c r="B316" i="5"/>
  <c r="C316" i="5"/>
  <c r="B317" i="5"/>
  <c r="C317" i="5"/>
  <c r="B318" i="5"/>
  <c r="C318" i="5"/>
  <c r="B319" i="5"/>
  <c r="C319" i="5"/>
  <c r="B320" i="5"/>
  <c r="C320" i="5"/>
  <c r="B321" i="5"/>
  <c r="C321" i="5"/>
  <c r="B322" i="5"/>
  <c r="C322" i="5"/>
  <c r="B323" i="5"/>
  <c r="C323" i="5"/>
  <c r="B324" i="5"/>
  <c r="C324" i="5"/>
  <c r="B325" i="5"/>
  <c r="C325" i="5"/>
  <c r="B326" i="5"/>
  <c r="C326" i="5"/>
  <c r="B327" i="5"/>
  <c r="C327" i="5"/>
  <c r="B328" i="5"/>
  <c r="C328" i="5"/>
  <c r="B329" i="5"/>
  <c r="C329" i="5"/>
  <c r="B330" i="5"/>
  <c r="C330" i="5"/>
  <c r="B331" i="5"/>
  <c r="C331" i="5"/>
  <c r="B332" i="5"/>
  <c r="C332" i="5"/>
  <c r="B333" i="5"/>
  <c r="C333" i="5"/>
  <c r="B334" i="5"/>
  <c r="C334" i="5"/>
  <c r="B335" i="5"/>
  <c r="C335" i="5"/>
  <c r="B312" i="5"/>
  <c r="C312" i="5"/>
  <c r="B311" i="5"/>
  <c r="C311" i="5"/>
  <c r="K290" i="5"/>
  <c r="L290" i="5"/>
  <c r="K291" i="5"/>
  <c r="L291" i="5"/>
  <c r="K292" i="5"/>
  <c r="L292" i="5"/>
  <c r="K293" i="5"/>
  <c r="L293" i="5"/>
  <c r="K294" i="5"/>
  <c r="L294" i="5"/>
  <c r="K295" i="5"/>
  <c r="L295" i="5"/>
  <c r="K296" i="5"/>
  <c r="L296" i="5"/>
  <c r="K297" i="5"/>
  <c r="L297" i="5"/>
  <c r="K298" i="5"/>
  <c r="L298" i="5"/>
  <c r="K299" i="5"/>
  <c r="L299" i="5"/>
  <c r="K300" i="5"/>
  <c r="L300" i="5"/>
  <c r="K301" i="5"/>
  <c r="L301" i="5"/>
  <c r="K302" i="5"/>
  <c r="L302" i="5"/>
  <c r="K303" i="5"/>
  <c r="L303" i="5"/>
  <c r="K304" i="5"/>
  <c r="L304" i="5"/>
  <c r="K305" i="5"/>
  <c r="L305" i="5"/>
  <c r="K306" i="5"/>
  <c r="L306" i="5"/>
  <c r="K307" i="5"/>
  <c r="L307" i="5"/>
  <c r="K308" i="5"/>
  <c r="L308" i="5"/>
  <c r="K309" i="5"/>
  <c r="L309" i="5"/>
  <c r="K310" i="5"/>
  <c r="L310" i="5"/>
  <c r="B290" i="5"/>
  <c r="C290" i="5"/>
  <c r="B291" i="5"/>
  <c r="C291" i="5"/>
  <c r="B292" i="5"/>
  <c r="C292" i="5"/>
  <c r="B293" i="5"/>
  <c r="C293" i="5"/>
  <c r="B294" i="5"/>
  <c r="C294" i="5"/>
  <c r="B295" i="5"/>
  <c r="C295" i="5"/>
  <c r="B296" i="5"/>
  <c r="C296" i="5"/>
  <c r="B297" i="5"/>
  <c r="C297" i="5"/>
  <c r="B298" i="5"/>
  <c r="C298" i="5"/>
  <c r="B299" i="5"/>
  <c r="C299" i="5"/>
  <c r="B300" i="5"/>
  <c r="C300" i="5"/>
  <c r="B301" i="5"/>
  <c r="C301" i="5"/>
  <c r="B302" i="5"/>
  <c r="C302" i="5"/>
  <c r="B303" i="5"/>
  <c r="C303" i="5"/>
  <c r="B304" i="5"/>
  <c r="C304" i="5"/>
  <c r="B305" i="5"/>
  <c r="C305" i="5"/>
  <c r="B306" i="5"/>
  <c r="C306" i="5"/>
  <c r="B307" i="5"/>
  <c r="C307" i="5"/>
  <c r="B308" i="5"/>
  <c r="C308" i="5"/>
  <c r="B309" i="5"/>
  <c r="C309" i="5"/>
  <c r="B310" i="5"/>
  <c r="C310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79" i="5"/>
  <c r="C279" i="5"/>
  <c r="B278" i="5"/>
  <c r="C278" i="5"/>
  <c r="K278" i="5"/>
  <c r="L278" i="5"/>
  <c r="K279" i="5"/>
  <c r="L279" i="5"/>
  <c r="K280" i="5"/>
  <c r="L280" i="5"/>
  <c r="K281" i="5"/>
  <c r="L281" i="5"/>
  <c r="K282" i="5"/>
  <c r="L282" i="5"/>
  <c r="K283" i="5"/>
  <c r="L283" i="5"/>
  <c r="K284" i="5"/>
  <c r="L284" i="5"/>
  <c r="K285" i="5"/>
  <c r="L285" i="5"/>
  <c r="K286" i="5"/>
  <c r="L286" i="5"/>
  <c r="K287" i="5"/>
  <c r="L287" i="5"/>
  <c r="K288" i="5"/>
  <c r="L288" i="5"/>
  <c r="K289" i="5"/>
  <c r="L289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K247" i="5"/>
  <c r="L247" i="5"/>
  <c r="K248" i="5"/>
  <c r="L248" i="5"/>
  <c r="K249" i="5"/>
  <c r="L249" i="5"/>
  <c r="K250" i="5"/>
  <c r="L250" i="5"/>
  <c r="K251" i="5"/>
  <c r="L251" i="5"/>
  <c r="K252" i="5"/>
  <c r="L252" i="5"/>
  <c r="K253" i="5"/>
  <c r="L253" i="5"/>
  <c r="K254" i="5"/>
  <c r="L254" i="5"/>
  <c r="K255" i="5"/>
  <c r="L255" i="5"/>
  <c r="K256" i="5"/>
  <c r="L256" i="5"/>
  <c r="K257" i="5"/>
  <c r="L257" i="5"/>
  <c r="K258" i="5"/>
  <c r="L258" i="5"/>
  <c r="K259" i="5"/>
  <c r="L259" i="5"/>
  <c r="K260" i="5"/>
  <c r="L260" i="5"/>
  <c r="K261" i="5"/>
  <c r="L261" i="5"/>
  <c r="K262" i="5"/>
  <c r="L262" i="5"/>
  <c r="K263" i="5"/>
  <c r="L263" i="5"/>
  <c r="K264" i="5"/>
  <c r="L264" i="5"/>
  <c r="K265" i="5"/>
  <c r="L265" i="5"/>
  <c r="K266" i="5"/>
  <c r="L266" i="5"/>
  <c r="K267" i="5"/>
  <c r="L267" i="5"/>
  <c r="K268" i="5"/>
  <c r="L268" i="5"/>
  <c r="K269" i="5"/>
  <c r="L269" i="5"/>
  <c r="K270" i="5"/>
  <c r="L270" i="5"/>
  <c r="K271" i="5"/>
  <c r="L271" i="5"/>
  <c r="K272" i="5"/>
  <c r="L272" i="5"/>
  <c r="K273" i="5"/>
  <c r="L273" i="5"/>
  <c r="K274" i="5"/>
  <c r="L274" i="5"/>
  <c r="K275" i="5"/>
  <c r="L275" i="5"/>
  <c r="K276" i="5"/>
  <c r="L276" i="5"/>
  <c r="K277" i="5"/>
  <c r="L277" i="5"/>
  <c r="B231" i="5"/>
  <c r="C231" i="5"/>
  <c r="B230" i="5"/>
  <c r="C230" i="5"/>
  <c r="K230" i="5"/>
  <c r="L230" i="5"/>
  <c r="K231" i="5"/>
  <c r="L231" i="5"/>
  <c r="K232" i="5"/>
  <c r="L232" i="5"/>
  <c r="K233" i="5"/>
  <c r="L233" i="5"/>
  <c r="K234" i="5"/>
  <c r="L234" i="5"/>
  <c r="K235" i="5"/>
  <c r="L235" i="5"/>
  <c r="K236" i="5"/>
  <c r="L236" i="5"/>
  <c r="K237" i="5"/>
  <c r="L237" i="5"/>
  <c r="K238" i="5"/>
  <c r="L238" i="5"/>
  <c r="K239" i="5"/>
  <c r="L239" i="5"/>
  <c r="K240" i="5"/>
  <c r="L240" i="5"/>
  <c r="K241" i="5"/>
  <c r="L241" i="5"/>
  <c r="K242" i="5"/>
  <c r="L242" i="5"/>
  <c r="K243" i="5"/>
  <c r="L243" i="5"/>
  <c r="K244" i="5"/>
  <c r="L244" i="5"/>
  <c r="K245" i="5"/>
  <c r="L245" i="5"/>
  <c r="K246" i="5"/>
  <c r="L246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23" i="5"/>
  <c r="C223" i="5"/>
  <c r="B222" i="5"/>
  <c r="C222" i="5"/>
  <c r="B221" i="5"/>
  <c r="C221" i="5"/>
  <c r="B220" i="5"/>
  <c r="C220" i="5"/>
  <c r="K220" i="5"/>
  <c r="L220" i="5"/>
  <c r="K221" i="5"/>
  <c r="L221" i="5"/>
  <c r="K222" i="5"/>
  <c r="L222" i="5"/>
  <c r="K223" i="5"/>
  <c r="L223" i="5"/>
  <c r="K224" i="5"/>
  <c r="L224" i="5"/>
  <c r="K225" i="5"/>
  <c r="L225" i="5"/>
  <c r="K226" i="5"/>
  <c r="L226" i="5"/>
  <c r="K227" i="5"/>
  <c r="L227" i="5"/>
  <c r="K228" i="5"/>
  <c r="L228" i="5"/>
  <c r="K229" i="5"/>
  <c r="L229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K202" i="5"/>
  <c r="L202" i="5"/>
  <c r="K203" i="5"/>
  <c r="L203" i="5"/>
  <c r="K204" i="5"/>
  <c r="L204" i="5"/>
  <c r="K205" i="5"/>
  <c r="L205" i="5"/>
  <c r="K206" i="5"/>
  <c r="L206" i="5"/>
  <c r="K207" i="5"/>
  <c r="L207" i="5"/>
  <c r="K208" i="5"/>
  <c r="L208" i="5"/>
  <c r="K209" i="5"/>
  <c r="L209" i="5"/>
  <c r="K210" i="5"/>
  <c r="L210" i="5"/>
  <c r="K211" i="5"/>
  <c r="L211" i="5"/>
  <c r="K212" i="5"/>
  <c r="L212" i="5"/>
  <c r="K213" i="5"/>
  <c r="L213" i="5"/>
  <c r="K214" i="5"/>
  <c r="L214" i="5"/>
  <c r="K215" i="5"/>
  <c r="L215" i="5"/>
  <c r="K216" i="5"/>
  <c r="L216" i="5"/>
  <c r="K217" i="5"/>
  <c r="L217" i="5"/>
  <c r="K218" i="5"/>
  <c r="L218" i="5"/>
  <c r="K219" i="5"/>
  <c r="L219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185" i="5"/>
  <c r="C185" i="5"/>
  <c r="B184" i="5"/>
  <c r="C184" i="5"/>
  <c r="K201" i="5"/>
  <c r="L201" i="5"/>
  <c r="K185" i="5"/>
  <c r="L185" i="5"/>
  <c r="K186" i="5"/>
  <c r="L186" i="5"/>
  <c r="K187" i="5"/>
  <c r="L187" i="5"/>
  <c r="K188" i="5"/>
  <c r="L188" i="5"/>
  <c r="K189" i="5"/>
  <c r="L189" i="5"/>
  <c r="K190" i="5"/>
  <c r="L190" i="5"/>
  <c r="K191" i="5"/>
  <c r="L191" i="5"/>
  <c r="K192" i="5"/>
  <c r="L192" i="5"/>
  <c r="K193" i="5"/>
  <c r="L193" i="5"/>
  <c r="K194" i="5"/>
  <c r="L194" i="5"/>
  <c r="K195" i="5"/>
  <c r="L195" i="5"/>
  <c r="K196" i="5"/>
  <c r="L196" i="5"/>
  <c r="K197" i="5"/>
  <c r="L197" i="5"/>
  <c r="K198" i="5"/>
  <c r="L198" i="5"/>
  <c r="K199" i="5"/>
  <c r="L199" i="5"/>
  <c r="K200" i="5"/>
  <c r="L200" i="5"/>
  <c r="L184" i="5"/>
  <c r="K184" i="5"/>
  <c r="N635" i="5" l="1"/>
  <c r="N788" i="5"/>
  <c r="N606" i="5"/>
  <c r="N615" i="5"/>
  <c r="N629" i="5"/>
  <c r="N675" i="5"/>
  <c r="N669" i="5"/>
  <c r="N657" i="5"/>
  <c r="N651" i="5"/>
  <c r="N645" i="5"/>
  <c r="N735" i="5"/>
  <c r="N764" i="5"/>
  <c r="N752" i="5"/>
  <c r="N794" i="5"/>
  <c r="N782" i="5"/>
  <c r="N623" i="5"/>
  <c r="N681" i="5"/>
  <c r="N663" i="5"/>
  <c r="N770" i="5"/>
  <c r="N729" i="5"/>
  <c r="N758" i="5"/>
  <c r="N776" i="5"/>
  <c r="N621" i="5"/>
  <c r="N741" i="5"/>
  <c r="N746" i="5"/>
  <c r="N779" i="5"/>
  <c r="N75" i="8"/>
  <c r="N79" i="8"/>
  <c r="N65" i="8"/>
  <c r="N74" i="8"/>
  <c r="N76" i="8"/>
  <c r="N62" i="8"/>
  <c r="N64" i="8"/>
  <c r="N66" i="8"/>
  <c r="N70" i="8"/>
  <c r="N73" i="8"/>
  <c r="N63" i="8"/>
  <c r="N673" i="5"/>
  <c r="N796" i="5"/>
  <c r="N608" i="5"/>
  <c r="N602" i="5"/>
  <c r="N609" i="5"/>
  <c r="N617" i="5"/>
  <c r="N611" i="5"/>
  <c r="N637" i="5"/>
  <c r="N631" i="5"/>
  <c r="N625" i="5"/>
  <c r="N677" i="5"/>
  <c r="N671" i="5"/>
  <c r="N665" i="5"/>
  <c r="N659" i="5"/>
  <c r="N653" i="5"/>
  <c r="N647" i="5"/>
  <c r="N743" i="5"/>
  <c r="N737" i="5"/>
  <c r="N731" i="5"/>
  <c r="N725" i="5"/>
  <c r="N766" i="5"/>
  <c r="N754" i="5"/>
  <c r="N767" i="5"/>
  <c r="N790" i="5"/>
  <c r="N778" i="5"/>
  <c r="N744" i="5"/>
  <c r="N607" i="5"/>
  <c r="N601" i="5"/>
  <c r="N622" i="5"/>
  <c r="N616" i="5"/>
  <c r="N610" i="5"/>
  <c r="N630" i="5"/>
  <c r="N641" i="5"/>
  <c r="N676" i="5"/>
  <c r="N670" i="5"/>
  <c r="N664" i="5"/>
  <c r="N658" i="5"/>
  <c r="N652" i="5"/>
  <c r="N646" i="5"/>
  <c r="N742" i="5"/>
  <c r="N736" i="5"/>
  <c r="N730" i="5"/>
  <c r="N765" i="5"/>
  <c r="N759" i="5"/>
  <c r="N753" i="5"/>
  <c r="N747" i="5"/>
  <c r="N789" i="5"/>
  <c r="N783" i="5"/>
  <c r="N777" i="5"/>
  <c r="N771" i="5"/>
  <c r="N797" i="5"/>
  <c r="N795" i="5"/>
  <c r="N684" i="5"/>
  <c r="N688" i="5"/>
  <c r="N692" i="5"/>
  <c r="N696" i="5"/>
  <c r="N700" i="5"/>
  <c r="N704" i="5"/>
  <c r="N708" i="5"/>
  <c r="N712" i="5"/>
  <c r="N805" i="5"/>
  <c r="N599" i="5"/>
  <c r="N614" i="5"/>
  <c r="N640" i="5"/>
  <c r="N634" i="5"/>
  <c r="N628" i="5"/>
  <c r="N680" i="5"/>
  <c r="N674" i="5"/>
  <c r="N668" i="5"/>
  <c r="N662" i="5"/>
  <c r="N656" i="5"/>
  <c r="N650" i="5"/>
  <c r="N644" i="5"/>
  <c r="N723" i="5"/>
  <c r="N740" i="5"/>
  <c r="N734" i="5"/>
  <c r="N728" i="5"/>
  <c r="N763" i="5"/>
  <c r="N757" i="5"/>
  <c r="N751" i="5"/>
  <c r="N745" i="5"/>
  <c r="N793" i="5"/>
  <c r="N787" i="5"/>
  <c r="N781" i="5"/>
  <c r="N775" i="5"/>
  <c r="N769" i="5"/>
  <c r="N649" i="5"/>
  <c r="N683" i="5"/>
  <c r="N687" i="5"/>
  <c r="N691" i="5"/>
  <c r="N695" i="5"/>
  <c r="N699" i="5"/>
  <c r="N703" i="5"/>
  <c r="N707" i="5"/>
  <c r="N711" i="5"/>
  <c r="N715" i="5"/>
  <c r="N719" i="5"/>
  <c r="N756" i="5"/>
  <c r="N792" i="5"/>
  <c r="N780" i="5"/>
  <c r="N638" i="5"/>
  <c r="N672" i="5"/>
  <c r="N613" i="5"/>
  <c r="N661" i="5"/>
  <c r="N733" i="5"/>
  <c r="N612" i="5"/>
  <c r="N626" i="5"/>
  <c r="N660" i="5"/>
  <c r="N648" i="5"/>
  <c r="N720" i="5"/>
  <c r="N732" i="5"/>
  <c r="N755" i="5"/>
  <c r="N791" i="5"/>
  <c r="N803" i="5"/>
  <c r="N604" i="5"/>
  <c r="N598" i="5"/>
  <c r="N619" i="5"/>
  <c r="N639" i="5"/>
  <c r="N633" i="5"/>
  <c r="N627" i="5"/>
  <c r="N679" i="5"/>
  <c r="N667" i="5"/>
  <c r="N655" i="5"/>
  <c r="N643" i="5"/>
  <c r="N724" i="5"/>
  <c r="N739" i="5"/>
  <c r="N727" i="5"/>
  <c r="N762" i="5"/>
  <c r="N750" i="5"/>
  <c r="N786" i="5"/>
  <c r="N774" i="5"/>
  <c r="N603" i="5"/>
  <c r="N597" i="5"/>
  <c r="N618" i="5"/>
  <c r="N632" i="5"/>
  <c r="N678" i="5"/>
  <c r="N666" i="5"/>
  <c r="N654" i="5"/>
  <c r="N642" i="5"/>
  <c r="N738" i="5"/>
  <c r="N726" i="5"/>
  <c r="N761" i="5"/>
  <c r="N749" i="5"/>
  <c r="N785" i="5"/>
  <c r="N773" i="5"/>
  <c r="N716" i="5"/>
  <c r="N760" i="5"/>
  <c r="N748" i="5"/>
  <c r="N784" i="5"/>
  <c r="N772" i="5"/>
  <c r="N636" i="5"/>
  <c r="N624" i="5"/>
  <c r="N685" i="5"/>
  <c r="N689" i="5"/>
  <c r="N693" i="5"/>
  <c r="N697" i="5"/>
  <c r="N701" i="5"/>
  <c r="N705" i="5"/>
  <c r="N709" i="5"/>
  <c r="N713" i="5"/>
  <c r="N717" i="5"/>
  <c r="N721" i="5"/>
  <c r="N768" i="5"/>
  <c r="N600" i="5"/>
  <c r="N605" i="5"/>
  <c r="N620" i="5"/>
  <c r="N804" i="5"/>
  <c r="N798" i="5"/>
  <c r="N799" i="5"/>
  <c r="N802" i="5"/>
  <c r="N801" i="5"/>
  <c r="N806" i="5"/>
  <c r="N800" i="5"/>
  <c r="N590" i="5"/>
  <c r="N589" i="5"/>
  <c r="N574" i="5"/>
  <c r="N568" i="5"/>
  <c r="N533" i="5"/>
  <c r="N585" i="5"/>
  <c r="N573" i="5"/>
  <c r="N579" i="5"/>
  <c r="N521" i="5"/>
  <c r="N509" i="5"/>
  <c r="N511" i="5"/>
  <c r="N545" i="5"/>
  <c r="N557" i="5"/>
  <c r="N497" i="5"/>
  <c r="N565" i="5"/>
  <c r="N567" i="5"/>
  <c r="N528" i="5"/>
  <c r="N516" i="5"/>
  <c r="N504" i="5"/>
  <c r="N492" i="5"/>
  <c r="N558" i="5"/>
  <c r="N552" i="5"/>
  <c r="N546" i="5"/>
  <c r="N572" i="5"/>
  <c r="N534" i="5"/>
  <c r="N522" i="5"/>
  <c r="N510" i="5"/>
  <c r="N498" i="5"/>
  <c r="N564" i="5"/>
  <c r="N566" i="5"/>
  <c r="N540" i="5"/>
  <c r="N595" i="5"/>
  <c r="N596" i="5"/>
  <c r="N559" i="5"/>
  <c r="N594" i="5"/>
  <c r="N592" i="5"/>
  <c r="N584" i="5"/>
  <c r="N489" i="5"/>
  <c r="N537" i="5"/>
  <c r="N531" i="5"/>
  <c r="N525" i="5"/>
  <c r="N519" i="5"/>
  <c r="N513" i="5"/>
  <c r="N507" i="5"/>
  <c r="N501" i="5"/>
  <c r="N495" i="5"/>
  <c r="N543" i="5"/>
  <c r="N561" i="5"/>
  <c r="N555" i="5"/>
  <c r="N549" i="5"/>
  <c r="N588" i="5"/>
  <c r="N542" i="5"/>
  <c r="N536" i="5"/>
  <c r="N530" i="5"/>
  <c r="N524" i="5"/>
  <c r="N518" i="5"/>
  <c r="N512" i="5"/>
  <c r="N506" i="5"/>
  <c r="N500" i="5"/>
  <c r="N494" i="5"/>
  <c r="N544" i="5"/>
  <c r="N560" i="5"/>
  <c r="N554" i="5"/>
  <c r="N548" i="5"/>
  <c r="N578" i="5"/>
  <c r="N541" i="5"/>
  <c r="N535" i="5"/>
  <c r="N529" i="5"/>
  <c r="N523" i="5"/>
  <c r="N517" i="5"/>
  <c r="N505" i="5"/>
  <c r="N499" i="5"/>
  <c r="N493" i="5"/>
  <c r="N553" i="5"/>
  <c r="N547" i="5"/>
  <c r="N586" i="5"/>
  <c r="N580" i="5"/>
  <c r="N591" i="5"/>
  <c r="N570" i="5"/>
  <c r="N583" i="5"/>
  <c r="N577" i="5"/>
  <c r="N571" i="5"/>
  <c r="N593" i="5"/>
  <c r="N539" i="5"/>
  <c r="N551" i="5"/>
  <c r="N587" i="5"/>
  <c r="N538" i="5"/>
  <c r="N532" i="5"/>
  <c r="N526" i="5"/>
  <c r="N520" i="5"/>
  <c r="N514" i="5"/>
  <c r="N508" i="5"/>
  <c r="N502" i="5"/>
  <c r="N496" i="5"/>
  <c r="N490" i="5"/>
  <c r="N562" i="5"/>
  <c r="N556" i="5"/>
  <c r="N550" i="5"/>
  <c r="N581" i="5"/>
  <c r="N575" i="5"/>
  <c r="N569" i="5"/>
  <c r="N503" i="5"/>
  <c r="N563" i="5"/>
  <c r="N576" i="5"/>
  <c r="N515" i="5"/>
  <c r="N582" i="5"/>
  <c r="N527" i="5"/>
  <c r="N491" i="5"/>
  <c r="N417" i="5"/>
  <c r="N449" i="5"/>
  <c r="N443" i="5"/>
  <c r="N437" i="5"/>
  <c r="N431" i="5"/>
  <c r="N425" i="5"/>
  <c r="N419" i="5"/>
  <c r="N485" i="5"/>
  <c r="N479" i="5"/>
  <c r="N453" i="5"/>
  <c r="N455" i="5"/>
  <c r="N459" i="5"/>
  <c r="N457" i="5"/>
  <c r="N429" i="5"/>
  <c r="N471" i="5"/>
  <c r="N441" i="5"/>
  <c r="N483" i="5"/>
  <c r="N447" i="5"/>
  <c r="N423" i="5"/>
  <c r="N465" i="5"/>
  <c r="N450" i="5"/>
  <c r="N438" i="5"/>
  <c r="N426" i="5"/>
  <c r="N486" i="5"/>
  <c r="N435" i="5"/>
  <c r="N477" i="5"/>
  <c r="N473" i="5"/>
  <c r="N467" i="5"/>
  <c r="N461" i="5"/>
  <c r="N452" i="5"/>
  <c r="N428" i="5"/>
  <c r="N488" i="5"/>
  <c r="N464" i="5"/>
  <c r="N481" i="5"/>
  <c r="N469" i="5"/>
  <c r="N474" i="5"/>
  <c r="N462" i="5"/>
  <c r="N440" i="5"/>
  <c r="N476" i="5"/>
  <c r="N448" i="5"/>
  <c r="N436" i="5"/>
  <c r="N424" i="5"/>
  <c r="N484" i="5"/>
  <c r="N472" i="5"/>
  <c r="N446" i="5"/>
  <c r="N434" i="5"/>
  <c r="N422" i="5"/>
  <c r="N482" i="5"/>
  <c r="N470" i="5"/>
  <c r="N458" i="5"/>
  <c r="N427" i="5"/>
  <c r="N463" i="5"/>
  <c r="N444" i="5"/>
  <c r="N432" i="5"/>
  <c r="N420" i="5"/>
  <c r="N480" i="5"/>
  <c r="N468" i="5"/>
  <c r="N456" i="5"/>
  <c r="N439" i="5"/>
  <c r="N487" i="5"/>
  <c r="N460" i="5"/>
  <c r="N451" i="5"/>
  <c r="N433" i="5"/>
  <c r="N475" i="5"/>
  <c r="N418" i="5"/>
  <c r="N442" i="5"/>
  <c r="N430" i="5"/>
  <c r="N454" i="5"/>
  <c r="N478" i="5"/>
  <c r="N466" i="5"/>
  <c r="N445" i="5"/>
  <c r="N421" i="5"/>
  <c r="N14" i="10"/>
  <c r="N16" i="10"/>
  <c r="N19" i="10"/>
  <c r="N3" i="10"/>
  <c r="N393" i="5"/>
  <c r="N387" i="5"/>
  <c r="N381" i="5"/>
  <c r="N319" i="5"/>
  <c r="N347" i="5"/>
  <c r="N359" i="5"/>
  <c r="N353" i="5"/>
  <c r="N375" i="5"/>
  <c r="N374" i="5"/>
  <c r="N396" i="5"/>
  <c r="N386" i="5"/>
  <c r="N380" i="5"/>
  <c r="N392" i="5"/>
  <c r="N368" i="5"/>
  <c r="N369" i="5"/>
  <c r="N379" i="5"/>
  <c r="N408" i="5"/>
  <c r="N407" i="5"/>
  <c r="N363" i="5"/>
  <c r="N357" i="5"/>
  <c r="N351" i="5"/>
  <c r="N362" i="5"/>
  <c r="N367" i="5"/>
  <c r="N364" i="5"/>
  <c r="N358" i="5"/>
  <c r="N352" i="5"/>
  <c r="N405" i="5"/>
  <c r="N365" i="5"/>
  <c r="N384" i="5"/>
  <c r="N372" i="5"/>
  <c r="N406" i="5"/>
  <c r="N356" i="5"/>
  <c r="N350" i="5"/>
  <c r="N394" i="5"/>
  <c r="N382" i="5"/>
  <c r="N400" i="5"/>
  <c r="N412" i="5"/>
  <c r="N361" i="5"/>
  <c r="N355" i="5"/>
  <c r="N349" i="5"/>
  <c r="N398" i="5"/>
  <c r="N366" i="5"/>
  <c r="N416" i="5"/>
  <c r="N404" i="5"/>
  <c r="N354" i="5"/>
  <c r="N415" i="5"/>
  <c r="N414" i="5"/>
  <c r="N402" i="5"/>
  <c r="N397" i="5"/>
  <c r="N413" i="5"/>
  <c r="N401" i="5"/>
  <c r="N360" i="5"/>
  <c r="N348" i="5"/>
  <c r="N403" i="5"/>
  <c r="N391" i="5"/>
  <c r="N385" i="5"/>
  <c r="N373" i="5"/>
  <c r="N410" i="5"/>
  <c r="N409" i="5"/>
  <c r="N411" i="5"/>
  <c r="N399" i="5"/>
  <c r="N388" i="5"/>
  <c r="N376" i="5"/>
  <c r="N370" i="5"/>
  <c r="N389" i="5"/>
  <c r="N377" i="5"/>
  <c r="N383" i="5"/>
  <c r="N395" i="5"/>
  <c r="N390" i="5"/>
  <c r="N378" i="5"/>
  <c r="N371" i="5"/>
  <c r="N313" i="5"/>
  <c r="N345" i="5"/>
  <c r="N339" i="5"/>
  <c r="N331" i="5"/>
  <c r="N344" i="5"/>
  <c r="N338" i="5"/>
  <c r="N291" i="5"/>
  <c r="N273" i="5"/>
  <c r="N303" i="5"/>
  <c r="N318" i="5"/>
  <c r="N281" i="5"/>
  <c r="N300" i="5"/>
  <c r="N346" i="5"/>
  <c r="N297" i="5"/>
  <c r="N267" i="5"/>
  <c r="N248" i="5"/>
  <c r="N236" i="5"/>
  <c r="N309" i="5"/>
  <c r="N322" i="5"/>
  <c r="N287" i="5"/>
  <c r="N334" i="5"/>
  <c r="N316" i="5"/>
  <c r="N278" i="5"/>
  <c r="N304" i="5"/>
  <c r="N292" i="5"/>
  <c r="N325" i="5"/>
  <c r="N328" i="5"/>
  <c r="N327" i="5"/>
  <c r="N315" i="5"/>
  <c r="N333" i="5"/>
  <c r="N321" i="5"/>
  <c r="N305" i="5"/>
  <c r="N293" i="5"/>
  <c r="N332" i="5"/>
  <c r="N326" i="5"/>
  <c r="N320" i="5"/>
  <c r="N314" i="5"/>
  <c r="N258" i="5"/>
  <c r="N252" i="5"/>
  <c r="N246" i="5"/>
  <c r="N240" i="5"/>
  <c r="N330" i="5"/>
  <c r="N289" i="5"/>
  <c r="N283" i="5"/>
  <c r="N308" i="5"/>
  <c r="N302" i="5"/>
  <c r="N296" i="5"/>
  <c r="N290" i="5"/>
  <c r="N329" i="5"/>
  <c r="N317" i="5"/>
  <c r="N288" i="5"/>
  <c r="N306" i="5"/>
  <c r="N294" i="5"/>
  <c r="N312" i="5"/>
  <c r="N324" i="5"/>
  <c r="N343" i="5"/>
  <c r="N234" i="5"/>
  <c r="N337" i="5"/>
  <c r="N341" i="5"/>
  <c r="N279" i="5"/>
  <c r="N253" i="5"/>
  <c r="N280" i="5"/>
  <c r="N299" i="5"/>
  <c r="N323" i="5"/>
  <c r="N336" i="5"/>
  <c r="N310" i="5"/>
  <c r="N286" i="5"/>
  <c r="N335" i="5"/>
  <c r="N298" i="5"/>
  <c r="N307" i="5"/>
  <c r="N301" i="5"/>
  <c r="N295" i="5"/>
  <c r="N311" i="5"/>
  <c r="N282" i="5"/>
  <c r="N342" i="5"/>
  <c r="N272" i="5"/>
  <c r="N340" i="5"/>
  <c r="N217" i="5"/>
  <c r="N261" i="5"/>
  <c r="N255" i="5"/>
  <c r="N249" i="5"/>
  <c r="N285" i="5"/>
  <c r="N284" i="5"/>
  <c r="N264" i="5"/>
  <c r="N270" i="5"/>
  <c r="N208" i="5"/>
  <c r="N226" i="5"/>
  <c r="N197" i="5"/>
  <c r="N260" i="5"/>
  <c r="N190" i="5"/>
  <c r="N196" i="5"/>
  <c r="N271" i="5"/>
  <c r="N259" i="5"/>
  <c r="N277" i="5"/>
  <c r="N265" i="5"/>
  <c r="N247" i="5"/>
  <c r="N235" i="5"/>
  <c r="N209" i="5"/>
  <c r="N275" i="5"/>
  <c r="N269" i="5"/>
  <c r="N263" i="5"/>
  <c r="N257" i="5"/>
  <c r="N251" i="5"/>
  <c r="N245" i="5"/>
  <c r="N239" i="5"/>
  <c r="N233" i="5"/>
  <c r="N192" i="5"/>
  <c r="N274" i="5"/>
  <c r="N268" i="5"/>
  <c r="N262" i="5"/>
  <c r="N256" i="5"/>
  <c r="N250" i="5"/>
  <c r="N244" i="5"/>
  <c r="N238" i="5"/>
  <c r="N232" i="5"/>
  <c r="N199" i="5"/>
  <c r="N193" i="5"/>
  <c r="N187" i="5"/>
  <c r="N220" i="5"/>
  <c r="N276" i="5"/>
  <c r="N237" i="5"/>
  <c r="N191" i="5"/>
  <c r="N243" i="5"/>
  <c r="N213" i="5"/>
  <c r="N212" i="5"/>
  <c r="N206" i="5"/>
  <c r="N225" i="5"/>
  <c r="N200" i="5"/>
  <c r="N223" i="5"/>
  <c r="N224" i="5"/>
  <c r="N205" i="5"/>
  <c r="N266" i="5"/>
  <c r="N254" i="5"/>
  <c r="N242" i="5"/>
  <c r="N188" i="5"/>
  <c r="N198" i="5"/>
  <c r="N186" i="5"/>
  <c r="N216" i="5"/>
  <c r="N204" i="5"/>
  <c r="N229" i="5"/>
  <c r="N241" i="5"/>
  <c r="N228" i="5"/>
  <c r="N194" i="5"/>
  <c r="N184" i="5"/>
  <c r="N222" i="5"/>
  <c r="N185" i="5"/>
  <c r="N201" i="5"/>
  <c r="N195" i="5"/>
  <c r="N189" i="5"/>
  <c r="N221" i="5"/>
  <c r="N210" i="5"/>
  <c r="N230" i="5"/>
  <c r="N215" i="5"/>
  <c r="N203" i="5"/>
  <c r="N227" i="5"/>
  <c r="N231" i="5"/>
  <c r="N214" i="5"/>
  <c r="N202" i="5"/>
  <c r="N219" i="5"/>
  <c r="N207" i="5"/>
  <c r="N218" i="5"/>
  <c r="N211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63" i="5"/>
  <c r="C163" i="5"/>
  <c r="B162" i="5"/>
  <c r="C162" i="5"/>
  <c r="B161" i="5"/>
  <c r="C161" i="5"/>
  <c r="B160" i="5"/>
  <c r="C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60" i="5"/>
  <c r="K151" i="5"/>
  <c r="L151" i="5"/>
  <c r="K152" i="5"/>
  <c r="L152" i="5"/>
  <c r="K153" i="5"/>
  <c r="L153" i="5"/>
  <c r="K154" i="5"/>
  <c r="L154" i="5"/>
  <c r="K155" i="5"/>
  <c r="L155" i="5"/>
  <c r="K156" i="5"/>
  <c r="L156" i="5"/>
  <c r="K157" i="5"/>
  <c r="L157" i="5"/>
  <c r="K158" i="5"/>
  <c r="L158" i="5"/>
  <c r="K159" i="5"/>
  <c r="L159" i="5"/>
  <c r="C152" i="5"/>
  <c r="C153" i="5"/>
  <c r="C154" i="5"/>
  <c r="C155" i="5"/>
  <c r="C156" i="5"/>
  <c r="C157" i="5"/>
  <c r="C158" i="5"/>
  <c r="C159" i="5"/>
  <c r="B152" i="5"/>
  <c r="B153" i="5"/>
  <c r="B154" i="5"/>
  <c r="B155" i="5"/>
  <c r="B156" i="5"/>
  <c r="B157" i="5"/>
  <c r="B158" i="5"/>
  <c r="B159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45" i="5"/>
  <c r="C145" i="5"/>
  <c r="B144" i="5"/>
  <c r="C144" i="5"/>
  <c r="K144" i="5"/>
  <c r="L144" i="5"/>
  <c r="K145" i="5"/>
  <c r="L145" i="5"/>
  <c r="K146" i="5"/>
  <c r="L146" i="5"/>
  <c r="K147" i="5"/>
  <c r="L147" i="5"/>
  <c r="K148" i="5"/>
  <c r="L148" i="5"/>
  <c r="K149" i="5"/>
  <c r="L149" i="5"/>
  <c r="K150" i="5"/>
  <c r="L150" i="5"/>
  <c r="N179" i="5" l="1"/>
  <c r="N175" i="5"/>
  <c r="N166" i="5"/>
  <c r="N171" i="5"/>
  <c r="N167" i="5"/>
  <c r="N163" i="5"/>
  <c r="N174" i="5"/>
  <c r="N168" i="5"/>
  <c r="N182" i="5"/>
  <c r="N176" i="5"/>
  <c r="N181" i="5"/>
  <c r="N169" i="5"/>
  <c r="N180" i="5"/>
  <c r="N162" i="5"/>
  <c r="N173" i="5"/>
  <c r="N161" i="5"/>
  <c r="N178" i="5"/>
  <c r="N172" i="5"/>
  <c r="N177" i="5"/>
  <c r="N165" i="5"/>
  <c r="N170" i="5"/>
  <c r="N164" i="5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L3" i="10"/>
  <c r="K3" i="10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L3" i="8"/>
  <c r="K3" i="8"/>
  <c r="K132" i="5"/>
  <c r="L132" i="5"/>
  <c r="K133" i="5"/>
  <c r="L133" i="5"/>
  <c r="K134" i="5"/>
  <c r="L134" i="5"/>
  <c r="K135" i="5"/>
  <c r="L135" i="5"/>
  <c r="K136" i="5"/>
  <c r="L136" i="5"/>
  <c r="K137" i="5"/>
  <c r="L137" i="5"/>
  <c r="K138" i="5"/>
  <c r="L138" i="5"/>
  <c r="K139" i="5"/>
  <c r="L139" i="5"/>
  <c r="K140" i="5"/>
  <c r="L140" i="5"/>
  <c r="K141" i="5"/>
  <c r="L141" i="5"/>
  <c r="K142" i="5"/>
  <c r="L142" i="5"/>
  <c r="K143" i="5"/>
  <c r="L143" i="5"/>
  <c r="B143" i="5"/>
  <c r="C143" i="5"/>
  <c r="B142" i="5"/>
  <c r="C142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33" i="5"/>
  <c r="C133" i="5"/>
  <c r="B132" i="5"/>
  <c r="C132" i="5"/>
  <c r="K128" i="5"/>
  <c r="L128" i="5"/>
  <c r="K129" i="5"/>
  <c r="L129" i="5"/>
  <c r="K130" i="5"/>
  <c r="L130" i="5"/>
  <c r="K131" i="5"/>
  <c r="L131" i="5"/>
  <c r="B131" i="5"/>
  <c r="C131" i="5"/>
  <c r="B130" i="5"/>
  <c r="C130" i="5"/>
  <c r="B129" i="5"/>
  <c r="C129" i="5"/>
  <c r="B128" i="5"/>
  <c r="C128" i="5"/>
  <c r="K121" i="5"/>
  <c r="L121" i="5"/>
  <c r="K122" i="5"/>
  <c r="L122" i="5"/>
  <c r="K123" i="5"/>
  <c r="L123" i="5"/>
  <c r="K124" i="5"/>
  <c r="L124" i="5"/>
  <c r="K125" i="5"/>
  <c r="L125" i="5"/>
  <c r="K126" i="5"/>
  <c r="L126" i="5"/>
  <c r="K127" i="5"/>
  <c r="L127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1" i="5"/>
  <c r="C121" i="5"/>
  <c r="K114" i="5"/>
  <c r="L114" i="5"/>
  <c r="K115" i="5"/>
  <c r="L115" i="5"/>
  <c r="K116" i="5"/>
  <c r="L116" i="5"/>
  <c r="K117" i="5"/>
  <c r="L117" i="5"/>
  <c r="K118" i="5"/>
  <c r="L118" i="5"/>
  <c r="K119" i="5"/>
  <c r="L119" i="5"/>
  <c r="K120" i="5"/>
  <c r="L120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K97" i="5"/>
  <c r="L97" i="5"/>
  <c r="K98" i="5"/>
  <c r="L98" i="5"/>
  <c r="K99" i="5"/>
  <c r="L99" i="5"/>
  <c r="K100" i="5"/>
  <c r="L100" i="5"/>
  <c r="K101" i="5"/>
  <c r="L101" i="5"/>
  <c r="K102" i="5"/>
  <c r="L102" i="5"/>
  <c r="K103" i="5"/>
  <c r="L103" i="5"/>
  <c r="K104" i="5"/>
  <c r="L104" i="5"/>
  <c r="K105" i="5"/>
  <c r="L105" i="5"/>
  <c r="K106" i="5"/>
  <c r="L106" i="5"/>
  <c r="K107" i="5"/>
  <c r="L107" i="5"/>
  <c r="K108" i="5"/>
  <c r="L108" i="5"/>
  <c r="K109" i="5"/>
  <c r="L109" i="5"/>
  <c r="K110" i="5"/>
  <c r="L110" i="5"/>
  <c r="K111" i="5"/>
  <c r="L111" i="5"/>
  <c r="K112" i="5"/>
  <c r="L112" i="5"/>
  <c r="K113" i="5"/>
  <c r="L113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K77" i="5"/>
  <c r="L77" i="5"/>
  <c r="K78" i="5"/>
  <c r="L78" i="5"/>
  <c r="K79" i="5"/>
  <c r="L79" i="5"/>
  <c r="K80" i="5"/>
  <c r="L80" i="5"/>
  <c r="K81" i="5"/>
  <c r="L81" i="5"/>
  <c r="K82" i="5"/>
  <c r="L82" i="5"/>
  <c r="K83" i="5"/>
  <c r="L83" i="5"/>
  <c r="K84" i="5"/>
  <c r="L84" i="5"/>
  <c r="K85" i="5"/>
  <c r="L85" i="5"/>
  <c r="K86" i="5"/>
  <c r="L86" i="5"/>
  <c r="K87" i="5"/>
  <c r="L87" i="5"/>
  <c r="K88" i="5"/>
  <c r="L88" i="5"/>
  <c r="K89" i="5"/>
  <c r="L89" i="5"/>
  <c r="K90" i="5"/>
  <c r="L90" i="5"/>
  <c r="K91" i="5"/>
  <c r="L91" i="5"/>
  <c r="K92" i="5"/>
  <c r="L92" i="5"/>
  <c r="K93" i="5"/>
  <c r="L93" i="5"/>
  <c r="K94" i="5"/>
  <c r="L94" i="5"/>
  <c r="K95" i="5"/>
  <c r="L95" i="5"/>
  <c r="K96" i="5"/>
  <c r="L96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78" i="5"/>
  <c r="C78" i="5"/>
  <c r="B79" i="5"/>
  <c r="C79" i="5"/>
  <c r="B81" i="5"/>
  <c r="C81" i="5"/>
  <c r="B80" i="5"/>
  <c r="C80" i="5"/>
  <c r="B82" i="5"/>
  <c r="C82" i="5"/>
  <c r="B77" i="5"/>
  <c r="C77" i="5"/>
  <c r="K71" i="5"/>
  <c r="L71" i="5"/>
  <c r="K72" i="5"/>
  <c r="L72" i="5"/>
  <c r="K73" i="5"/>
  <c r="L73" i="5"/>
  <c r="K74" i="5"/>
  <c r="L74" i="5"/>
  <c r="K75" i="5"/>
  <c r="L75" i="5"/>
  <c r="K76" i="5"/>
  <c r="L76" i="5"/>
  <c r="B72" i="5"/>
  <c r="C72" i="5"/>
  <c r="B73" i="5"/>
  <c r="C73" i="5"/>
  <c r="B74" i="5"/>
  <c r="C74" i="5"/>
  <c r="B75" i="5"/>
  <c r="C75" i="5"/>
  <c r="B76" i="5"/>
  <c r="C76" i="5"/>
  <c r="B71" i="5"/>
  <c r="C71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83" i="5"/>
  <c r="K68" i="5"/>
  <c r="L68" i="5"/>
  <c r="B68" i="5"/>
  <c r="C68" i="5"/>
  <c r="B65" i="5"/>
  <c r="C65" i="5"/>
  <c r="K65" i="5"/>
  <c r="L65" i="5"/>
  <c r="K59" i="5"/>
  <c r="L59" i="5"/>
  <c r="K60" i="5"/>
  <c r="L60" i="5"/>
  <c r="C59" i="5"/>
  <c r="C60" i="5"/>
  <c r="B59" i="5"/>
  <c r="B60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61" i="5"/>
  <c r="C61" i="5"/>
  <c r="B62" i="5"/>
  <c r="C62" i="5"/>
  <c r="B63" i="5"/>
  <c r="C63" i="5"/>
  <c r="B64" i="5"/>
  <c r="C64" i="5"/>
  <c r="B66" i="5"/>
  <c r="C66" i="5"/>
  <c r="B67" i="5"/>
  <c r="C67" i="5"/>
  <c r="B69" i="5"/>
  <c r="C69" i="5"/>
  <c r="B70" i="5"/>
  <c r="C70" i="5"/>
  <c r="K49" i="5"/>
  <c r="L49" i="5"/>
  <c r="K50" i="5"/>
  <c r="L50" i="5"/>
  <c r="K51" i="5"/>
  <c r="L51" i="5"/>
  <c r="K52" i="5"/>
  <c r="L52" i="5"/>
  <c r="K53" i="5"/>
  <c r="L53" i="5"/>
  <c r="K54" i="5"/>
  <c r="L54" i="5"/>
  <c r="K55" i="5"/>
  <c r="L55" i="5"/>
  <c r="K56" i="5"/>
  <c r="L56" i="5"/>
  <c r="K57" i="5"/>
  <c r="L57" i="5"/>
  <c r="K58" i="5"/>
  <c r="L58" i="5"/>
  <c r="K61" i="5"/>
  <c r="L61" i="5"/>
  <c r="K62" i="5"/>
  <c r="L62" i="5"/>
  <c r="K63" i="5"/>
  <c r="L63" i="5"/>
  <c r="K64" i="5"/>
  <c r="L64" i="5"/>
  <c r="K66" i="5"/>
  <c r="L66" i="5"/>
  <c r="K67" i="5"/>
  <c r="L67" i="5"/>
  <c r="K69" i="5"/>
  <c r="L69" i="5"/>
  <c r="K70" i="5"/>
  <c r="L70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3" i="5"/>
  <c r="B49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K33" i="5"/>
  <c r="L33" i="5"/>
  <c r="K34" i="5"/>
  <c r="L34" i="5"/>
  <c r="K35" i="5"/>
  <c r="L35" i="5"/>
  <c r="K36" i="5"/>
  <c r="L36" i="5"/>
  <c r="K37" i="5"/>
  <c r="L37" i="5"/>
  <c r="K38" i="5"/>
  <c r="L38" i="5"/>
  <c r="K39" i="5"/>
  <c r="L39" i="5"/>
  <c r="K40" i="5"/>
  <c r="L40" i="5"/>
  <c r="K41" i="5"/>
  <c r="L41" i="5"/>
  <c r="K42" i="5"/>
  <c r="L42" i="5"/>
  <c r="K43" i="5"/>
  <c r="L43" i="5"/>
  <c r="K44" i="5"/>
  <c r="L44" i="5"/>
  <c r="K45" i="5"/>
  <c r="L45" i="5"/>
  <c r="K46" i="5"/>
  <c r="L46" i="5"/>
  <c r="K47" i="5"/>
  <c r="L47" i="5"/>
  <c r="K48" i="5"/>
  <c r="L48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L3" i="5"/>
  <c r="K3" i="5"/>
  <c r="N15" i="5" l="1"/>
  <c r="N78" i="5"/>
  <c r="N86" i="5"/>
  <c r="N134" i="5"/>
  <c r="N116" i="5"/>
  <c r="N126" i="5"/>
  <c r="N142" i="5"/>
  <c r="N120" i="5"/>
  <c r="N111" i="5"/>
  <c r="N140" i="5"/>
  <c r="N131" i="5"/>
  <c r="N107" i="5"/>
  <c r="N101" i="5"/>
  <c r="N110" i="5"/>
  <c r="N104" i="5"/>
  <c r="N98" i="5"/>
  <c r="N92" i="5"/>
  <c r="N113" i="5"/>
  <c r="N117" i="5"/>
  <c r="N108" i="5"/>
  <c r="N102" i="5"/>
  <c r="N112" i="5"/>
  <c r="N106" i="5"/>
  <c r="N100" i="5"/>
  <c r="N79" i="5"/>
  <c r="N82" i="5"/>
  <c r="N90" i="5"/>
  <c r="N84" i="5"/>
  <c r="N105" i="5"/>
  <c r="N99" i="5"/>
  <c r="N115" i="5"/>
  <c r="N125" i="5"/>
  <c r="N80" i="5"/>
  <c r="N89" i="5"/>
  <c r="N83" i="5"/>
  <c r="N114" i="5"/>
  <c r="N124" i="5"/>
  <c r="N87" i="5"/>
  <c r="N88" i="5"/>
  <c r="N123" i="5"/>
  <c r="N133" i="5"/>
  <c r="N136" i="5"/>
  <c r="N130" i="5"/>
  <c r="N137" i="5"/>
  <c r="N109" i="5"/>
  <c r="N132" i="5"/>
  <c r="N103" i="5"/>
  <c r="N97" i="5"/>
  <c r="N77" i="5"/>
  <c r="N91" i="5"/>
  <c r="N85" i="5"/>
  <c r="N122" i="5"/>
  <c r="N141" i="5"/>
  <c r="N135" i="5"/>
  <c r="N127" i="5"/>
  <c r="N81" i="5"/>
  <c r="N138" i="5"/>
  <c r="N73" i="5"/>
  <c r="N128" i="5"/>
  <c r="N139" i="5"/>
  <c r="N129" i="5"/>
  <c r="N119" i="5"/>
  <c r="N118" i="5"/>
  <c r="N121" i="5"/>
  <c r="N93" i="5"/>
  <c r="N143" i="5"/>
  <c r="N95" i="5"/>
  <c r="N94" i="5"/>
  <c r="N96" i="5"/>
  <c r="N76" i="5"/>
  <c r="N67" i="5"/>
  <c r="N74" i="5"/>
  <c r="N75" i="5"/>
  <c r="N70" i="5"/>
  <c r="N62" i="5"/>
  <c r="N72" i="5"/>
  <c r="N69" i="5"/>
  <c r="N71" i="5"/>
  <c r="N60" i="5"/>
  <c r="N68" i="5"/>
  <c r="N63" i="5"/>
  <c r="N65" i="5"/>
  <c r="N61" i="5"/>
  <c r="N64" i="5"/>
  <c r="N66" i="5"/>
  <c r="N59" i="5"/>
  <c r="N836" i="5"/>
  <c r="N835" i="5"/>
  <c r="N834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4" i="5"/>
  <c r="N13" i="5"/>
  <c r="N12" i="5"/>
  <c r="N11" i="5"/>
  <c r="N10" i="5"/>
  <c r="N9" i="5"/>
  <c r="N8" i="5"/>
  <c r="N7" i="5"/>
  <c r="N6" i="5"/>
  <c r="N5" i="5"/>
  <c r="N4" i="5"/>
  <c r="N3" i="5"/>
  <c r="AD22" i="3" l="1"/>
  <c r="AD23" i="3"/>
  <c r="AD24" i="3"/>
  <c r="AD25" i="3"/>
  <c r="AD82" i="3" l="1"/>
  <c r="AD81" i="3"/>
  <c r="AD80" i="3"/>
  <c r="AD79" i="3"/>
  <c r="AD78" i="3"/>
  <c r="AD77" i="3"/>
  <c r="AD76" i="3"/>
  <c r="AD75" i="3"/>
  <c r="AD74" i="3"/>
  <c r="AD73" i="3"/>
  <c r="AD72" i="3"/>
  <c r="AD71" i="3"/>
  <c r="AD70" i="3"/>
  <c r="AD69" i="3"/>
  <c r="AD68" i="3"/>
  <c r="AD67" i="3"/>
  <c r="AD66" i="3"/>
  <c r="AD65" i="3"/>
  <c r="AD64" i="3"/>
  <c r="AD63" i="3"/>
  <c r="AD62" i="3"/>
  <c r="AD61" i="3"/>
  <c r="AD60" i="3"/>
  <c r="AD59" i="3"/>
  <c r="AD58" i="3"/>
  <c r="AD57" i="3"/>
  <c r="AD56" i="3"/>
  <c r="AD55" i="3"/>
  <c r="AD54" i="3"/>
  <c r="AD53" i="3"/>
  <c r="AD52" i="3"/>
  <c r="AD51" i="3"/>
  <c r="AD50" i="3"/>
  <c r="AD49" i="3"/>
  <c r="AD48" i="3"/>
  <c r="AD47" i="3"/>
  <c r="AD46" i="3"/>
  <c r="AD45" i="3"/>
  <c r="AD44" i="3"/>
  <c r="AD43" i="3"/>
  <c r="AD42" i="3"/>
  <c r="AD41" i="3"/>
  <c r="AD40" i="3"/>
  <c r="AD39" i="3"/>
  <c r="AD38" i="3"/>
  <c r="AD37" i="3"/>
  <c r="AD36" i="3"/>
  <c r="AD35" i="3"/>
  <c r="AD34" i="3"/>
  <c r="AD33" i="3"/>
  <c r="AD32" i="3"/>
  <c r="AD31" i="3"/>
  <c r="AD26" i="3"/>
  <c r="AD21" i="3"/>
  <c r="AD20" i="3"/>
  <c r="AD19" i="3"/>
  <c r="AD18" i="3"/>
  <c r="AD17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1" i="1"/>
  <c r="I49" i="1"/>
  <c r="I47" i="1"/>
  <c r="I45" i="1"/>
  <c r="I43" i="1"/>
  <c r="I41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<sst xmlns="http://schemas.openxmlformats.org/spreadsheetml/2006/main" count="8585" uniqueCount="3383">
  <si>
    <t>Id</t>
  </si>
  <si>
    <t>Code</t>
  </si>
  <si>
    <t>Name</t>
  </si>
  <si>
    <t>Installing</t>
  </si>
  <si>
    <t>Commissioning</t>
  </si>
  <si>
    <t>Decommissioning</t>
  </si>
  <si>
    <t>Status</t>
  </si>
  <si>
    <t>Structure</t>
  </si>
  <si>
    <t>SQL Insert Request</t>
  </si>
  <si>
    <t>F_00</t>
  </si>
  <si>
    <t>F_01</t>
  </si>
  <si>
    <t>F_02</t>
  </si>
  <si>
    <t>F_03</t>
  </si>
  <si>
    <t>F_04</t>
  </si>
  <si>
    <t>F_05</t>
  </si>
  <si>
    <t>F_06</t>
  </si>
  <si>
    <t>F_07</t>
  </si>
  <si>
    <t>INSERT INTO T_02_03_01 (F_00, F_01, F_02, F_03, F_04, F_05, F_06, F_07) VALUES</t>
  </si>
  <si>
    <t>ONET-DD</t>
  </si>
  <si>
    <t>Terminal d\'Exportation Terrestre Deb Deb</t>
  </si>
  <si>
    <t>NULL</t>
  </si>
  <si>
    <t>ONET-OSS</t>
  </si>
  <si>
    <t>Terminal d\'Exportation Terrestre Oued Saf Saf</t>
  </si>
  <si>
    <t>ONET-BS</t>
  </si>
  <si>
    <t>Terminal d\'Exportation Terrestre Beni Saf</t>
  </si>
  <si>
    <t>ONET-KL</t>
  </si>
  <si>
    <t>Terminal d\'Exportation Terrestre El Kala</t>
  </si>
  <si>
    <t>DZAZW</t>
  </si>
  <si>
    <t>Terminal d\'Exportation Maritime Export port</t>
  </si>
  <si>
    <t>DZSKI</t>
  </si>
  <si>
    <t>DZBJA</t>
  </si>
  <si>
    <t>CDHL</t>
  </si>
  <si>
    <t>Terminal de Distribution CDHL</t>
  </si>
  <si>
    <t>CNDG</t>
  </si>
  <si>
    <t>Terminal de Distribution CNDG</t>
  </si>
  <si>
    <t>DT-MED</t>
  </si>
  <si>
    <t>Terminal de Distribution Medjedel</t>
  </si>
  <si>
    <t>DT-MSL</t>
  </si>
  <si>
    <t>Terminal de Distribution M\'Sila</t>
  </si>
  <si>
    <t>DT-DJM</t>
  </si>
  <si>
    <t>Terminal de Distribution SP1 Bis Djamaa</t>
  </si>
  <si>
    <t>DT-MDZ</t>
  </si>
  <si>
    <t>Terminal de Distribution Mocta Douz</t>
  </si>
  <si>
    <t>TT-ARH</t>
  </si>
  <si>
    <t>Terminal de Transfert Al Aricha</t>
  </si>
  <si>
    <t>TT-BNM</t>
  </si>
  <si>
    <t>Terminal de Transfert Beni Mensour</t>
  </si>
  <si>
    <t>TT-HMD</t>
  </si>
  <si>
    <t>Terminal de Transfert Hassi Messaoud</t>
  </si>
  <si>
    <t>TT-MSD</t>
  </si>
  <si>
    <t>Terminal de Transfert Mesdar</t>
  </si>
  <si>
    <t>TT-OHT</t>
  </si>
  <si>
    <t>Terminal de Transfert Ohanet</t>
  </si>
  <si>
    <t>TT-137</t>
  </si>
  <si>
    <t>Terminal de Transfert PC1/PK137</t>
  </si>
  <si>
    <t>TT-RDN</t>
  </si>
  <si>
    <t>Terminal de Transfert Rhoude Nouss</t>
  </si>
  <si>
    <t>PT-ALG</t>
  </si>
  <si>
    <t>Terminal de Pipeline Alger</t>
  </si>
  <si>
    <t>PT-ALR</t>
  </si>
  <si>
    <t>Terminal de Pipeline Alrar</t>
  </si>
  <si>
    <t>PR-ARZ</t>
  </si>
  <si>
    <t>Terminal de Pipeline Arzew</t>
  </si>
  <si>
    <t>PT-BJA</t>
  </si>
  <si>
    <t>Terminal de Pipeline Bejaia</t>
  </si>
  <si>
    <t>PT-BRN</t>
  </si>
  <si>
    <t>Terminal de Pipeline Bir Rebaa North</t>
  </si>
  <si>
    <t>PT-BMN</t>
  </si>
  <si>
    <t>Terminal de Pipeline Bord Menaiel</t>
  </si>
  <si>
    <t>PT-BRM</t>
  </si>
  <si>
    <t>Terminal de Pipeline El Borma</t>
  </si>
  <si>
    <t>PT-GST</t>
  </si>
  <si>
    <t>Terminal de Pipeline Gassi Touil</t>
  </si>
  <si>
    <t>PT-HBK</t>
  </si>
  <si>
    <t>Terminal de Pipeline Hassi Berkine</t>
  </si>
  <si>
    <t>PT-HTJ</t>
  </si>
  <si>
    <t>Terminal de Pipeline Hassi tedjirane</t>
  </si>
  <si>
    <t>PT-NMS</t>
  </si>
  <si>
    <t>Terminal de Pipeline In Amenas</t>
  </si>
  <si>
    <t>PT-NSL</t>
  </si>
  <si>
    <t>Terminal de Pipeline In Salah</t>
  </si>
  <si>
    <t>PT-ISR</t>
  </si>
  <si>
    <t>Terminal de Pipeline Isser</t>
  </si>
  <si>
    <t>PT-RGN</t>
  </si>
  <si>
    <t>Terminal de Pipeline Reggane</t>
  </si>
  <si>
    <t>PT-RBL</t>
  </si>
  <si>
    <t>Terminal de Pipeline Rhoude El Baguel</t>
  </si>
  <si>
    <t>PT-SKD</t>
  </si>
  <si>
    <t>Terminal de Pipeline Skikda</t>
  </si>
  <si>
    <t>SP1-OZ2</t>
  </si>
  <si>
    <t>SP2-OZ2</t>
  </si>
  <si>
    <t>SP3-OZ2</t>
  </si>
  <si>
    <t>SP4-OZ2</t>
  </si>
  <si>
    <t>SP5-OZ2</t>
  </si>
  <si>
    <t>SP6-OZ2</t>
  </si>
  <si>
    <t>SP1-OK1</t>
  </si>
  <si>
    <t>Station de Pompage SP1-OK1</t>
  </si>
  <si>
    <t>SP1-OK1-NEW</t>
  </si>
  <si>
    <t>Station de Pompage SP1-OK1-NEW</t>
  </si>
  <si>
    <t>SP2-OK1</t>
  </si>
  <si>
    <t>Station de Pompage SP2-OK1</t>
  </si>
  <si>
    <t>SP3-OK1</t>
  </si>
  <si>
    <t>Station de Pompage SP3-OK1</t>
  </si>
  <si>
    <t>SP3-OK1-BIS</t>
  </si>
  <si>
    <t>Station de Pompage SP3-OK1-BIS</t>
  </si>
  <si>
    <t>SP4-OK1</t>
  </si>
  <si>
    <t>Station de Pompage SP4-OK1</t>
  </si>
  <si>
    <t>SP1-OB1</t>
  </si>
  <si>
    <t>Station de Pompage SP1-OB1</t>
  </si>
  <si>
    <t>SP1-BIS-OB1</t>
  </si>
  <si>
    <t>Station de Pompage SP1-BIS-OB1</t>
  </si>
  <si>
    <t>SP2-OB1</t>
  </si>
  <si>
    <t>Station de Pompage SP2-OB1</t>
  </si>
  <si>
    <t>SP3-OB1</t>
  </si>
  <si>
    <t>Station de Pompage SP3-OB1</t>
  </si>
  <si>
    <t>SP1-BIS-OG1</t>
  </si>
  <si>
    <t>Station de Pompage SP1-BIS-OG1</t>
  </si>
  <si>
    <t>SP1-OT1</t>
  </si>
  <si>
    <t>Station de Pompage SP1-OT1</t>
  </si>
  <si>
    <t>SP2-OT1</t>
  </si>
  <si>
    <t>Station de Pompage SP2-OT1</t>
  </si>
  <si>
    <t>SP1-OH1</t>
  </si>
  <si>
    <t>Station de Pompage SP1-OH1</t>
  </si>
  <si>
    <t>SP2-OH1</t>
  </si>
  <si>
    <t>Station de Pompage SP2-OH1</t>
  </si>
  <si>
    <t>SP3-OH1</t>
  </si>
  <si>
    <t>Station de Pompage SP3-OH1</t>
  </si>
  <si>
    <t>SP4-OH1</t>
  </si>
  <si>
    <t>Station de Pompage SP4-OH1</t>
  </si>
  <si>
    <t>SP1-OD1</t>
  </si>
  <si>
    <t>Station de Pompage SP1-OD1</t>
  </si>
  <si>
    <t>SP1-OH2</t>
  </si>
  <si>
    <t>Station de Pompage SP1-OH2</t>
  </si>
  <si>
    <t>SP1-OH3/OH4</t>
  </si>
  <si>
    <t>Station de Pompage SP1-OH3/OH4</t>
  </si>
  <si>
    <t>SP2-OH3/OH4</t>
  </si>
  <si>
    <t>Station de Pompage SP2-OH3/OH4</t>
  </si>
  <si>
    <t>SP4-NZ1</t>
  </si>
  <si>
    <t>Station de Pompage SP4-NZ1</t>
  </si>
  <si>
    <t>SP5-NZ1</t>
  </si>
  <si>
    <t>Station de Pompage SP5-NZ1</t>
  </si>
  <si>
    <t>SP6-NZ1</t>
  </si>
  <si>
    <t>Station de Pompage SP6-NZ1</t>
  </si>
  <si>
    <t>PRS-NZ1</t>
  </si>
  <si>
    <t>Station de Régulation PRS-NZ1</t>
  </si>
  <si>
    <t>SP1-NK1</t>
  </si>
  <si>
    <t>Station de Pompage SP1-NK1</t>
  </si>
  <si>
    <t>SP3-NK1</t>
  </si>
  <si>
    <t>Station de Pompage SP3-NK1</t>
  </si>
  <si>
    <t>SP4-LNZ1</t>
  </si>
  <si>
    <t>Station de Pompage SP4-LNZ1</t>
  </si>
  <si>
    <t>SP5-LNZ1</t>
  </si>
  <si>
    <t>Station de Pompage SP5-LNZ1</t>
  </si>
  <si>
    <t>SP6-LNZ1</t>
  </si>
  <si>
    <t>Station de Pompage SP6-LNZ1</t>
  </si>
  <si>
    <t>SP0-LZ1</t>
  </si>
  <si>
    <t>Station de Pompage SP0-LZ1</t>
  </si>
  <si>
    <t>SP1-LZ1</t>
  </si>
  <si>
    <t>Station de Pompage SP1-LZ1</t>
  </si>
  <si>
    <t>SP1-LZ2</t>
  </si>
  <si>
    <t>Station de Pompage SP1-LZ2</t>
  </si>
  <si>
    <t>PRS-LZ1/LZ2</t>
  </si>
  <si>
    <t>Station de Régulation PRS-LZ1/LZ2</t>
  </si>
  <si>
    <t>SPRN-LR1</t>
  </si>
  <si>
    <t>Station de Pompage SPRN-LR1</t>
  </si>
  <si>
    <t>SP0-LR1</t>
  </si>
  <si>
    <t>Station de Pompage SP1-LR1</t>
  </si>
  <si>
    <t>SP1-LR1</t>
  </si>
  <si>
    <t>SP2-LR1</t>
  </si>
  <si>
    <t>Station de Pompage SP2-LR1</t>
  </si>
  <si>
    <t>SP1-LNZ1</t>
  </si>
  <si>
    <t>Station de Pompage SP1-LNZ1</t>
  </si>
  <si>
    <t>SP3-LNZ1</t>
  </si>
  <si>
    <t>Station de Pompage SP3-LNZ1</t>
  </si>
  <si>
    <t>SC1-GZ0</t>
  </si>
  <si>
    <t>Station de Compression SC1-GZ0</t>
  </si>
  <si>
    <t>SC2-GZ0</t>
  </si>
  <si>
    <t>Station de Compression SC2-GZ0</t>
  </si>
  <si>
    <t>SC3-GZ0</t>
  </si>
  <si>
    <t>Station de Compression SC3-GZ0</t>
  </si>
  <si>
    <t>SC4-GZ0</t>
  </si>
  <si>
    <t>Station de Compression SC4-GZ0</t>
  </si>
  <si>
    <t>SC1-GZ1</t>
  </si>
  <si>
    <t>Station de Compression SC1-GZ1</t>
  </si>
  <si>
    <t>SC1-GZ2</t>
  </si>
  <si>
    <t>Station de Compression SC1-GZ2</t>
  </si>
  <si>
    <t>SC1-GZ3</t>
  </si>
  <si>
    <t>Station de Compression SC1-GZ3</t>
  </si>
  <si>
    <t>SC2-GZ1</t>
  </si>
  <si>
    <t>Station de Compression SC2-GZ1</t>
  </si>
  <si>
    <t>SC2-GZ2</t>
  </si>
  <si>
    <t>Station de Compression SC2-GZ2</t>
  </si>
  <si>
    <t>SC2-GZ3</t>
  </si>
  <si>
    <t>Station de Compression SC2-GZ3</t>
  </si>
  <si>
    <t>SC3-GZ1</t>
  </si>
  <si>
    <t>Station de Compression SC3-GZ1</t>
  </si>
  <si>
    <t>SC3-GZ2</t>
  </si>
  <si>
    <t>Station de Compression SC3-GZ2</t>
  </si>
  <si>
    <t>SC3-GZ3</t>
  </si>
  <si>
    <t>Station de Compression SC3-GZ3</t>
  </si>
  <si>
    <t>SC4-GZ1</t>
  </si>
  <si>
    <t>Station de Compression SC4-GZ1</t>
  </si>
  <si>
    <t>SC4-GZ2</t>
  </si>
  <si>
    <t>Station de Compression SC4-GZ2</t>
  </si>
  <si>
    <t>SC4-GZ3</t>
  </si>
  <si>
    <t>Station de Compression SC4-GZ3</t>
  </si>
  <si>
    <t>SC5-GZ1</t>
  </si>
  <si>
    <t>Station de Compression SC5-GZ1</t>
  </si>
  <si>
    <t>SC5-GZ2</t>
  </si>
  <si>
    <t>Station de Compression SC5-GZ2</t>
  </si>
  <si>
    <t>SC5-GZ3</t>
  </si>
  <si>
    <t>Station de Compression SC5-GZ3</t>
  </si>
  <si>
    <t>SC3-GPDF</t>
  </si>
  <si>
    <t>Station de Compression SC3-GPDF</t>
  </si>
  <si>
    <t>SC1-GK1</t>
  </si>
  <si>
    <t>Station de Compression SC1-GK1</t>
  </si>
  <si>
    <t>SC2-GK1</t>
  </si>
  <si>
    <t>Station de Compression SC2-GK1</t>
  </si>
  <si>
    <t>SC3-GK1</t>
  </si>
  <si>
    <t>Station de Compression SC3-GK1</t>
  </si>
  <si>
    <t>SC4-GK1</t>
  </si>
  <si>
    <t>Station de Compression SC4-GK1</t>
  </si>
  <si>
    <t>SC5-GK1</t>
  </si>
  <si>
    <t>Station de Compression SC5-GK1</t>
  </si>
  <si>
    <t>Station de Compression S01-GR5</t>
  </si>
  <si>
    <t>Station de Compression S01-GR7</t>
  </si>
  <si>
    <t>SC-TFT</t>
  </si>
  <si>
    <t>Station de Compression SC-TFT</t>
  </si>
  <si>
    <t>SC1-GR2</t>
  </si>
  <si>
    <t>Station de Compression SC1-GR2</t>
  </si>
  <si>
    <t>SC2-GR2</t>
  </si>
  <si>
    <t>Station de Compression SC2-GR2</t>
  </si>
  <si>
    <t>SC3-GR2</t>
  </si>
  <si>
    <t>Station de Compression SC3-GR2</t>
  </si>
  <si>
    <t>SC4-GR2</t>
  </si>
  <si>
    <t>Station de Compression SC4-GR2</t>
  </si>
  <si>
    <t>GL1Z</t>
  </si>
  <si>
    <t>Complexe GNL GL1Z</t>
  </si>
  <si>
    <t>GL2Z</t>
  </si>
  <si>
    <t>Complexe GNL GL2Z</t>
  </si>
  <si>
    <t>GL3Z</t>
  </si>
  <si>
    <t>Complexe GNL GL3Z</t>
  </si>
  <si>
    <t>GL1K</t>
  </si>
  <si>
    <t>Complexe GNL GL1K</t>
  </si>
  <si>
    <t>GP1Z</t>
  </si>
  <si>
    <t>Usine GPL GP1Z</t>
  </si>
  <si>
    <t>GP2Z</t>
  </si>
  <si>
    <t>Usine GPL GP2Z</t>
  </si>
  <si>
    <t>RA1G</t>
  </si>
  <si>
    <t>Raffinerie RA1G</t>
  </si>
  <si>
    <t>RA1Z</t>
  </si>
  <si>
    <t>Raffinerie RA1Z</t>
  </si>
  <si>
    <t>RHM2</t>
  </si>
  <si>
    <t>Raffinerie RHM2</t>
  </si>
  <si>
    <t>RA1K</t>
  </si>
  <si>
    <t>Raffinerie RA1K</t>
  </si>
  <si>
    <t>RA2K</t>
  </si>
  <si>
    <t>Raffinerie RA2K</t>
  </si>
  <si>
    <t>RA1D</t>
  </si>
  <si>
    <t>Raffinerie RA1D</t>
  </si>
  <si>
    <t>CP1Z</t>
  </si>
  <si>
    <t>Usine de Condensats CP1Z</t>
  </si>
  <si>
    <t>CP2K</t>
  </si>
  <si>
    <t>Usine de Condensats CP2K</t>
  </si>
  <si>
    <t>SORFERT</t>
  </si>
  <si>
    <t>Complexe Pétrochimique SORFERT</t>
  </si>
  <si>
    <t>AOA</t>
  </si>
  <si>
    <t>Complexe Pétrochimique AOA</t>
  </si>
  <si>
    <t>CPF-OHD</t>
  </si>
  <si>
    <t>Usine d\'Ourhoud</t>
  </si>
  <si>
    <t>CPF-MNS</t>
  </si>
  <si>
    <t>Unité de Traitement Central d\'In Amenas</t>
  </si>
  <si>
    <t>CPF-BBK</t>
  </si>
  <si>
    <t>Unité de Traitement Central de Berkine (El Merk)</t>
  </si>
  <si>
    <t>GPC-HRM</t>
  </si>
  <si>
    <t>Station Centrale de Hassi R\'Mel</t>
  </si>
  <si>
    <t>GPC-OHT</t>
  </si>
  <si>
    <t>Unité de Traitement Central d\'Ohanet - Train de Gaz</t>
  </si>
  <si>
    <t>GPC-TFT</t>
  </si>
  <si>
    <t>Unité de Traitement Central de Tin-Fouyé-Tabenkort</t>
  </si>
  <si>
    <t>GPC-TSL</t>
  </si>
  <si>
    <t>Complexe Gazier d\'Ain Tsila</t>
  </si>
  <si>
    <t>GPC-RGN</t>
  </si>
  <si>
    <t>Traitement du Gaz du Bassin de Reggane</t>
  </si>
  <si>
    <t>CRP-OHT</t>
  </si>
  <si>
    <t>Unité de Condensats d\'Ohanet</t>
  </si>
  <si>
    <t>CRP-TFT</t>
  </si>
  <si>
    <t>Unité de Condensats de Tin-Fouyé</t>
  </si>
  <si>
    <t>CRP-TSL</t>
  </si>
  <si>
    <t>Usine de récupération des Condensats d\'Ain Tsila</t>
  </si>
  <si>
    <t>CRP-MRK</t>
  </si>
  <si>
    <t>Unité de Condensats d\'El Merk</t>
  </si>
  <si>
    <t>CRP-MNS</t>
  </si>
  <si>
    <t>Usine de récupération des Condensats d\'In Amenas</t>
  </si>
  <si>
    <t>LPG1-HRM</t>
  </si>
  <si>
    <t>Unités GPL/Condensats de Hassi R\'Mel</t>
  </si>
  <si>
    <t>LPG2-HRM</t>
  </si>
  <si>
    <t>Complexe de récupération Centrale GPL de Hassi R\'Mel</t>
  </si>
  <si>
    <t>LPGE-HRM</t>
  </si>
  <si>
    <t>Complexe de récupération d\'Éthane de Hassi R\'Mel</t>
  </si>
  <si>
    <t>LPG-TFT</t>
  </si>
  <si>
    <t>Complexe de récupération GPL de Tin-Fouyé</t>
  </si>
  <si>
    <t>LPG-TSL</t>
  </si>
  <si>
    <t>Complexe de récupération GPL d\'Ain Tsila</t>
  </si>
  <si>
    <t>OZ1</t>
  </si>
  <si>
    <t>Pipeline OZ1</t>
  </si>
  <si>
    <t>OZ2</t>
  </si>
  <si>
    <t>Pipeline OZ2</t>
  </si>
  <si>
    <t>2003-08-18</t>
  </si>
  <si>
    <t>OK1</t>
  </si>
  <si>
    <t>Pipeline OK1</t>
  </si>
  <si>
    <t>1972-01-01</t>
  </si>
  <si>
    <t>OB1</t>
  </si>
  <si>
    <t>Pipeline OB1</t>
  </si>
  <si>
    <t>ROB1-01</t>
  </si>
  <si>
    <t>Pipeline ROB1-01</t>
  </si>
  <si>
    <t>ROB1-02</t>
  </si>
  <si>
    <t>Pipeline ROB1-02</t>
  </si>
  <si>
    <t>OG1</t>
  </si>
  <si>
    <t>Pipeline OG1</t>
  </si>
  <si>
    <t>2005-07-04</t>
  </si>
  <si>
    <t>OT1</t>
  </si>
  <si>
    <t>Pipeline OT1</t>
  </si>
  <si>
    <t>OH1</t>
  </si>
  <si>
    <t>Pipeline OH1</t>
  </si>
  <si>
    <t>1982-01-01</t>
  </si>
  <si>
    <t>ROH1</t>
  </si>
  <si>
    <t>Pipeline ROH1</t>
  </si>
  <si>
    <t>OH2</t>
  </si>
  <si>
    <t>Pipeline OH2</t>
  </si>
  <si>
    <t>1972-04-10</t>
  </si>
  <si>
    <t>OH3</t>
  </si>
  <si>
    <t>Pipeline OH3</t>
  </si>
  <si>
    <t>OH4</t>
  </si>
  <si>
    <t>Pipeline OH4</t>
  </si>
  <si>
    <t>2006-01-01</t>
  </si>
  <si>
    <t>OD1</t>
  </si>
  <si>
    <t>Pipeline OD1</t>
  </si>
  <si>
    <t>1977-03-23</t>
  </si>
  <si>
    <t>ROD1</t>
  </si>
  <si>
    <t>Pipeline ROD1</t>
  </si>
  <si>
    <t>OD2</t>
  </si>
  <si>
    <t>Pipeline OD2</t>
  </si>
  <si>
    <t>OD3</t>
  </si>
  <si>
    <t>Pipeline OD3</t>
  </si>
  <si>
    <t>NZ1</t>
  </si>
  <si>
    <t>Pipeline NZ1</t>
  </si>
  <si>
    <t>1978-11-01</t>
  </si>
  <si>
    <t>NK1</t>
  </si>
  <si>
    <t>Pipeline NK1</t>
  </si>
  <si>
    <t>2009-08-04</t>
  </si>
  <si>
    <t>NH2</t>
  </si>
  <si>
    <t>Pipeline NH2</t>
  </si>
  <si>
    <t>1960-01-01</t>
  </si>
  <si>
    <t>LNZ1</t>
  </si>
  <si>
    <t>Pipeline LNZ1</t>
  </si>
  <si>
    <t>LZ1</t>
  </si>
  <si>
    <t>Pipeline LZ1</t>
  </si>
  <si>
    <t>1984-02-08</t>
  </si>
  <si>
    <t>LZ2</t>
  </si>
  <si>
    <t>Pipeline LZ2</t>
  </si>
  <si>
    <t>2010-11-01</t>
  </si>
  <si>
    <t>LR1</t>
  </si>
  <si>
    <t>Pipeline LR1</t>
  </si>
  <si>
    <t>1996-01-01</t>
  </si>
  <si>
    <t>DLR1</t>
  </si>
  <si>
    <t>Pipeline DLR1</t>
  </si>
  <si>
    <t>2004-10-04</t>
  </si>
  <si>
    <t>ELR1</t>
  </si>
  <si>
    <t>Pipeline ELR1</t>
  </si>
  <si>
    <t>2014-01-01</t>
  </si>
  <si>
    <t>GZ0</t>
  </si>
  <si>
    <t>Pipeline GZ0</t>
  </si>
  <si>
    <t>GZ0 Bis</t>
  </si>
  <si>
    <t>Pipeline GZ0 Bis</t>
  </si>
  <si>
    <t>2022-09-01</t>
  </si>
  <si>
    <t>GZ1</t>
  </si>
  <si>
    <t>Pipeline GZ1</t>
  </si>
  <si>
    <t>1976-01-01</t>
  </si>
  <si>
    <t>GZ2</t>
  </si>
  <si>
    <t>Pipeline GZ2</t>
  </si>
  <si>
    <t>RGZ2</t>
  </si>
  <si>
    <t>Pipeline RGZ2</t>
  </si>
  <si>
    <t>GZ3</t>
  </si>
  <si>
    <t>Pipeline GZ3</t>
  </si>
  <si>
    <t>1989-01-01</t>
  </si>
  <si>
    <t>RGZ3-01</t>
  </si>
  <si>
    <t>Pipeline RGZ3-01</t>
  </si>
  <si>
    <t>2018-01-01</t>
  </si>
  <si>
    <t>RGZ3-02</t>
  </si>
  <si>
    <t>Pipeline RGZ3-02</t>
  </si>
  <si>
    <t>GZ4-01</t>
  </si>
  <si>
    <t>Pipeline GZ4-01</t>
  </si>
  <si>
    <t>2010-04-16</t>
  </si>
  <si>
    <t>GZ4-02</t>
  </si>
  <si>
    <t>Pipeline GZ4-02</t>
  </si>
  <si>
    <t>GZ4-03</t>
  </si>
  <si>
    <t>Pipeline GZ4-03</t>
  </si>
  <si>
    <t>GK1</t>
  </si>
  <si>
    <t>Pipeline GK1</t>
  </si>
  <si>
    <t>1971-01-01</t>
  </si>
  <si>
    <t>1978-01-01</t>
  </si>
  <si>
    <t>GK2</t>
  </si>
  <si>
    <t>Pipeline GK2</t>
  </si>
  <si>
    <t>1998-01-01</t>
  </si>
  <si>
    <t>2001-01-01</t>
  </si>
  <si>
    <t>GK3-01</t>
  </si>
  <si>
    <t>Pipeline GK3-01</t>
  </si>
  <si>
    <t>2012-01-01</t>
  </si>
  <si>
    <t>GK3-02</t>
  </si>
  <si>
    <t>Pipeline GK3-02</t>
  </si>
  <si>
    <t>GG1</t>
  </si>
  <si>
    <t>Pipeline GG1</t>
  </si>
  <si>
    <t>1981-01-01</t>
  </si>
  <si>
    <t>RGG1</t>
  </si>
  <si>
    <t>Pipeline RGG1</t>
  </si>
  <si>
    <t>2019-01-01</t>
  </si>
  <si>
    <t>GM1</t>
  </si>
  <si>
    <t>Pipeline GM1</t>
  </si>
  <si>
    <t>GR1</t>
  </si>
  <si>
    <t>Pipeline GR1</t>
  </si>
  <si>
    <t>1986-01-01</t>
  </si>
  <si>
    <t>GR2</t>
  </si>
  <si>
    <t>Pipeline GR2</t>
  </si>
  <si>
    <t>1999-01-01</t>
  </si>
  <si>
    <t>GR3</t>
  </si>
  <si>
    <t>Pipeline GR3</t>
  </si>
  <si>
    <t>GR4</t>
  </si>
  <si>
    <t>Pipeline GR4</t>
  </si>
  <si>
    <t>GR5</t>
  </si>
  <si>
    <t>Pipeline GR5</t>
  </si>
  <si>
    <t>2017-06-01</t>
  </si>
  <si>
    <t>GR6</t>
  </si>
  <si>
    <t>Pipeline GR6</t>
  </si>
  <si>
    <t>2017-01-01</t>
  </si>
  <si>
    <t>GR7</t>
  </si>
  <si>
    <t>Pipeline GR7</t>
  </si>
  <si>
    <t>2019-12-01</t>
  </si>
  <si>
    <t>GPDF</t>
  </si>
  <si>
    <t>Pipeline GPDF</t>
  </si>
  <si>
    <t>EGPDF</t>
  </si>
  <si>
    <t>Pipeline EGPDF</t>
  </si>
  <si>
    <t>2021-01-01</t>
  </si>
  <si>
    <t>GO1</t>
  </si>
  <si>
    <t>Pipeline GO1</t>
  </si>
  <si>
    <t>GO2</t>
  </si>
  <si>
    <t>Pipeline GO2</t>
  </si>
  <si>
    <t>1987-01-01</t>
  </si>
  <si>
    <t>GO3</t>
  </si>
  <si>
    <t>Pipeline GO3</t>
  </si>
  <si>
    <t>2008-01-01</t>
  </si>
  <si>
    <t>2010-01-01</t>
  </si>
  <si>
    <t>S01-OZ1</t>
  </si>
  <si>
    <t>Segment 01-OZ1</t>
  </si>
  <si>
    <t>S02-OZ1</t>
  </si>
  <si>
    <t>Segment 02-OZ1</t>
  </si>
  <si>
    <t>S03-OZ1</t>
  </si>
  <si>
    <t>Segment 03-OZ1</t>
  </si>
  <si>
    <t>S04-OZ1</t>
  </si>
  <si>
    <t>Segment 04-OZ1</t>
  </si>
  <si>
    <t>S05-OZ1</t>
  </si>
  <si>
    <t>Segment 05-OZ1</t>
  </si>
  <si>
    <t>S06-OZ1</t>
  </si>
  <si>
    <t>Segment 06-OZ1</t>
  </si>
  <si>
    <t>S07-OZ1</t>
  </si>
  <si>
    <t>Segment 07-OZ1</t>
  </si>
  <si>
    <t>S01-OZ2</t>
  </si>
  <si>
    <t>Segment 01-OZ2</t>
  </si>
  <si>
    <t>S02-OZ2</t>
  </si>
  <si>
    <t>Segment 02-OZ2</t>
  </si>
  <si>
    <t>S03-OZ2</t>
  </si>
  <si>
    <t>Segment 03-OZ2</t>
  </si>
  <si>
    <t>S04-OZ2</t>
  </si>
  <si>
    <t>Segment 04-OZ2</t>
  </si>
  <si>
    <t>S05-OZ2</t>
  </si>
  <si>
    <t>Segment 05-OZ2</t>
  </si>
  <si>
    <t>S06-OZ2</t>
  </si>
  <si>
    <t>Segment 06-OZ2</t>
  </si>
  <si>
    <t>S07-OZ2</t>
  </si>
  <si>
    <t>Segment 07-OZ2</t>
  </si>
  <si>
    <t>Date</t>
  </si>
  <si>
    <t>Owner</t>
  </si>
  <si>
    <t>OwnerId</t>
  </si>
  <si>
    <t>ManagerId</t>
  </si>
  <si>
    <t>Diameter</t>
  </si>
  <si>
    <t>Length</t>
  </si>
  <si>
    <t>Thickness</t>
  </si>
  <si>
    <t>Roughness</t>
  </si>
  <si>
    <t>DMaxSP</t>
  </si>
  <si>
    <t>OMaxSP</t>
  </si>
  <si>
    <t>DMinSP</t>
  </si>
  <si>
    <t>OMinSP</t>
  </si>
  <si>
    <t>DCapacity</t>
  </si>
  <si>
    <t>OCapacity</t>
  </si>
  <si>
    <t>Material</t>
  </si>
  <si>
    <t>MaterialId</t>
  </si>
  <si>
    <t>ECoating</t>
  </si>
  <si>
    <t>ECoatingId</t>
  </si>
  <si>
    <t>ICoating</t>
  </si>
  <si>
    <t>ICoatingId</t>
  </si>
  <si>
    <t>System</t>
  </si>
  <si>
    <t>SystemId</t>
  </si>
  <si>
    <t>Departure</t>
  </si>
  <si>
    <t>DepartureId</t>
  </si>
  <si>
    <t>Arrival</t>
  </si>
  <si>
    <t>ArrivalId</t>
  </si>
  <si>
    <t>Manager</t>
  </si>
  <si>
    <t>Vendor</t>
  </si>
  <si>
    <t>VendorId</t>
  </si>
  <si>
    <t>F_24</t>
  </si>
  <si>
    <t>F_08</t>
  </si>
  <si>
    <t>F_09</t>
  </si>
  <si>
    <t>F_10</t>
  </si>
  <si>
    <t>F_11</t>
  </si>
  <si>
    <t>F_12</t>
  </si>
  <si>
    <t>F_13</t>
  </si>
  <si>
    <t>F_14</t>
  </si>
  <si>
    <t>F_15</t>
  </si>
  <si>
    <t>F_16</t>
  </si>
  <si>
    <t>F_17</t>
  </si>
  <si>
    <t>F_18</t>
  </si>
  <si>
    <t>F_19</t>
  </si>
  <si>
    <t>F_20</t>
  </si>
  <si>
    <t>F_21</t>
  </si>
  <si>
    <t>F_22</t>
  </si>
  <si>
    <t>F_23</t>
  </si>
  <si>
    <t>x</t>
  </si>
  <si>
    <t>INSERT INTO T_02_03_08 (F_00, F_08, F_09, F_10, F_11, F_12, F_13, F_14, F_15, F_16, F_17, F_18, F_19, F_20, F_21, F_22, F_23, F_24) VALUES</t>
  </si>
  <si>
    <t>RTO</t>
  </si>
  <si>
    <t>801.478</t>
  </si>
  <si>
    <t>6.35 / 7.14 / 7.92 / 8.74 / 9.52 /  11.91 / 12.70</t>
  </si>
  <si>
    <t>X52</t>
  </si>
  <si>
    <t>Brai de huile</t>
  </si>
  <si>
    <t>OZ1/OZ2</t>
  </si>
  <si>
    <t>Arzew</t>
  </si>
  <si>
    <t>CJB / BECHTEL</t>
  </si>
  <si>
    <t>7.92 - 17.48</t>
  </si>
  <si>
    <t>X60</t>
  </si>
  <si>
    <t>Polyéthylène</t>
  </si>
  <si>
    <t>Stroystransgas
Cosider
Saipem/Spie-Capag</t>
  </si>
  <si>
    <t>RTE</t>
  </si>
  <si>
    <t>7,92 / 8,74 / 9,52 / 10,31 / 11,13 / 11,91 / 12,70 / 14,27 / 15,88 / 17,48 / 22,22</t>
  </si>
  <si>
    <t>X52 / X60</t>
  </si>
  <si>
    <t>Brai de houille et 
Polyéthylène</t>
  </si>
  <si>
    <t>Skikda</t>
  </si>
  <si>
    <t>SOCEA-GRESS</t>
  </si>
  <si>
    <t>RTC</t>
  </si>
  <si>
    <t>24 / 22</t>
  </si>
  <si>
    <t>2,7 / 9,52 / 9,0 / 8,73 / 7,92 / 7,13 / 6,35</t>
  </si>
  <si>
    <t>11.4</t>
  </si>
  <si>
    <t>X42 et X52</t>
  </si>
  <si>
    <t>Brai de houille et Polyéthylène</t>
  </si>
  <si>
    <t>OB1/OG1</t>
  </si>
  <si>
    <t>Bejaia</t>
  </si>
  <si>
    <t>TRAPIL</t>
  </si>
  <si>
    <t>8,74 / 9,53 / 11,3 / 12,7</t>
  </si>
  <si>
    <t>’ ROB1-RE-L-SG-DET-000002</t>
  </si>
  <si>
    <t>M'Sila</t>
  </si>
  <si>
    <t>12,7 / 11,13 / 9,53 / 7,9</t>
  </si>
  <si>
    <t>PEHD Tri couche</t>
  </si>
  <si>
    <t>Djamaa</t>
  </si>
  <si>
    <t>144.74</t>
  </si>
  <si>
    <t>8,74 / 10,31</t>
  </si>
  <si>
    <t>Beni Mansour</t>
  </si>
  <si>
    <t>Sidi Arcine</t>
  </si>
  <si>
    <t>BRC / GTP</t>
  </si>
  <si>
    <t>RTI</t>
  </si>
  <si>
    <t>7,94 / 8,74 / 10,31</t>
  </si>
  <si>
    <t>13.9</t>
  </si>
  <si>
    <t>7.8</t>
  </si>
  <si>
    <t>brai de houille</t>
  </si>
  <si>
    <t>Résine Epoxyde</t>
  </si>
  <si>
    <t>In Amenas</t>
  </si>
  <si>
    <t>DEB DEB</t>
  </si>
  <si>
    <t>BECHETEL</t>
  </si>
  <si>
    <t>7,14 / 7,92</t>
  </si>
  <si>
    <t>1.4</t>
  </si>
  <si>
    <t>8.9</t>
  </si>
  <si>
    <t>Brai de houille</t>
  </si>
  <si>
    <t>SAIPEM / MANNESSMAN</t>
  </si>
  <si>
    <t>44.5</t>
  </si>
  <si>
    <t>10.31</t>
  </si>
  <si>
    <t>Polyéthylène tri couches</t>
  </si>
  <si>
    <t>TFT</t>
  </si>
  <si>
    <t>Nezla</t>
  </si>
  <si>
    <t>RTH</t>
  </si>
  <si>
    <t>7,14 / 8,74</t>
  </si>
  <si>
    <t xml:space="preserve"> OD1/OD3/OH2</t>
  </si>
  <si>
    <t>Mesdar</t>
  </si>
  <si>
    <t>SOCEA GRESS</t>
  </si>
  <si>
    <t>10,31 - 12,7</t>
  </si>
  <si>
    <t>Polyethylene</t>
  </si>
  <si>
    <t>OH3/OH4</t>
  </si>
  <si>
    <t>Hassi Berkine</t>
  </si>
  <si>
    <t>ENAC / KANAGAZ</t>
  </si>
  <si>
    <t>6,35 - 8,74</t>
  </si>
  <si>
    <t>EL BORMA</t>
  </si>
  <si>
    <t>MESDAR</t>
  </si>
  <si>
    <t>CJB / SH-DTC / GT</t>
  </si>
  <si>
    <t>EP</t>
  </si>
  <si>
    <t>7,14 - 8,74</t>
  </si>
  <si>
    <t>Rhourde El Baguel</t>
  </si>
  <si>
    <t>KANAGHAZ</t>
  </si>
  <si>
    <t>6,35 / 7,14 / 7,22 / 8,74 / 9,25 / 12,7 / 14,27</t>
  </si>
  <si>
    <t>AIPEM / SNAMPROGETTI</t>
  </si>
  <si>
    <t>7,92/ 8,74/ 9,53/ 10,31/ 11,91/ 14,27</t>
  </si>
  <si>
    <t>Petro jet</t>
  </si>
  <si>
    <t>24/30</t>
  </si>
  <si>
    <t>In Aménas</t>
  </si>
  <si>
    <t>GREP / SOCOMAN</t>
  </si>
  <si>
    <t>LNZ1-16</t>
  </si>
  <si>
    <t>LZ1/LZ2</t>
  </si>
  <si>
    <t xml:space="preserve">9,52 / 11,91 </t>
  </si>
  <si>
    <t>BECHTEL</t>
  </si>
  <si>
    <t>8,74 / 9,52 / 10,31 / 12,70 / 14,27 / 15,88 / 19,05 / 17,5</t>
  </si>
  <si>
    <t>X60 / X70</t>
  </si>
  <si>
    <t>SAIPEM</t>
  </si>
  <si>
    <t>10 / 12 / 14 / 16 / 20 / 24</t>
  </si>
  <si>
    <t>LR1/DLR1</t>
  </si>
  <si>
    <t>Alrar</t>
  </si>
  <si>
    <t>:GTP/KANAGAZ/GCB/COSIDER</t>
  </si>
  <si>
    <t>LNZ1-12</t>
  </si>
  <si>
    <t>11,91 / 12,7 / 14,25 / 19,05</t>
  </si>
  <si>
    <t>7,92 / 11,13</t>
  </si>
  <si>
    <t>Ohanet</t>
  </si>
  <si>
    <t>Gassi Touil</t>
  </si>
  <si>
    <t>TMCA</t>
  </si>
  <si>
    <t>14,3 / 9,52 / 11,13 / 15,88 / 10,31</t>
  </si>
  <si>
    <t>Hassi Messaoud</t>
  </si>
  <si>
    <t>COSIDER/ENAC</t>
  </si>
  <si>
    <t>20 / 24</t>
  </si>
  <si>
    <t>8,74 - 12,7 - 10,31 - 15,9</t>
  </si>
  <si>
    <t>Brai de Houille</t>
  </si>
  <si>
    <t>Epoxy</t>
  </si>
  <si>
    <t>SOCOMAN-GREP</t>
  </si>
  <si>
    <t>GZ1/GZ2/GZ3</t>
  </si>
  <si>
    <t>Ain El Bya</t>
  </si>
  <si>
    <t>11,13 - 12,7 - 19,05</t>
  </si>
  <si>
    <t>SAIPEM / GE</t>
  </si>
  <si>
    <t>NACAP / SADELMI</t>
  </si>
  <si>
    <t xml:space="preserve">11,13 / 12,7 / 14,3 / 0,6 </t>
  </si>
  <si>
    <t xml:space="preserve">X52/X60/X70 </t>
  </si>
  <si>
    <t>Brai de Houille / PE</t>
  </si>
  <si>
    <t xml:space="preserve">NACAP / ENAC-SADELMI </t>
  </si>
  <si>
    <t>11,91 - 22,22</t>
  </si>
  <si>
    <t xml:space="preserve">X70 </t>
  </si>
  <si>
    <t>GZ4</t>
  </si>
  <si>
    <t>COSIDER / MASA</t>
  </si>
  <si>
    <t>Mactaa Douz</t>
  </si>
  <si>
    <t>Beni Saf</t>
  </si>
  <si>
    <t>COSIDER</t>
  </si>
  <si>
    <t xml:space="preserve">12,7 / 15,88 / 19,43 / 19,05 </t>
  </si>
  <si>
    <t>X52/X60/X70</t>
  </si>
  <si>
    <t>Brai de houille + Polyéthylène</t>
  </si>
  <si>
    <t>GK1/GK2</t>
  </si>
  <si>
    <t>SAIPEM / CJB/WILLBROS</t>
  </si>
  <si>
    <t>X60/X60A</t>
  </si>
  <si>
    <t>ENAC</t>
  </si>
  <si>
    <t>14,3 / 22,22</t>
  </si>
  <si>
    <t>GK3</t>
  </si>
  <si>
    <t>EL Kala</t>
  </si>
  <si>
    <t>X70</t>
  </si>
  <si>
    <t>11,91 / 12,7 / 19,05</t>
  </si>
  <si>
    <t>Bordj Menail</t>
  </si>
  <si>
    <t>DTC-GIP</t>
  </si>
  <si>
    <t>20,62 / 14,27</t>
  </si>
  <si>
    <t>Mejedel</t>
  </si>
  <si>
    <t>HEH</t>
  </si>
  <si>
    <t>GR1/GR2/GR4/GR6</t>
  </si>
  <si>
    <t>42 / 48</t>
  </si>
  <si>
    <t>11,92 / 12,7 / 13,35 / 14,27 / 15,88 / 22,22</t>
  </si>
  <si>
    <t>X70 / X60</t>
  </si>
  <si>
    <t>JGC / TMPE</t>
  </si>
  <si>
    <t>11,91 / 12,7 / 14,27 / 19,05 / 22,22</t>
  </si>
  <si>
    <t>BECHTEL / COSIDER</t>
  </si>
  <si>
    <t>12,7 / 14,27 / 22,22</t>
  </si>
  <si>
    <t>Rhoud Nouss</t>
  </si>
  <si>
    <t>HRM</t>
  </si>
  <si>
    <t>12,48 / 13,61 / 20,79 / 24,26</t>
  </si>
  <si>
    <t>GR5/GR7</t>
  </si>
  <si>
    <t>Reggane</t>
  </si>
  <si>
    <t>Cosider/ENAC</t>
  </si>
  <si>
    <t>12,95 / 14,27 / 22,23</t>
  </si>
  <si>
    <t>Hassi El Gara</t>
  </si>
  <si>
    <t>Extrudé tri couche</t>
  </si>
  <si>
    <t>GPDF/EGPDF</t>
  </si>
  <si>
    <t>AL Aricha</t>
  </si>
  <si>
    <t>13,61/  14,27 / 20,79 / 22,23</t>
  </si>
  <si>
    <t>GEM</t>
  </si>
  <si>
    <t>GO1/GO2/GO3</t>
  </si>
  <si>
    <t>Oued Saf Saf</t>
  </si>
  <si>
    <t>SADELMI</t>
  </si>
  <si>
    <t>polyethylene</t>
  </si>
  <si>
    <t>BRC / COSIDER</t>
  </si>
  <si>
    <t>Start</t>
  </si>
  <si>
    <t>End</t>
  </si>
  <si>
    <t>Pipeline</t>
  </si>
  <si>
    <t>PipelineId</t>
  </si>
  <si>
    <t>INSERT INTO T_02_03_09 (F_00, F_08, F_09, F_10, F_11, F_12, F_13, F_14, F_15, F_16, F_17, F_18, F_19) VALUES</t>
  </si>
  <si>
    <t>S01-OK1</t>
  </si>
  <si>
    <t>Segment 01-OK1</t>
  </si>
  <si>
    <t>S02-OK1</t>
  </si>
  <si>
    <t>Segment 02-OK1</t>
  </si>
  <si>
    <t>S03-OK1</t>
  </si>
  <si>
    <t>Segment 03-OK1</t>
  </si>
  <si>
    <t>S04-OK1</t>
  </si>
  <si>
    <t>Segment 04-OK1</t>
  </si>
  <si>
    <t>Segment 01-OB1</t>
  </si>
  <si>
    <t>Segment 02-OB1</t>
  </si>
  <si>
    <t>Segment 03-OB1</t>
  </si>
  <si>
    <t>Segment 04-OB1</t>
  </si>
  <si>
    <t>Segment 05-OB1</t>
  </si>
  <si>
    <t>S01-OB1</t>
  </si>
  <si>
    <t>S02-OB1</t>
  </si>
  <si>
    <t>S03-OB1</t>
  </si>
  <si>
    <t>S04-OB1</t>
  </si>
  <si>
    <t>S05-OB1</t>
  </si>
  <si>
    <t>S01-ROB1</t>
  </si>
  <si>
    <t>S02-ROB1</t>
  </si>
  <si>
    <t>S03-ROB1</t>
  </si>
  <si>
    <t>S04-ROB1</t>
  </si>
  <si>
    <t>S05-ROB1</t>
  </si>
  <si>
    <t>Segment 01-ROB1</t>
  </si>
  <si>
    <t>Segment 02-ROB1</t>
  </si>
  <si>
    <t>Segment 03-ROB1</t>
  </si>
  <si>
    <t>Segment 04-ROB1</t>
  </si>
  <si>
    <t>Segment 05-ROB1</t>
  </si>
  <si>
    <t>Mainline Block Valve Station (MLBV Station)</t>
  </si>
  <si>
    <t>0+000 / 150</t>
  </si>
  <si>
    <t>44+200 / 150</t>
  </si>
  <si>
    <t>72+000/ 210</t>
  </si>
  <si>
    <t>145+473 / 295</t>
  </si>
  <si>
    <t>184+200 / 365</t>
  </si>
  <si>
    <t>236+475 / 562</t>
  </si>
  <si>
    <t>256+000 / 631</t>
  </si>
  <si>
    <t>328+047 / 762</t>
  </si>
  <si>
    <t>466+900 / 1275</t>
  </si>
  <si>
    <t>489+915 / 1083</t>
  </si>
  <si>
    <t>533+940 / 970</t>
  </si>
  <si>
    <t>534+060 /970</t>
  </si>
  <si>
    <t>552+122 /1100</t>
  </si>
  <si>
    <t>611+375 / 1100</t>
  </si>
  <si>
    <t>648+000 / 758</t>
  </si>
  <si>
    <t>669+302 / 620</t>
  </si>
  <si>
    <t>701+544 / 270</t>
  </si>
  <si>
    <t>715+885 / 87</t>
  </si>
  <si>
    <t>758+279 / 25</t>
  </si>
  <si>
    <t>781+594 / 08</t>
  </si>
  <si>
    <t>781+720 / 08</t>
  </si>
  <si>
    <t>HMD / OUARGLA</t>
  </si>
  <si>
    <t>Ain Beida / OUARGLA</t>
  </si>
  <si>
    <t>OUARGLA</t>
  </si>
  <si>
    <t>Ouargla / OUARGLA</t>
  </si>
  <si>
    <t>Zelfana / GHARDAIA</t>
  </si>
  <si>
    <t>Ghardaia / GHARDAIA</t>
  </si>
  <si>
    <t>Daia Ben Dahoua / GHARDAIA</t>
  </si>
  <si>
    <t>Hassi / R'mel / LAGHOUAT</t>
  </si>
  <si>
    <t>Ain Hamra / LAGHOUAT</t>
  </si>
  <si>
    <t>Djelfa / DJELFA</t>
  </si>
  <si>
    <t>Faidja / TIARET</t>
  </si>
  <si>
    <t>Ain Dheb / TIARET</t>
  </si>
  <si>
    <t>Sougueur / TIARET</t>
  </si>
  <si>
    <t>Guertoufa / TIARET</t>
  </si>
  <si>
    <t>Rahouia / TIARET</t>
  </si>
  <si>
    <t>Zemmoura / RELIZANE</t>
  </si>
  <si>
    <t>Bormadia / RELIZANE</t>
  </si>
  <si>
    <t>El Hassiane / MOSTAGANEM</t>
  </si>
  <si>
    <t>Marsa el hadjej / ORAN</t>
  </si>
  <si>
    <t>22+000 / 142</t>
  </si>
  <si>
    <t>43+900 / 149</t>
  </si>
  <si>
    <t>73+000 / 186</t>
  </si>
  <si>
    <t>102+000 / 223</t>
  </si>
  <si>
    <t>150+000 / 300</t>
  </si>
  <si>
    <t>180+000 / 350</t>
  </si>
  <si>
    <t>210+000 / 467</t>
  </si>
  <si>
    <t>236+500 / 566</t>
  </si>
  <si>
    <t>265+750 / 688</t>
  </si>
  <si>
    <t>295+500 / 756</t>
  </si>
  <si>
    <t>330+000 / 766</t>
  </si>
  <si>
    <t>360+000 / 848</t>
  </si>
  <si>
    <t>390+000 / 790</t>
  </si>
  <si>
    <t>445+000 / 1050</t>
  </si>
  <si>
    <t>475+000 / 1215</t>
  </si>
  <si>
    <t>505+000 / 986</t>
  </si>
  <si>
    <t>564+500 / 1132</t>
  </si>
  <si>
    <t>594+000 / 1225</t>
  </si>
  <si>
    <t>624+000 / 997</t>
  </si>
  <si>
    <t>654+000 / 599</t>
  </si>
  <si>
    <t>684+000 / 553</t>
  </si>
  <si>
    <t>714+000 / 146</t>
  </si>
  <si>
    <t>744+000 / 150</t>
  </si>
  <si>
    <t>774+000 / 26</t>
  </si>
  <si>
    <t>804+000 / 196</t>
  </si>
  <si>
    <t>Hassi Ben Abdellah /OUARGLA</t>
  </si>
  <si>
    <t>Ain Beida /OUARGLA</t>
  </si>
  <si>
    <t>Zelfana /GHARDAIA</t>
  </si>
  <si>
    <t>Al Atteuf / GHARDAIA</t>
  </si>
  <si>
    <t>Ben Dhaou / GHARDAIA</t>
  </si>
  <si>
    <t>Hassi R’mel / LAGHOUAT</t>
  </si>
  <si>
    <t>Bennaceur Benchohra / LAGHOUAT</t>
  </si>
  <si>
    <t>Laghouat / LAGHOUAT</t>
  </si>
  <si>
    <t>LAGHOUAT</t>
  </si>
  <si>
    <t>Aflou / LAGHOUAT</t>
  </si>
  <si>
    <t>O.Touil / DJELFA</t>
  </si>
  <si>
    <t>Nador / TIARET</t>
  </si>
  <si>
    <t>Tiaret / TIARET</t>
  </si>
  <si>
    <t>Temda / TIARET</t>
  </si>
  <si>
    <t>Kenenda / RELIZANE</t>
  </si>
  <si>
    <t>Yellel / RELIZANE</t>
  </si>
  <si>
    <t>Granine / ORAN</t>
  </si>
  <si>
    <t>00+000 / 159</t>
  </si>
  <si>
    <t>32+000 / 160</t>
  </si>
  <si>
    <t>63+114 / 150</t>
  </si>
  <si>
    <t>126+057 / 110</t>
  </si>
  <si>
    <t>190+560 / 80</t>
  </si>
  <si>
    <t>233+401 / 80</t>
  </si>
  <si>
    <t>265+084 / 100</t>
  </si>
  <si>
    <t>338+643 / 190</t>
  </si>
  <si>
    <t>366+870 / 310</t>
  </si>
  <si>
    <t>396+854 / 280</t>
  </si>
  <si>
    <t>431+427 / 640</t>
  </si>
  <si>
    <t>463+121 / 930</t>
  </si>
  <si>
    <t>494+386 / 950</t>
  </si>
  <si>
    <t>516+946 / 830</t>
  </si>
  <si>
    <t>547+427 / 670</t>
  </si>
  <si>
    <t>576+285 / 600</t>
  </si>
  <si>
    <t>596+137 / 460</t>
  </si>
  <si>
    <t>615+012 / 12</t>
  </si>
  <si>
    <t>646+747 / 12</t>
  </si>
  <si>
    <t>Hassi Messaoud / Hassi Messaoud / OUARGLA</t>
  </si>
  <si>
    <t>Hassi Ben Abdellah / Sidi Khouiled / OUARGLA</t>
  </si>
  <si>
    <t>Hassi Ben Abdellah /Sidi Khouiled/OUARGLA</t>
  </si>
  <si>
    <t>El Allia /El Hadjira / TOUGGOURT</t>
  </si>
  <si>
    <t>El M’rara / Djamaa / EL MEGHAÏER</t>
  </si>
  <si>
    <t>El Meghaïer /El Meghaïer / EL MEGHAÏER</t>
  </si>
  <si>
    <t>Oum Touyour /El-Meghaïer / EL MEGHAÏER</t>
  </si>
  <si>
    <t>Tolga / Tolga / BISKRA</t>
  </si>
  <si>
    <t>Bitam / Barika / BATNA</t>
  </si>
  <si>
    <t>Boumagueur / N'gaous / BATNA</t>
  </si>
  <si>
    <t>Lemsane / Ouled Si Slimane / BATNA</t>
  </si>
  <si>
    <t>Ain Djasser / Ain Djasser / BATNA</t>
  </si>
  <si>
    <t>M'chira / Teleghma / MILA</t>
  </si>
  <si>
    <t>Oued Seguen / Teleghma / MILA</t>
  </si>
  <si>
    <t>Constantine / Constantine / CONSTANTINE</t>
  </si>
  <si>
    <t>Zighoud Youcef / Zighoud Youcef / CONSTANTINE</t>
  </si>
  <si>
    <t>El Harrouch / El Harrouch / SKIKDA</t>
  </si>
  <si>
    <t>Hammadi Krouma / Skikda / SKIKDA</t>
  </si>
  <si>
    <t>10Bis</t>
  </si>
  <si>
    <t>10Ter</t>
  </si>
  <si>
    <t>14Bis</t>
  </si>
  <si>
    <t>16Bis</t>
  </si>
  <si>
    <t>04Bis</t>
  </si>
  <si>
    <t>64+448 / 119,90</t>
  </si>
  <si>
    <t>134+960 / 89,50</t>
  </si>
  <si>
    <t>265+030 / 82,82</t>
  </si>
  <si>
    <t>313+540 / 46,960</t>
  </si>
  <si>
    <t>373+431 / 294,277</t>
  </si>
  <si>
    <t>449+600 / 419,750</t>
  </si>
  <si>
    <t>Square Bresson / Hassi Ben Abdellah / OUARGLA</t>
  </si>
  <si>
    <t>Touggourt / TOUGGOURT</t>
  </si>
  <si>
    <t>Stile / EL MEGHAIER</t>
  </si>
  <si>
    <t>Oumache / BISKRA</t>
  </si>
  <si>
    <t>Fontaine des Gazelles / Kantara / BISKRA</t>
  </si>
  <si>
    <t>Oued Enfida / Ain Khadra / M’SILA</t>
  </si>
  <si>
    <t>ROB1</t>
  </si>
  <si>
    <t>S01</t>
  </si>
  <si>
    <t>N01</t>
  </si>
  <si>
    <t>N02</t>
  </si>
  <si>
    <t>N03</t>
  </si>
  <si>
    <t>N04</t>
  </si>
  <si>
    <t>N05</t>
  </si>
  <si>
    <t>N03Bis</t>
  </si>
  <si>
    <t>N06</t>
  </si>
  <si>
    <t>N07</t>
  </si>
  <si>
    <t>N08</t>
  </si>
  <si>
    <t>N09</t>
  </si>
  <si>
    <t>N10</t>
  </si>
  <si>
    <t>N11</t>
  </si>
  <si>
    <t>N12</t>
  </si>
  <si>
    <t>N13</t>
  </si>
  <si>
    <t>N06Bis</t>
  </si>
  <si>
    <t>010+201 / 527</t>
  </si>
  <si>
    <t>023+334 / 669,4</t>
  </si>
  <si>
    <t>035+040 / 828,3</t>
  </si>
  <si>
    <t>045+691 / 1032,25</t>
  </si>
  <si>
    <t>055+241 / 645,59</t>
  </si>
  <si>
    <t>066+157 / 499,52</t>
  </si>
  <si>
    <t>080+110 / 383,8</t>
  </si>
  <si>
    <t>087+917 / 348,31</t>
  </si>
  <si>
    <t>099+330 / 228,55</t>
  </si>
  <si>
    <t>111+463 / 183,24</t>
  </si>
  <si>
    <t>122+130 / 138,97</t>
  </si>
  <si>
    <t>133+070 / 97,74</t>
  </si>
  <si>
    <t>145+178 / 64,07</t>
  </si>
  <si>
    <t>155+577 / 33,68</t>
  </si>
  <si>
    <t>166+181 / 13,17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</si>
  <si>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</si>
  <si>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</si>
  <si>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</si>
  <si>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</si>
  <si>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</si>
  <si>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</si>
  <si>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</si>
  <si>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</si>
  <si>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</si>
  <si>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</si>
  <si>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</si>
  <si>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</si>
  <si>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</si>
  <si>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</si>
  <si>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</si>
  <si>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</si>
  <si>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</si>
  <si>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</si>
  <si>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</si>
  <si>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</si>
  <si>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</si>
  <si>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19 / 163</t>
  </si>
  <si>
    <t>38 / 140</t>
  </si>
  <si>
    <t>60 / 130</t>
  </si>
  <si>
    <t>77 / 123</t>
  </si>
  <si>
    <t>97 / 106</t>
  </si>
  <si>
    <t>117 / 98</t>
  </si>
  <si>
    <t>135 / 86</t>
  </si>
  <si>
    <t>154 / 69</t>
  </si>
  <si>
    <t>174 / 71</t>
  </si>
  <si>
    <t>211 / 106</t>
  </si>
  <si>
    <t>231 / 63</t>
  </si>
  <si>
    <t>251 / 79</t>
  </si>
  <si>
    <t>271 / 81</t>
  </si>
  <si>
    <t>291 / 80</t>
  </si>
  <si>
    <t>311 / 70</t>
  </si>
  <si>
    <t>331 / 215</t>
  </si>
  <si>
    <t>370 / 324</t>
  </si>
  <si>
    <t>389 / 437</t>
  </si>
  <si>
    <t>408 / 461</t>
  </si>
  <si>
    <t>430 / 417</t>
  </si>
  <si>
    <t>450 / 422</t>
  </si>
  <si>
    <t>477 / 420</t>
  </si>
  <si>
    <t>Hassi Ben Abdallah / OUARGLA</t>
  </si>
  <si>
    <t>Elhadjira / OUARGLA</t>
  </si>
  <si>
    <t>Temacine / OUARGLA</t>
  </si>
  <si>
    <t>Megharine / OUARGLA</t>
  </si>
  <si>
    <t>Sidi Amrane / EL MEGHAIER</t>
  </si>
  <si>
    <t>Sidi Khelil / EL MEGHAIER</t>
  </si>
  <si>
    <t>EL MGHAIR / EL MEGHAIER</t>
  </si>
  <si>
    <t>Oum Touyour / EL MEGHAIER</t>
  </si>
  <si>
    <t>Still / EL MEGHAIER</t>
  </si>
  <si>
    <t>Mlili / BISKRA</t>
  </si>
  <si>
    <t>Tolga / BISKRA</t>
  </si>
  <si>
    <t>Bitam / BISKRA</t>
  </si>
  <si>
    <t>Barika / BATNA</t>
  </si>
  <si>
    <t>Azil Abd El Kader / BATNA</t>
  </si>
  <si>
    <t>Souamaa / BATNA</t>
  </si>
  <si>
    <t>El Adjiba / BOUIRA</t>
  </si>
  <si>
    <t>Oued El Berdj / BOUIRA</t>
  </si>
  <si>
    <t>Ain Alloui / BOUIRA</t>
  </si>
  <si>
    <t>Kherbouzia / BOUIRA</t>
  </si>
  <si>
    <t>Mezeghna / MEDEA</t>
  </si>
  <si>
    <t>Souhane / BLIDA</t>
  </si>
  <si>
    <t>Larbaa / BLIDA</t>
  </si>
  <si>
    <t>18+920 / 429</t>
  </si>
  <si>
    <t>37+940 / 594</t>
  </si>
  <si>
    <t>60+200 / 733</t>
  </si>
  <si>
    <t>78+840 / 726</t>
  </si>
  <si>
    <t>99+500 / 451</t>
  </si>
  <si>
    <t>123+820 / 772</t>
  </si>
  <si>
    <t>132+450 / 84</t>
  </si>
  <si>
    <t>Ouled Mansour / H. Delaa / M’SILA</t>
  </si>
  <si>
    <t>H. Delaa / M’SILA</t>
  </si>
  <si>
    <t>El M’hir / M’SILA</t>
  </si>
  <si>
    <t>Boudjelil / BÉJAÏA</t>
  </si>
  <si>
    <t>Ait Mansour / BÉJAÏA</t>
  </si>
  <si>
    <t>AIT R'ZINE/ BÉJAÏA</t>
  </si>
  <si>
    <t>Akbou / BÉJAÏA</t>
  </si>
  <si>
    <t>Ouzellaguene / BÉJAÏA</t>
  </si>
  <si>
    <t>El Felay / BÉJAÏA</t>
  </si>
  <si>
    <t>Timezrit / BÉJAÏA</t>
  </si>
  <si>
    <t>Amizour / BÉJAÏA</t>
  </si>
  <si>
    <t>Oued Ghir / BÉJAÏA</t>
  </si>
  <si>
    <t>54+100 / 544</t>
  </si>
  <si>
    <t>83+900 / 662</t>
  </si>
  <si>
    <t>123+100 / 600</t>
  </si>
  <si>
    <t>151+000 / 525</t>
  </si>
  <si>
    <t>210+100 / 400</t>
  </si>
  <si>
    <t>240+700 / 315</t>
  </si>
  <si>
    <t>263+900 / 280</t>
  </si>
  <si>
    <t>In Aménas / ILLIZI</t>
  </si>
  <si>
    <t>Deb Deb / ILLIZI</t>
  </si>
  <si>
    <t>32+400 / 224</t>
  </si>
  <si>
    <t>74+800 / 195</t>
  </si>
  <si>
    <t>144+800 / 162</t>
  </si>
  <si>
    <t>239+200 / 162</t>
  </si>
  <si>
    <t>El Borma / OUARGLA</t>
  </si>
  <si>
    <t>25+238 / 211</t>
  </si>
  <si>
    <t>50+672 / 197</t>
  </si>
  <si>
    <t>74+969 / 200</t>
  </si>
  <si>
    <t>102+209 / 166</t>
  </si>
  <si>
    <t>119+709 / 162</t>
  </si>
  <si>
    <t>159+513 / 155</t>
  </si>
  <si>
    <t>182+024 / 169</t>
  </si>
  <si>
    <t>204+429 / 151</t>
  </si>
  <si>
    <t>227+002 / 154</t>
  </si>
  <si>
    <t>248+065 / 155</t>
  </si>
  <si>
    <t>19+700 / 155</t>
  </si>
  <si>
    <t>62+000 / 145</t>
  </si>
  <si>
    <t>Hassi Messaoud / OUARGLA</t>
  </si>
  <si>
    <t>RGZ1</t>
  </si>
  <si>
    <t>RGZ3</t>
  </si>
  <si>
    <t>GZ4 Bis</t>
  </si>
  <si>
    <t>GK3 Bis</t>
  </si>
  <si>
    <t>CJB</t>
  </si>
  <si>
    <t>Stroystransgas</t>
  </si>
  <si>
    <t>X</t>
  </si>
  <si>
    <t>SOCEA</t>
  </si>
  <si>
    <t>GRESS</t>
  </si>
  <si>
    <t>BRC</t>
  </si>
  <si>
    <t>GTP</t>
  </si>
  <si>
    <t>MANNESSMAN</t>
  </si>
  <si>
    <t>SH-DTC</t>
  </si>
  <si>
    <t>SNAMPROGETTI</t>
  </si>
  <si>
    <t>SPIE</t>
  </si>
  <si>
    <t>CAPAG</t>
  </si>
  <si>
    <t>ABB</t>
  </si>
  <si>
    <t>GREP</t>
  </si>
  <si>
    <t>SOCOMAN</t>
  </si>
  <si>
    <t>GCB</t>
  </si>
  <si>
    <t xml:space="preserve">Sofregaz </t>
  </si>
  <si>
    <t>Entrepose</t>
  </si>
  <si>
    <t>SARPI</t>
  </si>
  <si>
    <t>GE</t>
  </si>
  <si>
    <t>NACAP</t>
  </si>
  <si>
    <t>MASA</t>
  </si>
  <si>
    <t>ZAKHEM</t>
  </si>
  <si>
    <t>WILLBROS</t>
  </si>
  <si>
    <t xml:space="preserve">PETROJET </t>
  </si>
  <si>
    <t>DTC</t>
  </si>
  <si>
    <t>GIP</t>
  </si>
  <si>
    <t>JGC</t>
  </si>
  <si>
    <t>TMPE</t>
  </si>
  <si>
    <t>31+400 / 196</t>
  </si>
  <si>
    <t>63+500 / 185</t>
  </si>
  <si>
    <t>93+400 / 187</t>
  </si>
  <si>
    <t>123+400 / 190</t>
  </si>
  <si>
    <t>173+300 / 184</t>
  </si>
  <si>
    <t>204+000 / 165</t>
  </si>
  <si>
    <t>233+000 / 156,79</t>
  </si>
  <si>
    <t>262+000 / 169,65</t>
  </si>
  <si>
    <t>El-Borma / OUARGLA</t>
  </si>
  <si>
    <t>93+500 / 187</t>
  </si>
  <si>
    <t>173+245 / 184</t>
  </si>
  <si>
    <t>204+010 / 165</t>
  </si>
  <si>
    <t>233+041 / 156,79</t>
  </si>
  <si>
    <t>263+000 / 169,65</t>
  </si>
  <si>
    <t>0+446</t>
  </si>
  <si>
    <t>7+000</t>
  </si>
  <si>
    <t>22+960</t>
  </si>
  <si>
    <t>77+000</t>
  </si>
  <si>
    <t>95+000</t>
  </si>
  <si>
    <t>109+274</t>
  </si>
  <si>
    <t>139+086</t>
  </si>
  <si>
    <t>194+551</t>
  </si>
  <si>
    <t>230+022</t>
  </si>
  <si>
    <t>247+400</t>
  </si>
  <si>
    <t>262+000</t>
  </si>
  <si>
    <t>306+786</t>
  </si>
  <si>
    <t>317+500</t>
  </si>
  <si>
    <t>337+300</t>
  </si>
  <si>
    <t>364+367</t>
  </si>
  <si>
    <t>397+328</t>
  </si>
  <si>
    <t>411+438</t>
  </si>
  <si>
    <t>424+000</t>
  </si>
  <si>
    <t>463+666</t>
  </si>
  <si>
    <t>477+000</t>
  </si>
  <si>
    <t>488+000</t>
  </si>
  <si>
    <t>490+605</t>
  </si>
  <si>
    <t>Hassi R’mel</t>
  </si>
  <si>
    <t>Tadjemout</t>
  </si>
  <si>
    <t>Guertoufa</t>
  </si>
  <si>
    <t>Rahouia</t>
  </si>
  <si>
    <t>Zemmoura</t>
  </si>
  <si>
    <t>Hassi R’mel/LAGHOUAT</t>
  </si>
  <si>
    <t>Benaceur Benchahra/LAGHOUAT</t>
  </si>
  <si>
    <t>Elkheneg/LAGHOUAT</t>
  </si>
  <si>
    <t>Tadjemout/LAGHOUAT</t>
  </si>
  <si>
    <t>Faidja/TIARET</t>
  </si>
  <si>
    <t>Sougueur/TIARET</t>
  </si>
  <si>
    <t>Guertoufa/TIARET</t>
  </si>
  <si>
    <t>Rahouia/TIARET</t>
  </si>
  <si>
    <t>Zemmoura/RELIZANE</t>
  </si>
  <si>
    <t>Barmadia/RELIZANE</t>
  </si>
  <si>
    <t>Matmar/RELIZANE</t>
  </si>
  <si>
    <t>Mohamadia/MASCARA</t>
  </si>
  <si>
    <t>Mocta douz/MASCARA</t>
  </si>
  <si>
    <t>Granine/MASCARA</t>
  </si>
  <si>
    <t>El Baida/LAGHOUAT</t>
  </si>
  <si>
    <t>DP Hassi R’mel</t>
  </si>
  <si>
    <t>Touat Gaz</t>
  </si>
  <si>
    <t>HAOUD BERKAOUI</t>
  </si>
  <si>
    <t>GUELLALA</t>
  </si>
  <si>
    <t>OUED NOUMER</t>
  </si>
  <si>
    <t>HASSI R’ MEL</t>
  </si>
  <si>
    <t>74+700 / 210</t>
  </si>
  <si>
    <t>77+300 / 201</t>
  </si>
  <si>
    <t>206+100 / 440</t>
  </si>
  <si>
    <t>296+400 / 756</t>
  </si>
  <si>
    <t>74+500 / 210</t>
  </si>
  <si>
    <t>77+200 / 201</t>
  </si>
  <si>
    <t>207+100 / 440</t>
  </si>
  <si>
    <t>297+000 / 756</t>
  </si>
  <si>
    <t>Djebel Onk</t>
  </si>
  <si>
    <t>Ras Toumb</t>
  </si>
  <si>
    <t>Guetirini</t>
  </si>
  <si>
    <t>350+830 / 217,1</t>
  </si>
  <si>
    <t>495+009 / 455,7</t>
  </si>
  <si>
    <t>Mereksen</t>
  </si>
  <si>
    <t>Stah</t>
  </si>
  <si>
    <t>66 / 700</t>
  </si>
  <si>
    <t>125 / 590</t>
  </si>
  <si>
    <t>0 / 545</t>
  </si>
  <si>
    <t>Zarzaitine</t>
  </si>
  <si>
    <t>Tifernine</t>
  </si>
  <si>
    <t>Edjeleh</t>
  </si>
  <si>
    <t>Tiguentourine</t>
  </si>
  <si>
    <t>Acheb</t>
  </si>
  <si>
    <t>DP/Stah</t>
  </si>
  <si>
    <t>Tamadanet (à l’arrêt)</t>
  </si>
  <si>
    <t>DP/ Ohanet</t>
  </si>
  <si>
    <t>DP / TFT (avec Tifernine)</t>
  </si>
  <si>
    <t>DP / Rhourd Nouss</t>
  </si>
  <si>
    <t>DP / Gassi Touil</t>
  </si>
  <si>
    <t>Nezla (à l’arrêt)</t>
  </si>
  <si>
    <t>80 / 672</t>
  </si>
  <si>
    <t>112+500 / 567</t>
  </si>
  <si>
    <t>270+500 / 302</t>
  </si>
  <si>
    <t>376 / 258</t>
  </si>
  <si>
    <t>452 / 208</t>
  </si>
  <si>
    <t>545+500 / 159</t>
  </si>
  <si>
    <t>BIR EL MSANA (BMS) (AST)</t>
  </si>
  <si>
    <t>BIR R’BAA NORD (BRN) (AST)</t>
  </si>
  <si>
    <t>RHOURDE EL BAGUEL</t>
  </si>
  <si>
    <t>HASSI BIR REKAIZ (HBR) (AST)</t>
  </si>
  <si>
    <t>0 / 246</t>
  </si>
  <si>
    <t xml:space="preserve">76+700/195 </t>
  </si>
  <si>
    <t>74+700 / 181,5</t>
  </si>
  <si>
    <t xml:space="preserve">0 / 172 </t>
  </si>
  <si>
    <t>0 / 157</t>
  </si>
  <si>
    <t>Ourhoud</t>
  </si>
  <si>
    <t>HBNS (Pôle Hassi Berkine)</t>
  </si>
  <si>
    <t>Bir Berkine Nord (BBK)</t>
  </si>
  <si>
    <t>EL MERK</t>
  </si>
  <si>
    <t>Rhourd El Khrouf (RKF)</t>
  </si>
  <si>
    <t>MENZEL LEDJMET EAST(MLE)</t>
  </si>
  <si>
    <t>CAFC</t>
  </si>
  <si>
    <t>0 / 185</t>
  </si>
  <si>
    <t>Menzel Ledjmet Nord (MLN)</t>
  </si>
  <si>
    <t>31+582 / 196</t>
  </si>
  <si>
    <t>0 / 780</t>
  </si>
  <si>
    <t>DP Hassi Messaoud</t>
  </si>
  <si>
    <t>Arrivée STC NH2</t>
  </si>
  <si>
    <t>0 / 172</t>
  </si>
  <si>
    <t>Tinhert *</t>
  </si>
  <si>
    <t>DP Ohanet</t>
  </si>
  <si>
    <t>In Aménas (SH/ENI/EQUINOR)</t>
  </si>
  <si>
    <t>DP TFT</t>
  </si>
  <si>
    <t>Isaréne</t>
  </si>
  <si>
    <t>Hamra</t>
  </si>
  <si>
    <t>Rhourde Nouss</t>
  </si>
  <si>
    <t>CPF MLE</t>
  </si>
  <si>
    <t>263+600</t>
  </si>
  <si>
    <t>339+500</t>
  </si>
  <si>
    <t>Arrivée STC LR1/DLR1/ELR1 et LNZ1 12’’</t>
  </si>
  <si>
    <t>0 / 777</t>
  </si>
  <si>
    <t>- Alrar</t>
  </si>
  <si>
    <t>- In Amenas (injection à l’arrêt)</t>
  </si>
  <si>
    <t>- DP Ohanet</t>
  </si>
  <si>
    <t>- BP Tiguentourine</t>
  </si>
  <si>
    <t>- Groupement TFT</t>
  </si>
  <si>
    <t>- Groupement Isarene / Ain Tsila</t>
  </si>
  <si>
    <t>- Hamra</t>
  </si>
  <si>
    <t>- Rhourd Nouss</t>
  </si>
  <si>
    <t>- MLE+CAFC</t>
  </si>
  <si>
    <t>- EL MERK</t>
  </si>
  <si>
    <t>- Gassi Touil</t>
  </si>
  <si>
    <t>- Bir Rbaa Nord</t>
  </si>
  <si>
    <t>- Berkin Nord et Sud</t>
  </si>
  <si>
    <t>- Hassi Messaoud Sud 2</t>
  </si>
  <si>
    <t>- Hassi Messaoud Sud 1</t>
  </si>
  <si>
    <t>- Z-CINA</t>
  </si>
  <si>
    <t>- Guellala</t>
  </si>
  <si>
    <t>- Oued Noumer</t>
  </si>
  <si>
    <t>0 / 702</t>
  </si>
  <si>
    <t>40 / 694</t>
  </si>
  <si>
    <t>100+085 / 555</t>
  </si>
  <si>
    <t>232+300 / 469</t>
  </si>
  <si>
    <t>395+700 / 274</t>
  </si>
  <si>
    <t>430+700 / 252</t>
  </si>
  <si>
    <t>503+500 / 208</t>
  </si>
  <si>
    <t>653+500 / 167</t>
  </si>
  <si>
    <t>681+500 / 151</t>
  </si>
  <si>
    <t>756+000 / 160</t>
  </si>
  <si>
    <t>892+000 / 496</t>
  </si>
  <si>
    <t>0 / 151</t>
  </si>
  <si>
    <t>33 / 151</t>
  </si>
  <si>
    <t>CP4 HASSI R'MEL</t>
  </si>
  <si>
    <t>Benchohra</t>
  </si>
  <si>
    <t>Laghouat</t>
  </si>
  <si>
    <t>CP5 LAGHOUAT</t>
  </si>
  <si>
    <t>Tajmout</t>
  </si>
  <si>
    <t>Aflou</t>
  </si>
  <si>
    <t>Ain Chouhada</t>
  </si>
  <si>
    <t>Sidi Bouzid&amp;Idrissia</t>
  </si>
  <si>
    <t>El Beida</t>
  </si>
  <si>
    <t>Zemalet Amir Aek</t>
  </si>
  <si>
    <t>CP6 TIARET</t>
  </si>
  <si>
    <t>Ain D’heb</t>
  </si>
  <si>
    <t>Naima II</t>
  </si>
  <si>
    <t>Sougueur 1</t>
  </si>
  <si>
    <t>Mellakou</t>
  </si>
  <si>
    <t>Centrale Tiaret</t>
  </si>
  <si>
    <t>ENTPL Tiaret</t>
  </si>
  <si>
    <t>DP Tiaret</t>
  </si>
  <si>
    <t>Relizane 1</t>
  </si>
  <si>
    <t>Relizane 2</t>
  </si>
  <si>
    <t>10+500</t>
  </si>
  <si>
    <t>91+600</t>
  </si>
  <si>
    <t>101+100</t>
  </si>
  <si>
    <t>119+600</t>
  </si>
  <si>
    <t>131+000</t>
  </si>
  <si>
    <t>160+800</t>
  </si>
  <si>
    <t>162+300</t>
  </si>
  <si>
    <t>188+100</t>
  </si>
  <si>
    <t>196+000</t>
  </si>
  <si>
    <t>238+000</t>
  </si>
  <si>
    <t>239+000</t>
  </si>
  <si>
    <t>274+800</t>
  </si>
  <si>
    <t>302+200</t>
  </si>
  <si>
    <t>312+800</t>
  </si>
  <si>
    <t>327+000</t>
  </si>
  <si>
    <t>332+500</t>
  </si>
  <si>
    <t>332+700</t>
  </si>
  <si>
    <t>333+600</t>
  </si>
  <si>
    <t>369+800</t>
  </si>
  <si>
    <t>421+300</t>
  </si>
  <si>
    <t>Ain Nouissy</t>
  </si>
  <si>
    <t>Beni Yahi</t>
  </si>
  <si>
    <t>Fornaka</t>
  </si>
  <si>
    <t>Fornaka 2</t>
  </si>
  <si>
    <t>M.E.Hadjadj</t>
  </si>
  <si>
    <t>Bethouia</t>
  </si>
  <si>
    <t>IAP Arzew II</t>
  </si>
  <si>
    <t>DP Arzew I</t>
  </si>
  <si>
    <t>466+600</t>
  </si>
  <si>
    <t>471+000</t>
  </si>
  <si>
    <t>475+600</t>
  </si>
  <si>
    <t>476+800</t>
  </si>
  <si>
    <t>492+500</t>
  </si>
  <si>
    <t>501+000</t>
  </si>
  <si>
    <t>505+000</t>
  </si>
  <si>
    <t>505+800</t>
  </si>
  <si>
    <t>507+000</t>
  </si>
  <si>
    <t>508+000</t>
  </si>
  <si>
    <t>508+100</t>
  </si>
  <si>
    <t>CP4 Hassi R'mel</t>
  </si>
  <si>
    <t>Ben Chohra</t>
  </si>
  <si>
    <t>CP5 Laghouat</t>
  </si>
  <si>
    <t>El Idrissia &amp; Sidi Bouzid</t>
  </si>
  <si>
    <t>CP6 Tiaret</t>
  </si>
  <si>
    <t>Sougueur / PC4</t>
  </si>
  <si>
    <t>160+900</t>
  </si>
  <si>
    <t>202+700</t>
  </si>
  <si>
    <t>237+972</t>
  </si>
  <si>
    <t>239+217</t>
  </si>
  <si>
    <t>295+872</t>
  </si>
  <si>
    <t>Sougueur II</t>
  </si>
  <si>
    <t>Naima</t>
  </si>
  <si>
    <t>Sougueur I</t>
  </si>
  <si>
    <t>PRS</t>
  </si>
  <si>
    <t>Melakou</t>
  </si>
  <si>
    <t>Tiaret II (C.E Tiaret)</t>
  </si>
  <si>
    <t>ENTPL Tiaret (SOTREFIT)</t>
  </si>
  <si>
    <t>Tiaret I</t>
  </si>
  <si>
    <t>Lala Abdia (DP Tiaret III)</t>
  </si>
  <si>
    <t>Oued Lili</t>
  </si>
  <si>
    <t>Mechraa Sfa</t>
  </si>
  <si>
    <t>Oued Essalem</t>
  </si>
  <si>
    <t>Mendes</t>
  </si>
  <si>
    <t>Relizane I (Chlef)</t>
  </si>
  <si>
    <t>Relizane II (Maghnia)</t>
  </si>
  <si>
    <t>Relizane III (Centrale)</t>
  </si>
  <si>
    <t>Bouguirat</t>
  </si>
  <si>
    <t>299+200</t>
  </si>
  <si>
    <t>318+242</t>
  </si>
  <si>
    <t>327+428</t>
  </si>
  <si>
    <t>339+000</t>
  </si>
  <si>
    <t>344+000</t>
  </si>
  <si>
    <t>351+400</t>
  </si>
  <si>
    <t>357+000</t>
  </si>
  <si>
    <t>380+000</t>
  </si>
  <si>
    <t>393+000</t>
  </si>
  <si>
    <t>398+500</t>
  </si>
  <si>
    <t>407+400</t>
  </si>
  <si>
    <t>429+700</t>
  </si>
  <si>
    <t>453+200</t>
  </si>
  <si>
    <t>Centrale Electrique Mostaganem</t>
  </si>
  <si>
    <t>Sirat</t>
  </si>
  <si>
    <t>Renforcement amont Mostaganem</t>
  </si>
  <si>
    <t>El Bordjia</t>
  </si>
  <si>
    <t>El Hassiane (Beni Yahi)</t>
  </si>
  <si>
    <t>Fornaka II</t>
  </si>
  <si>
    <t>Fornaka III</t>
  </si>
  <si>
    <t>Fornaka I</t>
  </si>
  <si>
    <t>M.E.Hadjadj II</t>
  </si>
  <si>
    <t>FERTIAL</t>
  </si>
  <si>
    <t>SORFET ALGERIE</t>
  </si>
  <si>
    <t>Araba,Houaoua,Gr anine</t>
  </si>
  <si>
    <t>459+200</t>
  </si>
  <si>
    <t>478+100</t>
  </si>
  <si>
    <t>458+800</t>
  </si>
  <si>
    <t>473+000</t>
  </si>
  <si>
    <t>476+400</t>
  </si>
  <si>
    <t>478+800</t>
  </si>
  <si>
    <t>506+700</t>
  </si>
  <si>
    <t>507+280</t>
  </si>
  <si>
    <t>TOSYIALI</t>
  </si>
  <si>
    <t>CE M.E.Hadjadj I</t>
  </si>
  <si>
    <t>CE Kahrama</t>
  </si>
  <si>
    <t>IAP Arzew</t>
  </si>
  <si>
    <t>508+140</t>
  </si>
  <si>
    <t xml:space="preserve">511+000 </t>
  </si>
  <si>
    <t xml:space="preserve">517+000 </t>
  </si>
  <si>
    <t>00+800</t>
  </si>
  <si>
    <t>01+900</t>
  </si>
  <si>
    <t>03+539</t>
  </si>
  <si>
    <t>SOUGUEUR / PC4</t>
  </si>
  <si>
    <t>OUED SABBAH (VANNE DE RACCORDEMENT)</t>
  </si>
  <si>
    <t>TERGA</t>
  </si>
  <si>
    <t>297+202</t>
  </si>
  <si>
    <t>74+250</t>
  </si>
  <si>
    <t>113+700</t>
  </si>
  <si>
    <t>Hassi Dalaa</t>
  </si>
  <si>
    <t>Oum Laadham</t>
  </si>
  <si>
    <t>Ras El Miaad</t>
  </si>
  <si>
    <t>Chegga</t>
  </si>
  <si>
    <t>Biskra (Chaiba)</t>
  </si>
  <si>
    <t>M’doukel</t>
  </si>
  <si>
    <t>Barika I</t>
  </si>
  <si>
    <t>Bitam II</t>
  </si>
  <si>
    <t>Bitam</t>
  </si>
  <si>
    <t>Barika II</t>
  </si>
  <si>
    <t>Barika IV</t>
  </si>
  <si>
    <t>Barika III</t>
  </si>
  <si>
    <t>Batna II (SEFIANE)</t>
  </si>
  <si>
    <t>Boumagueur</t>
  </si>
  <si>
    <t>N’gaous</t>
  </si>
  <si>
    <t>Ouled Si Slimane</t>
  </si>
  <si>
    <t>Ras Layoun</t>
  </si>
  <si>
    <t>Talkhamt</t>
  </si>
  <si>
    <t>Merouana</t>
  </si>
  <si>
    <t>Karyat Kherba</t>
  </si>
  <si>
    <t>Ouled Sellam</t>
  </si>
  <si>
    <t>Batna I Ain Djasser</t>
  </si>
  <si>
    <t>C.E Ain Djasser</t>
  </si>
  <si>
    <t>Ain Arnat</t>
  </si>
  <si>
    <t>M’chira</t>
  </si>
  <si>
    <t>Teleghma I/II</t>
  </si>
  <si>
    <t>Teleghma III</t>
  </si>
  <si>
    <t>Ouled Smail</t>
  </si>
  <si>
    <t>Mila</t>
  </si>
  <si>
    <t>Ali Mendjeli</t>
  </si>
  <si>
    <t>Ain S’mara</t>
  </si>
  <si>
    <t>Constantine I/II (El Djebasse)</t>
  </si>
  <si>
    <t>Ibn Ziad</t>
  </si>
  <si>
    <t>Messaod Boudjeriou</t>
  </si>
  <si>
    <t>Hamma Bouziane / Didouche Mourad</t>
  </si>
  <si>
    <t>Hamma Bouziane Bellara</t>
  </si>
  <si>
    <t>Zighoud Youcef (Doghra)</t>
  </si>
  <si>
    <t>El-Harrouch</t>
  </si>
  <si>
    <t>Ain Bouziane</t>
  </si>
  <si>
    <t>Ramdane Djamel I/II</t>
  </si>
  <si>
    <t>Bouchettata</t>
  </si>
  <si>
    <t>El-Haddaiek</t>
  </si>
  <si>
    <t>Hamadi Krouma</t>
  </si>
  <si>
    <t>Filfila</t>
  </si>
  <si>
    <t>Skikda I</t>
  </si>
  <si>
    <t>Skikda II SKS</t>
  </si>
  <si>
    <t>Raffinerie RA2K (Topping Condensat)</t>
  </si>
  <si>
    <t>Complexe Pétrolier (CP1K)</t>
  </si>
  <si>
    <t>27+748</t>
  </si>
  <si>
    <t>64+900</t>
  </si>
  <si>
    <t>-</t>
  </si>
  <si>
    <t>133+753</t>
  </si>
  <si>
    <t>176+600</t>
  </si>
  <si>
    <t>233+954</t>
  </si>
  <si>
    <t>270+785</t>
  </si>
  <si>
    <t>270+512</t>
  </si>
  <si>
    <t>310+600</t>
  </si>
  <si>
    <t>338+000</t>
  </si>
  <si>
    <t>338+479</t>
  </si>
  <si>
    <t>339+067</t>
  </si>
  <si>
    <t>342+686</t>
  </si>
  <si>
    <t>342+333</t>
  </si>
  <si>
    <t>350+613</t>
  </si>
  <si>
    <t>350+818</t>
  </si>
  <si>
    <t>353+600</t>
  </si>
  <si>
    <t>354+800</t>
  </si>
  <si>
    <t>363+300</t>
  </si>
  <si>
    <t>375+000</t>
  </si>
  <si>
    <t>373+779</t>
  </si>
  <si>
    <t>380+800</t>
  </si>
  <si>
    <t>388+270</t>
  </si>
  <si>
    <t>395+054</t>
  </si>
  <si>
    <t>395+922</t>
  </si>
  <si>
    <t>399+712</t>
  </si>
  <si>
    <t>399+504</t>
  </si>
  <si>
    <t>407+955</t>
  </si>
  <si>
    <t>415+079</t>
  </si>
  <si>
    <t>430+120</t>
  </si>
  <si>
    <t>429+826</t>
  </si>
  <si>
    <t>430+160</t>
  </si>
  <si>
    <t>438+372</t>
  </si>
  <si>
    <t>439+522</t>
  </si>
  <si>
    <t>451+061</t>
  </si>
  <si>
    <t>458+520</t>
  </si>
  <si>
    <t>458+654</t>
  </si>
  <si>
    <t>464+245</t>
  </si>
  <si>
    <t>462+944</t>
  </si>
  <si>
    <t>468+700</t>
  </si>
  <si>
    <t>475+605</t>
  </si>
  <si>
    <t>474+323</t>
  </si>
  <si>
    <t>492+099</t>
  </si>
  <si>
    <t>492+836</t>
  </si>
  <si>
    <t>498+399</t>
  </si>
  <si>
    <t>497+400</t>
  </si>
  <si>
    <t>504+806</t>
  </si>
  <si>
    <t>503+102</t>
  </si>
  <si>
    <t>507+764</t>
  </si>
  <si>
    <t>514+548</t>
  </si>
  <si>
    <t>513+560</t>
  </si>
  <si>
    <t>514+528</t>
  </si>
  <si>
    <t>515+070</t>
  </si>
  <si>
    <t>527+460</t>
  </si>
  <si>
    <t>529+396</t>
  </si>
  <si>
    <t>547+462</t>
  </si>
  <si>
    <t>544+230</t>
  </si>
  <si>
    <t>545+690</t>
  </si>
  <si>
    <t>554+981</t>
  </si>
  <si>
    <t>555+094</t>
  </si>
  <si>
    <t>563+562</t>
  </si>
  <si>
    <t>566+940</t>
  </si>
  <si>
    <t>566+700</t>
  </si>
  <si>
    <t>571+700</t>
  </si>
  <si>
    <t>Ain Djasser</t>
  </si>
  <si>
    <t>Ouled Hamla</t>
  </si>
  <si>
    <t>Khazara</t>
  </si>
  <si>
    <t>Chihani</t>
  </si>
  <si>
    <t>Chafia</t>
  </si>
  <si>
    <t>Attente</t>
  </si>
  <si>
    <t>Bouteldja</t>
  </si>
  <si>
    <t>BERIHANE</t>
  </si>
  <si>
    <t>C.E. K.Eddraouche</t>
  </si>
  <si>
    <t>433+483</t>
  </si>
  <si>
    <t>50+301</t>
  </si>
  <si>
    <t>148+816</t>
  </si>
  <si>
    <t>201+646</t>
  </si>
  <si>
    <t>222+765</t>
  </si>
  <si>
    <t>234+704</t>
  </si>
  <si>
    <t>241+926</t>
  </si>
  <si>
    <t>256+182</t>
  </si>
  <si>
    <t>267+300</t>
  </si>
  <si>
    <t>Ras layoun</t>
  </si>
  <si>
    <t>Bouhamdene et Ouled H’Ababa</t>
  </si>
  <si>
    <t>10+164</t>
  </si>
  <si>
    <t>30+777</t>
  </si>
  <si>
    <t>TILGHEMT</t>
  </si>
  <si>
    <t>OULED BELLIL</t>
  </si>
  <si>
    <t>KSAR EL HIRANE</t>
  </si>
  <si>
    <t>SED RAHAL</t>
  </si>
  <si>
    <t>MESSAAD</t>
  </si>
  <si>
    <t>MOUDJEBARA</t>
  </si>
  <si>
    <t>DJELFA</t>
  </si>
  <si>
    <t>MOUILAH</t>
  </si>
  <si>
    <t>DAR CHIOUKH</t>
  </si>
  <si>
    <t>SLIM</t>
  </si>
  <si>
    <t>20+800</t>
  </si>
  <si>
    <t>31+000</t>
  </si>
  <si>
    <t>94+500</t>
  </si>
  <si>
    <t>109+660</t>
  </si>
  <si>
    <t>138+700</t>
  </si>
  <si>
    <t>175+500</t>
  </si>
  <si>
    <t>192+000</t>
  </si>
  <si>
    <t>200+420</t>
  </si>
  <si>
    <t>216+410</t>
  </si>
  <si>
    <t>223+000</t>
  </si>
  <si>
    <t>BOUSSAADA</t>
  </si>
  <si>
    <t>HAD S’HARI</t>
  </si>
  <si>
    <t>OULED ALI</t>
  </si>
  <si>
    <t>AIN LAHDJEL (MSILA)</t>
  </si>
  <si>
    <t>253+500</t>
  </si>
  <si>
    <t>286+600</t>
  </si>
  <si>
    <t>301+321</t>
  </si>
  <si>
    <t>312+000</t>
  </si>
  <si>
    <t>SIDI AISSA II</t>
  </si>
  <si>
    <t>SIDI AISSA I</t>
  </si>
  <si>
    <t>325+000</t>
  </si>
  <si>
    <t>336+000</t>
  </si>
  <si>
    <t>DIRAH</t>
  </si>
  <si>
    <t>DIRAH II</t>
  </si>
  <si>
    <t>EL HAKIMIA</t>
  </si>
  <si>
    <t>SOUR EL GHOZLANE</t>
  </si>
  <si>
    <t>AIN BESSAM</t>
  </si>
  <si>
    <t>BOUIRA II (BEJAIA)</t>
  </si>
  <si>
    <t>AIN EL HADJAR</t>
  </si>
  <si>
    <t>BOUIRA I</t>
  </si>
  <si>
    <t>AIN EL TURK (HAIZER)</t>
  </si>
  <si>
    <t>LAKHDARIA</t>
  </si>
  <si>
    <t>DRAA EL MIZAN</t>
  </si>
  <si>
    <t>M’KIRA</t>
  </si>
  <si>
    <t>CHAABET EL AMEUR</t>
  </si>
  <si>
    <t>BORDJ MENAIL (ALGER)</t>
  </si>
  <si>
    <t>349+000</t>
  </si>
  <si>
    <t>349+250</t>
  </si>
  <si>
    <t>360+920</t>
  </si>
  <si>
    <t>366+600</t>
  </si>
  <si>
    <t>386+000</t>
  </si>
  <si>
    <t>390+000</t>
  </si>
  <si>
    <t>390+600</t>
  </si>
  <si>
    <t>396+150</t>
  </si>
  <si>
    <t>405+900</t>
  </si>
  <si>
    <t>409+700</t>
  </si>
  <si>
    <t>418+000</t>
  </si>
  <si>
    <t>423+000</t>
  </si>
  <si>
    <t>431+400</t>
  </si>
  <si>
    <t>437+000</t>
  </si>
  <si>
    <t>DJABAHIA &amp; EL MADJENE</t>
  </si>
  <si>
    <t>CE BREZINA</t>
  </si>
  <si>
    <t>BREZINA</t>
  </si>
  <si>
    <t>ARBAOUAT</t>
  </si>
  <si>
    <t>EL BAYADH</t>
  </si>
  <si>
    <t>M’HARA</t>
  </si>
  <si>
    <t>Ben Hadjame</t>
  </si>
  <si>
    <t>TOUADJER</t>
  </si>
  <si>
    <t>CE NAAMA (MECHRIA/ BOUGTOB)</t>
  </si>
  <si>
    <t>CC NAAMA II</t>
  </si>
  <si>
    <t>MEKMEN BEN AMAR</t>
  </si>
  <si>
    <t>ABDEL MOULA</t>
  </si>
  <si>
    <t>Aricha (kasdir)</t>
  </si>
  <si>
    <t>382+900</t>
  </si>
  <si>
    <t>194+606</t>
  </si>
  <si>
    <t>213+045</t>
  </si>
  <si>
    <t>267+599</t>
  </si>
  <si>
    <t>281+900</t>
  </si>
  <si>
    <t>293+901</t>
  </si>
  <si>
    <t>314+533</t>
  </si>
  <si>
    <t>326+217</t>
  </si>
  <si>
    <t>361+740</t>
  </si>
  <si>
    <t>381+459</t>
  </si>
  <si>
    <t>421+190</t>
  </si>
  <si>
    <t>460+999</t>
  </si>
  <si>
    <t>LABIODH SIDI CHEIKH &amp; Bechar</t>
  </si>
  <si>
    <t>500+697</t>
  </si>
  <si>
    <t>Besbes</t>
  </si>
  <si>
    <t>Ouled Djelal</t>
  </si>
  <si>
    <t>Bouclage de la ville de Biskra (Lioua)</t>
  </si>
  <si>
    <t>SP3 SELGA RTE NK1</t>
  </si>
  <si>
    <t>Sidi Okba, M’ghair</t>
  </si>
  <si>
    <t>SP1 bis OB1</t>
  </si>
  <si>
    <t>Ain Naga</t>
  </si>
  <si>
    <t>Zeribet El Oued</t>
  </si>
  <si>
    <t>R’ouidjel Harzelli,El Feidh</t>
  </si>
  <si>
    <t>C.E Labrag</t>
  </si>
  <si>
    <t>Ferkane - Negrine</t>
  </si>
  <si>
    <t>Bir El Ater (Tebessa)</t>
  </si>
  <si>
    <t>235+850</t>
  </si>
  <si>
    <t>246+550</t>
  </si>
  <si>
    <t>283+965</t>
  </si>
  <si>
    <t>284+125</t>
  </si>
  <si>
    <t>319+205</t>
  </si>
  <si>
    <t>319+228</t>
  </si>
  <si>
    <t>375+600</t>
  </si>
  <si>
    <t>382+128</t>
  </si>
  <si>
    <t>432+950</t>
  </si>
  <si>
    <t>433+080</t>
  </si>
  <si>
    <t>433+000</t>
  </si>
  <si>
    <t>460+550</t>
  </si>
  <si>
    <t>531+074</t>
  </si>
  <si>
    <t>20+244</t>
  </si>
  <si>
    <t>53+141</t>
  </si>
  <si>
    <t>68+019</t>
  </si>
  <si>
    <t>78+495</t>
  </si>
  <si>
    <t>97+567</t>
  </si>
  <si>
    <t>102+614</t>
  </si>
  <si>
    <t>116+648</t>
  </si>
  <si>
    <t>116+649</t>
  </si>
  <si>
    <t>129+753</t>
  </si>
  <si>
    <t>136+083</t>
  </si>
  <si>
    <t>147+411</t>
  </si>
  <si>
    <t>156+511</t>
  </si>
  <si>
    <t>160+000</t>
  </si>
  <si>
    <t>160+457</t>
  </si>
  <si>
    <t>168+146</t>
  </si>
  <si>
    <t>176+202</t>
  </si>
  <si>
    <t>180+235</t>
  </si>
  <si>
    <t>196+297</t>
  </si>
  <si>
    <t>196+298</t>
  </si>
  <si>
    <t>198+978</t>
  </si>
  <si>
    <t>Groupement TFT</t>
  </si>
  <si>
    <t>Isarène</t>
  </si>
  <si>
    <t>URGA Gassi Touil</t>
  </si>
  <si>
    <t>CIS HMD</t>
  </si>
  <si>
    <t>Guellala</t>
  </si>
  <si>
    <t>Oued Noumer</t>
  </si>
  <si>
    <t>PC Leima</t>
  </si>
  <si>
    <t>Mesdar / SH/DP</t>
  </si>
  <si>
    <t>R. El Baguel / Association</t>
  </si>
  <si>
    <t>H. Messaoud / SH/DP CIS Sud</t>
  </si>
  <si>
    <t>Sonelgaz / HMD CINA</t>
  </si>
  <si>
    <t>Sonahess</t>
  </si>
  <si>
    <t>HMD Ouest (nouvelle)</t>
  </si>
  <si>
    <t>HMD El Oued</t>
  </si>
  <si>
    <t>Hassi Ben Abdellah</t>
  </si>
  <si>
    <t>Sidi Khouiled</t>
  </si>
  <si>
    <t>Ouargla</t>
  </si>
  <si>
    <t>Bamendil</t>
  </si>
  <si>
    <t>Ouargla II (TG Mobile Ouargla)</t>
  </si>
  <si>
    <t>SP2 Oléoduc OZ1/2 SH/TRC</t>
  </si>
  <si>
    <t>Zelfana</t>
  </si>
  <si>
    <t>Ghardaïa II (Vallée du M’Zab)</t>
  </si>
  <si>
    <t>SP3 Oléoduc OZ1/2 /SH/TRC</t>
  </si>
  <si>
    <t>Berriane</t>
  </si>
  <si>
    <t>40+130</t>
  </si>
  <si>
    <t>298+370</t>
  </si>
  <si>
    <t>588+400</t>
  </si>
  <si>
    <t>655+600</t>
  </si>
  <si>
    <t>675+300</t>
  </si>
  <si>
    <t>241+238</t>
  </si>
  <si>
    <t>694+000</t>
  </si>
  <si>
    <t>262+250</t>
  </si>
  <si>
    <t>714+230</t>
  </si>
  <si>
    <t>725+600</t>
  </si>
  <si>
    <t>733+100</t>
  </si>
  <si>
    <t>741+500</t>
  </si>
  <si>
    <t>742+661</t>
  </si>
  <si>
    <t>799+100</t>
  </si>
  <si>
    <t>850+700</t>
  </si>
  <si>
    <t>890+990</t>
  </si>
  <si>
    <t>892+200</t>
  </si>
  <si>
    <t>910+900</t>
  </si>
  <si>
    <t>Reggane Nord</t>
  </si>
  <si>
    <t>Touat</t>
  </si>
  <si>
    <t>Timimoun</t>
  </si>
  <si>
    <t>Tinrkouk (Hassi Mouina Sud)</t>
  </si>
  <si>
    <t>Reg Mouaed (Hassi Ba Hamo)</t>
  </si>
  <si>
    <t>Hassi Tidjerane (Hassi Mouina Nord)</t>
  </si>
  <si>
    <t>AOULEF</t>
  </si>
  <si>
    <t>El GOLEA</t>
  </si>
  <si>
    <t>19+142 / 173</t>
  </si>
  <si>
    <t>39+030 / 170</t>
  </si>
  <si>
    <t>58+423 / 127</t>
  </si>
  <si>
    <t>78+000 / 119</t>
  </si>
  <si>
    <t>97+503 / 112</t>
  </si>
  <si>
    <t>117+112 / 98</t>
  </si>
  <si>
    <t>136+698 / 88</t>
  </si>
  <si>
    <t>156+448 / 71</t>
  </si>
  <si>
    <t>175+500 / 77</t>
  </si>
  <si>
    <t>209+315 / 110</t>
  </si>
  <si>
    <t>228+535 / 78</t>
  </si>
  <si>
    <t>248+003 / 42</t>
  </si>
  <si>
    <t>267+651 / 93</t>
  </si>
  <si>
    <t>287+163 / 85</t>
  </si>
  <si>
    <t>306+745 / 78</t>
  </si>
  <si>
    <t>326+507 / 150</t>
  </si>
  <si>
    <t>357+114 / 241</t>
  </si>
  <si>
    <t>375+164 / 403</t>
  </si>
  <si>
    <t>Hassi Ben Abdallah / Sidi khouiled / OUARGLA</t>
  </si>
  <si>
    <t>Elhadjira / Elhadjira / OUARGLA</t>
  </si>
  <si>
    <t>Temacine / Temacine / OUARGLA</t>
  </si>
  <si>
    <t>Megharine / Megharine / OUARGLA</t>
  </si>
  <si>
    <t>Sidi Amrane / Djamâa / M’GHAIER</t>
  </si>
  <si>
    <t>Djamâa / Djamâa / M’GHAIER</t>
  </si>
  <si>
    <t>Sidi Khelil / M'ghaier / M’GHAIER</t>
  </si>
  <si>
    <t>M’ghaier / M'ghaier / M’GHAIER</t>
  </si>
  <si>
    <t>Oum Touyour / M'ghaier / M’GHAIER</t>
  </si>
  <si>
    <t>Still / M'ghaier / M’GHAIER</t>
  </si>
  <si>
    <t>Mlili / Ouarlal / BISKRA</t>
  </si>
  <si>
    <t>El hadjeb / Tolga / BISKRA</t>
  </si>
  <si>
    <t>El outaya / El outaya / BISKRA</t>
  </si>
  <si>
    <t>N’gaous / N’gaous / BATNA</t>
  </si>
  <si>
    <t>Lemcen / Ouled Si Slimane / BATNA</t>
  </si>
  <si>
    <t>Talkhemt / Ras El Aioun / BATNA</t>
  </si>
  <si>
    <t>Aindjasser / Ain djasser / MILA</t>
  </si>
  <si>
    <t>Ouled khlouf / Tadjenent / MILA</t>
  </si>
  <si>
    <t>M’chira / Teleghma / MILA</t>
  </si>
  <si>
    <t>Teleghma / Teleghma / MILA</t>
  </si>
  <si>
    <t>Oued Sguine / Teleghma / MILA</t>
  </si>
  <si>
    <t>Ain Smara / Khroub / CONSTANTINE</t>
  </si>
  <si>
    <t>Didouche Mourad / Didouche Mourad / CONSTANTINE</t>
  </si>
  <si>
    <t>Zighout youcef / Zighout youcef / CONSTANTINE</t>
  </si>
  <si>
    <t>El Harouche / El Harouche / SKIKDA</t>
  </si>
  <si>
    <t>Salah bouchaour / El Harouche / SKIKDA</t>
  </si>
  <si>
    <t>Ramdane Djamel / Ramdane Djamel / SKIKDA</t>
  </si>
  <si>
    <t>394+301 / 538</t>
  </si>
  <si>
    <t>411+129 / 474</t>
  </si>
  <si>
    <t>446+337 / 705</t>
  </si>
  <si>
    <t>461+375 / 854</t>
  </si>
  <si>
    <t>478+150 / 934</t>
  </si>
  <si>
    <t>496+241 / 874</t>
  </si>
  <si>
    <t>508+364 / 957</t>
  </si>
  <si>
    <t>525+239 / 833</t>
  </si>
  <si>
    <t>540+753 / 780</t>
  </si>
  <si>
    <t>554+193 / 660</t>
  </si>
  <si>
    <t>568+761 / 770</t>
  </si>
  <si>
    <t>576+080 / 432</t>
  </si>
  <si>
    <t>588+960 / 594</t>
  </si>
  <si>
    <t>599+888 / 568</t>
  </si>
  <si>
    <t>614+435 / 172</t>
  </si>
  <si>
    <t>623+417 / 149</t>
  </si>
  <si>
    <t>633+085 / 60</t>
  </si>
  <si>
    <t>641+444 / 30</t>
  </si>
  <si>
    <t>27 / 637</t>
  </si>
  <si>
    <t>40 / 515</t>
  </si>
  <si>
    <t>78 / 438</t>
  </si>
  <si>
    <t>117+300 / 373</t>
  </si>
  <si>
    <t>201+600 / 273</t>
  </si>
  <si>
    <t>255+300 / 242</t>
  </si>
  <si>
    <t>293+600 / 226</t>
  </si>
  <si>
    <t>386 / 183</t>
  </si>
  <si>
    <t>435+100 / 159</t>
  </si>
  <si>
    <t>475+100 / 145</t>
  </si>
  <si>
    <t>Ohanet / ILLIZI</t>
  </si>
  <si>
    <t>Bordj Omar Driss / ILLIZI</t>
  </si>
  <si>
    <t>33+400 / 800</t>
  </si>
  <si>
    <t>66+800 / 920</t>
  </si>
  <si>
    <t>91+300 / 820</t>
  </si>
  <si>
    <t>153+500 / 1250</t>
  </si>
  <si>
    <t>189 / 1000</t>
  </si>
  <si>
    <t>219 / 920</t>
  </si>
  <si>
    <t>249 / 1100</t>
  </si>
  <si>
    <t>281 / 1250</t>
  </si>
  <si>
    <t>329 / 1000</t>
  </si>
  <si>
    <t>349+400 /480</t>
  </si>
  <si>
    <t>372+800 /550</t>
  </si>
  <si>
    <t>388 /510</t>
  </si>
  <si>
    <t>412+200 /180</t>
  </si>
  <si>
    <t>436+300 /110</t>
  </si>
  <si>
    <t>451+400 /107</t>
  </si>
  <si>
    <t>474+300 /30</t>
  </si>
  <si>
    <t>492+700 /160</t>
  </si>
  <si>
    <t>El Kheneg / LAGHOUAT</t>
  </si>
  <si>
    <t>Tadjmout / LAGHOUAT</t>
  </si>
  <si>
    <t>Sidi Bouzid / LAGHOUAT</t>
  </si>
  <si>
    <t>Naima / TIARET</t>
  </si>
  <si>
    <t>Mellakou / TIARET</t>
  </si>
  <si>
    <t>Sidi Lazreg / RELIZANE</t>
  </si>
  <si>
    <t>Bendaoud / RELIZANE</t>
  </si>
  <si>
    <t>Sedjarara / MASCARA</t>
  </si>
  <si>
    <t>El Ghomri / MASCARA</t>
  </si>
  <si>
    <t>Ras Ain Amirouche / MASCARA</t>
  </si>
  <si>
    <t>Mers El Hadjadj / ORAN</t>
  </si>
  <si>
    <t>20+983 / 760</t>
  </si>
  <si>
    <t>41+247 / 824</t>
  </si>
  <si>
    <t>60+604 / 875</t>
  </si>
  <si>
    <t>80+141 / 800</t>
  </si>
  <si>
    <t>97+958 / 795</t>
  </si>
  <si>
    <t>119+566 / 953</t>
  </si>
  <si>
    <t>140+999 / 1069</t>
  </si>
  <si>
    <t>160+134 / 1237</t>
  </si>
  <si>
    <t>182+012 / 1136</t>
  </si>
  <si>
    <t>199+477 / 971</t>
  </si>
  <si>
    <t>219+487 / 978</t>
  </si>
  <si>
    <t>241+804 / 1056</t>
  </si>
  <si>
    <t>261+913 / 1147</t>
  </si>
  <si>
    <t>282+038 / 1266</t>
  </si>
  <si>
    <t>301+416 / 1173</t>
  </si>
  <si>
    <t>325+534 / 995</t>
  </si>
  <si>
    <t>336+228 / 1015</t>
  </si>
  <si>
    <t>346+717 / 786</t>
  </si>
  <si>
    <t>358+621 / 673</t>
  </si>
  <si>
    <t>369+781 / 636</t>
  </si>
  <si>
    <t>382+146 / 538</t>
  </si>
  <si>
    <t>393+132 / 269</t>
  </si>
  <si>
    <t>404+398 / 116</t>
  </si>
  <si>
    <t>412+418 / 120</t>
  </si>
  <si>
    <t>425+319 / 311</t>
  </si>
  <si>
    <t>433+722 / 314</t>
  </si>
  <si>
    <t>447+168 / 75</t>
  </si>
  <si>
    <t>457+033 / 24</t>
  </si>
  <si>
    <t>467+132 /15</t>
  </si>
  <si>
    <t>477+352 / 8</t>
  </si>
  <si>
    <t>486+013 /16</t>
  </si>
  <si>
    <t>Hassi r’mel / LAGHOUAT</t>
  </si>
  <si>
    <t>Beidha / LAGHOUAT</t>
  </si>
  <si>
    <t>Tousnina / TIARET</t>
  </si>
  <si>
    <t>Sidi Mhamed Benaouda / RELIZANE</t>
  </si>
  <si>
    <t>Ain Rahma / RELIZANE</t>
  </si>
  <si>
    <t>Sedjrara / RELIZANE</t>
  </si>
  <si>
    <t>Sidi Abdelmoumene / MASCARA</t>
  </si>
  <si>
    <t>Mactaa Douz / MASCARA</t>
  </si>
  <si>
    <t>Ras el Ain Amirouche / MASCARA</t>
  </si>
  <si>
    <t>15 A</t>
  </si>
  <si>
    <t>15 B</t>
  </si>
  <si>
    <t>20+000 / 709</t>
  </si>
  <si>
    <t>40+000 / 694</t>
  </si>
  <si>
    <t>60+000 / 662</t>
  </si>
  <si>
    <t>118+000 / 558</t>
  </si>
  <si>
    <t>156+000 / 570</t>
  </si>
  <si>
    <t>195+600 / 540</t>
  </si>
  <si>
    <t>263+400 / 423</t>
  </si>
  <si>
    <t>298+000 / 348</t>
  </si>
  <si>
    <t>316+800 / 318</t>
  </si>
  <si>
    <t>357+800 / 300</t>
  </si>
  <si>
    <t>448+800 / 240</t>
  </si>
  <si>
    <t>Bordj Omar Idriss / ILLIZI</t>
  </si>
  <si>
    <t>20 Bis</t>
  </si>
  <si>
    <t>484+800 / 220</t>
  </si>
  <si>
    <t>524+300 / 198</t>
  </si>
  <si>
    <t>544+900 / 186</t>
  </si>
  <si>
    <t>565+600 / 178</t>
  </si>
  <si>
    <t>586+400 / 167</t>
  </si>
  <si>
    <t>604+300 / 160</t>
  </si>
  <si>
    <t>623+300 / 151</t>
  </si>
  <si>
    <t>672+500 / 167</t>
  </si>
  <si>
    <t>694+500 / 177</t>
  </si>
  <si>
    <t>715+500 / 148</t>
  </si>
  <si>
    <t>741+600 / 136</t>
  </si>
  <si>
    <t>769+500 / 160</t>
  </si>
  <si>
    <t>837+600 / 318</t>
  </si>
  <si>
    <t>857+500 / 352</t>
  </si>
  <si>
    <t>878+500 / 412</t>
  </si>
  <si>
    <t>900+700 / 496</t>
  </si>
  <si>
    <t>918+300 / 558</t>
  </si>
  <si>
    <t>936+600 / 626</t>
  </si>
  <si>
    <t>954+300 / 708</t>
  </si>
  <si>
    <t>971+300 /770</t>
  </si>
  <si>
    <t>Rouissat / OUARGLA</t>
  </si>
  <si>
    <t>Bounoura / GHARDAIA</t>
  </si>
  <si>
    <t>Ghardaïa / GHARDAIA</t>
  </si>
  <si>
    <t>Ben Dhaou / LAGHOUAT</t>
  </si>
  <si>
    <t>Hassi R'mel / LAGHOUAT</t>
  </si>
  <si>
    <t>18 / 558</t>
  </si>
  <si>
    <t>54 / 570</t>
  </si>
  <si>
    <t>93 / 540</t>
  </si>
  <si>
    <t>161 / 423</t>
  </si>
  <si>
    <t>196 / 348</t>
  </si>
  <si>
    <t>214 / 318</t>
  </si>
  <si>
    <t>255 / 300</t>
  </si>
  <si>
    <t>294 / 274</t>
  </si>
  <si>
    <t>346 / 240</t>
  </si>
  <si>
    <t>382 / 220</t>
  </si>
  <si>
    <t>19+000 / 163</t>
  </si>
  <si>
    <t>41+000 / 177</t>
  </si>
  <si>
    <t>63+000 / 147</t>
  </si>
  <si>
    <t>84+017 / 140</t>
  </si>
  <si>
    <t>101+802 / 220</t>
  </si>
  <si>
    <t>121+500 / 230</t>
  </si>
  <si>
    <t>142+000 / 250</t>
  </si>
  <si>
    <t>171+000 / 310</t>
  </si>
  <si>
    <t>191+278 / 380</t>
  </si>
  <si>
    <t>212+000 / 440</t>
  </si>
  <si>
    <t>233+240 / 470</t>
  </si>
  <si>
    <t>271+322 / 580</t>
  </si>
  <si>
    <t>291+500 / 640</t>
  </si>
  <si>
    <t>305+618 / 690</t>
  </si>
  <si>
    <t>324+000 / 750</t>
  </si>
  <si>
    <t>Hassi Ben Abdellah / OUARGLA</t>
  </si>
  <si>
    <t>El Atteuf / GHARDAIA</t>
  </si>
  <si>
    <t>Guardaia / GHARDAIA</t>
  </si>
  <si>
    <t>168+131 / 1238</t>
  </si>
  <si>
    <t>275+084 / 1175</t>
  </si>
  <si>
    <t>304+867 / 1193</t>
  </si>
  <si>
    <t>397+798 / 520</t>
  </si>
  <si>
    <t>442+062 / 127</t>
  </si>
  <si>
    <t>470+449 / 13</t>
  </si>
  <si>
    <t>486+214 / 24</t>
  </si>
  <si>
    <t>504+500 / 53</t>
  </si>
  <si>
    <t>Sidi Touati / TIARET</t>
  </si>
  <si>
    <t>El Matmar / RELIZANE</t>
  </si>
  <si>
    <t>Sept Marabouts - Ain Nouissy / MOSTAGANEM</t>
  </si>
  <si>
    <t>Mactaa Sud - Ain Nouissy / MOSTAGANEM</t>
  </si>
  <si>
    <t>Mactaa Nord Ain Nouissy / MOSTAGANEM</t>
  </si>
  <si>
    <t>Ain El Bya / ORAN</t>
  </si>
  <si>
    <t>17+100 / 732</t>
  </si>
  <si>
    <t>37+400 / 790</t>
  </si>
  <si>
    <t>55+800 / 810</t>
  </si>
  <si>
    <t>91+700 / 790</t>
  </si>
  <si>
    <t>108+400 / 801</t>
  </si>
  <si>
    <t>127+100 / 921</t>
  </si>
  <si>
    <t>156+500 / 1172</t>
  </si>
  <si>
    <t>186+300 / 1010</t>
  </si>
  <si>
    <t>204+600 / 990</t>
  </si>
  <si>
    <t>275+049 / 1162</t>
  </si>
  <si>
    <t>325+273 / 984</t>
  </si>
  <si>
    <t>351+200 / 630</t>
  </si>
  <si>
    <t>371+128 / 670</t>
  </si>
  <si>
    <t>421+375 / 73</t>
  </si>
  <si>
    <t>442+515 / 70</t>
  </si>
  <si>
    <t>470+266 / 13</t>
  </si>
  <si>
    <t>486+450 / 24</t>
  </si>
  <si>
    <t>487+720 /436</t>
  </si>
  <si>
    <t>486+964 / 4,36</t>
  </si>
  <si>
    <t>350+830 / 647,65</t>
  </si>
  <si>
    <t>56+306 / 829,20</t>
  </si>
  <si>
    <t>57+294 / 836</t>
  </si>
  <si>
    <t>113+494 / 820</t>
  </si>
  <si>
    <t>167+279 / 1237</t>
  </si>
  <si>
    <t>275+327 / 1162</t>
  </si>
  <si>
    <t>325+846 / 984</t>
  </si>
  <si>
    <t>351+449 / 630</t>
  </si>
  <si>
    <t>371+791 / 670</t>
  </si>
  <si>
    <t>423+300 / 73</t>
  </si>
  <si>
    <t>444+060 / 181</t>
  </si>
  <si>
    <t>470+716 / 65</t>
  </si>
  <si>
    <t>501+850 / 95</t>
  </si>
  <si>
    <t>13+600 / 1211</t>
  </si>
  <si>
    <t>24+900 / 1059</t>
  </si>
  <si>
    <t>35+000 / 953</t>
  </si>
  <si>
    <t>43+000 / 910</t>
  </si>
  <si>
    <t>55+000 / 722</t>
  </si>
  <si>
    <t>65+000 / 589</t>
  </si>
  <si>
    <t>74+000 / 679</t>
  </si>
  <si>
    <t>86+000 / 556</t>
  </si>
  <si>
    <t>96+000 / 489</t>
  </si>
  <si>
    <t>115+000 / 198</t>
  </si>
  <si>
    <t>126+000 / 136</t>
  </si>
  <si>
    <t>135+000 / 119</t>
  </si>
  <si>
    <t>145+000 / 334</t>
  </si>
  <si>
    <t>156+000 / 114</t>
  </si>
  <si>
    <t>166+000 / 40</t>
  </si>
  <si>
    <t>176+000 / 23</t>
  </si>
  <si>
    <t>185+000 / 05</t>
  </si>
  <si>
    <t>195+000 / 04</t>
  </si>
  <si>
    <t>208+000 / 59</t>
  </si>
  <si>
    <t>Ain Dhab / TIARET</t>
  </si>
  <si>
    <t>Tiaret/ TIARET</t>
  </si>
  <si>
    <t>Guertoufa/ TIARET</t>
  </si>
  <si>
    <t>Tamda / TIARET</t>
  </si>
  <si>
    <t>Ouad El Salam / TIARET</t>
  </si>
  <si>
    <t>Sidi Lazrag / RELIZANE</t>
  </si>
  <si>
    <t>Mohamed Ben Aouda / RELIZANE</t>
  </si>
  <si>
    <t>Kelaa / RELIZANE</t>
  </si>
  <si>
    <t>Sedjrara / MASCARA</t>
  </si>
  <si>
    <t>Mohamadia / MASCARA</t>
  </si>
  <si>
    <t>Moctaa Douze / MASCARA</t>
  </si>
  <si>
    <t>Alaymia / MASCARA</t>
  </si>
  <si>
    <t>Béthioua / ORAN</t>
  </si>
  <si>
    <t>Tadjmount / LAGHOUAT</t>
  </si>
  <si>
    <t>Ain Guesma / TIARET</t>
  </si>
  <si>
    <t>Bermadia / RELIZANE</t>
  </si>
  <si>
    <t>Yellal / RELIZANE</t>
  </si>
  <si>
    <t>Béthioua (Granine) / ORAN</t>
  </si>
  <si>
    <t>Nacer benchohra / LAGHOUAT</t>
  </si>
  <si>
    <t>El Khneig / LAGHOUAT</t>
  </si>
  <si>
    <t>El beida / LAGHOUAT</t>
  </si>
  <si>
    <t>Hassaine - Ain Nouissy / MOSTAGANEM</t>
  </si>
  <si>
    <t>Ouled Senouci - Ain Nouissy / MOSTAGANEM</t>
  </si>
  <si>
    <t>Mersat El Hadjadj / ORAN</t>
  </si>
  <si>
    <t>025+145 / 740</t>
  </si>
  <si>
    <t>050+150 /844</t>
  </si>
  <si>
    <t>098+286 / 770</t>
  </si>
  <si>
    <t>122+431 / 914</t>
  </si>
  <si>
    <t>172+242 / 1243</t>
  </si>
  <si>
    <t>199+018 / 1040</t>
  </si>
  <si>
    <t>248+634 / 996</t>
  </si>
  <si>
    <t>272+092 / 1162</t>
  </si>
  <si>
    <t>318+740 / 1060</t>
  </si>
  <si>
    <t>337+788 / 907</t>
  </si>
  <si>
    <t>358+855 / 597</t>
  </si>
  <si>
    <t>379+648 / 528</t>
  </si>
  <si>
    <t>409+610 / 305,44</t>
  </si>
  <si>
    <t>420+065 / 158,79</t>
  </si>
  <si>
    <t>429+551 / 130,43</t>
  </si>
  <si>
    <t>439+008 / 279,93</t>
  </si>
  <si>
    <t>450+401 / 341,69</t>
  </si>
  <si>
    <t>460+599 / 111,08</t>
  </si>
  <si>
    <t>470+311 / 56,30</t>
  </si>
  <si>
    <t>478+997 / 34,56</t>
  </si>
  <si>
    <t>489+594 / 16,74</t>
  </si>
  <si>
    <t>502+152 / 11,13</t>
  </si>
  <si>
    <t>Sidi Bouzid / DJELFA</t>
  </si>
  <si>
    <t>Faija / TIARET</t>
  </si>
  <si>
    <t>Sougueur / Sougueur / TIARET</t>
  </si>
  <si>
    <t>Tagdempt / Tiaret / TIARET</t>
  </si>
  <si>
    <t>Guertoufa/ Rahouia / TIARET</t>
  </si>
  <si>
    <t>Ouad El Salam /Mendes / TIARET</t>
  </si>
  <si>
    <t>Bendaouad / RELIZANE</t>
  </si>
  <si>
    <t>Sidi Abdelmoumen / MASCARA</t>
  </si>
  <si>
    <t>Alaimia/ MASCARA</t>
  </si>
  <si>
    <t>17+306 / 748</t>
  </si>
  <si>
    <t>37+234 / 780</t>
  </si>
  <si>
    <t>55+675 / 820</t>
  </si>
  <si>
    <t>91+728 / 772</t>
  </si>
  <si>
    <t>108+506 / 850</t>
  </si>
  <si>
    <t>127+193 / 1000</t>
  </si>
  <si>
    <t>164+972 / 1268</t>
  </si>
  <si>
    <t>184+936 / 1120</t>
  </si>
  <si>
    <t>204+699 / 990</t>
  </si>
  <si>
    <t>243+281 / 990</t>
  </si>
  <si>
    <t>260+571 / 1025</t>
  </si>
  <si>
    <t>277+849 / 1029</t>
  </si>
  <si>
    <t>309+881 / 990</t>
  </si>
  <si>
    <t>320+282 / 1000</t>
  </si>
  <si>
    <t>329+403 / 996</t>
  </si>
  <si>
    <t>337+407 / 997</t>
  </si>
  <si>
    <t>351+582 / 1000</t>
  </si>
  <si>
    <t>360+368 / 1200</t>
  </si>
  <si>
    <t>369+498 / 1129</t>
  </si>
  <si>
    <t>381+109 / 1000</t>
  </si>
  <si>
    <t>391+812 / 880</t>
  </si>
  <si>
    <t>410+698 / 700</t>
  </si>
  <si>
    <t>421+295 / 570</t>
  </si>
  <si>
    <t>432+740 / 505</t>
  </si>
  <si>
    <t>440+709 / 522</t>
  </si>
  <si>
    <t>450+805 / 544</t>
  </si>
  <si>
    <t>460+973 / 550</t>
  </si>
  <si>
    <t>470,841 / 555</t>
  </si>
  <si>
    <t>479+399 / 560</t>
  </si>
  <si>
    <t>491+275 / 577</t>
  </si>
  <si>
    <t>501+851 / 592</t>
  </si>
  <si>
    <t>Oggaz / MASCARA</t>
  </si>
  <si>
    <t>Zahana / MASCARA</t>
  </si>
  <si>
    <t>Tafraoui / ORAN</t>
  </si>
  <si>
    <t>Oued Sebah / AIN TEMOUCHENT</t>
  </si>
  <si>
    <t>Bouhdjar / AIN TEMOUCHENT</t>
  </si>
  <si>
    <t>Cheibat el lahm / AIN TEMOUCHENT</t>
  </si>
  <si>
    <t>Hassi/R’mel / LAGHOUAT</t>
  </si>
  <si>
    <t>Sidi bouzid / DJELFA</t>
  </si>
  <si>
    <t>17+280 / 48,76</t>
  </si>
  <si>
    <t>35+600 / 164,84</t>
  </si>
  <si>
    <t>54+660 / 110,38</t>
  </si>
  <si>
    <t>74+250 / 142,69</t>
  </si>
  <si>
    <t>85+580 / 205,11</t>
  </si>
  <si>
    <t>105+790 / 184,73</t>
  </si>
  <si>
    <t>TIARET</t>
  </si>
  <si>
    <t>Oued Slem / RELIZANE</t>
  </si>
  <si>
    <t>Mendes / RELIZANE</t>
  </si>
  <si>
    <t>Dar benadbellah / RELIZANE</t>
  </si>
  <si>
    <t>Matmar / RELIZANE</t>
  </si>
  <si>
    <t>MOSTAGANEM</t>
  </si>
  <si>
    <t>Sidi abdelmoumene / MASCARA</t>
  </si>
  <si>
    <t>Mocta Douz / MASCARA</t>
  </si>
  <si>
    <t>41+554 / 695</t>
  </si>
  <si>
    <t>133+820 / 630</t>
  </si>
  <si>
    <t>224+084 / 327</t>
  </si>
  <si>
    <t>296+901 / 438</t>
  </si>
  <si>
    <t>328+215 / 431</t>
  </si>
  <si>
    <t>380+713 / 754</t>
  </si>
  <si>
    <t>405+118 / 932</t>
  </si>
  <si>
    <t>458+520 / 793</t>
  </si>
  <si>
    <t>476+403 / 678</t>
  </si>
  <si>
    <t>498+209 / 700</t>
  </si>
  <si>
    <t>514+528 / 461</t>
  </si>
  <si>
    <t>526+344 / 600</t>
  </si>
  <si>
    <t>545+515 / 135</t>
  </si>
  <si>
    <t>554+981 / 149</t>
  </si>
  <si>
    <t>565+000 / 196</t>
  </si>
  <si>
    <t>27+838 / 780</t>
  </si>
  <si>
    <t>55+947 / 767</t>
  </si>
  <si>
    <t>115+636 / 712</t>
  </si>
  <si>
    <t>148+867 / 544</t>
  </si>
  <si>
    <t>208+938 / 287</t>
  </si>
  <si>
    <t>239+132 / 300</t>
  </si>
  <si>
    <t>296+788 / 421</t>
  </si>
  <si>
    <t>327+612 / 424</t>
  </si>
  <si>
    <t>375+017 / 697</t>
  </si>
  <si>
    <t>405+393 / 936</t>
  </si>
  <si>
    <t>445+486 / 948</t>
  </si>
  <si>
    <t>458+654 / 814</t>
  </si>
  <si>
    <t>476+409 / 697</t>
  </si>
  <si>
    <t>498+919 / 720</t>
  </si>
  <si>
    <t>515+070 / 720</t>
  </si>
  <si>
    <t>527+143 / 589</t>
  </si>
  <si>
    <t>537+665 / 565</t>
  </si>
  <si>
    <t>545+454 / 161</t>
  </si>
  <si>
    <t>556+620 / 60</t>
  </si>
  <si>
    <t>565+781 / 231</t>
  </si>
  <si>
    <t>10B</t>
  </si>
  <si>
    <t>10A</t>
  </si>
  <si>
    <t>11A</t>
  </si>
  <si>
    <t>Hassi Delaa / LAGHOUAT</t>
  </si>
  <si>
    <t>Chaiba / OULED DJELLAL</t>
  </si>
  <si>
    <t>M’doukel / BATNA</t>
  </si>
  <si>
    <t>Sefiane / BATNA</t>
  </si>
  <si>
    <t>Laksar / BATNA</t>
  </si>
  <si>
    <t>M’chira / MILA</t>
  </si>
  <si>
    <t>Télaghma / MILA</t>
  </si>
  <si>
    <t>Boussouf / CONSTANTINE</t>
  </si>
  <si>
    <t>Hamma Bouziane / CONSTANTINE</t>
  </si>
  <si>
    <t>Zighoud Youcef / CONSTANTINE</t>
  </si>
  <si>
    <t>El Harrouch / SKIKDA</t>
  </si>
  <si>
    <t>Salah Bouchaour / SKIKDA</t>
  </si>
  <si>
    <t>Ramdane Djamel / SKIKDA</t>
  </si>
  <si>
    <t>Es Sed / DJELFA</t>
  </si>
  <si>
    <t>Besbes / OULED DJELLAL</t>
  </si>
  <si>
    <t>Ouled Slimane / BATNA</t>
  </si>
  <si>
    <t>Telkhmet / BATNA</t>
  </si>
  <si>
    <t>Ouled Khlouf / MILA</t>
  </si>
  <si>
    <t>Oued Seguin / MILA</t>
  </si>
  <si>
    <t>Didouche Mourad / CONSTANTINE</t>
  </si>
  <si>
    <t>Ain Bouziane / SKIKDA</t>
  </si>
  <si>
    <t>45+564 / 690</t>
  </si>
  <si>
    <t>249+256 / 264</t>
  </si>
  <si>
    <t>282+487 / 330</t>
  </si>
  <si>
    <t>299+088 / 328</t>
  </si>
  <si>
    <t>422+669 / 863</t>
  </si>
  <si>
    <t>523+454 / 485</t>
  </si>
  <si>
    <t>556+950 / 50</t>
  </si>
  <si>
    <t>561+964 / 52</t>
  </si>
  <si>
    <t>Ain Djasser / MILA</t>
  </si>
  <si>
    <t>45+478 / 697</t>
  </si>
  <si>
    <t>249+294 / 244</t>
  </si>
  <si>
    <t>282+487 / 288</t>
  </si>
  <si>
    <t>299+188 / 316</t>
  </si>
  <si>
    <t>422+976 / 872</t>
  </si>
  <si>
    <t>485+040 / 663</t>
  </si>
  <si>
    <t>523+927 / 422</t>
  </si>
  <si>
    <t>558+254 / 50</t>
  </si>
  <si>
    <t>562+914 / 72</t>
  </si>
  <si>
    <t>Ain Smara / CONSTANTINE</t>
  </si>
  <si>
    <t>11+370 / 749,01</t>
  </si>
  <si>
    <t>23+373 / 785,20</t>
  </si>
  <si>
    <t>44+050 / 698,20</t>
  </si>
  <si>
    <t>63+196 / 729,30</t>
  </si>
  <si>
    <t>97+795 / 712,10</t>
  </si>
  <si>
    <t>114+900 / 714,01</t>
  </si>
  <si>
    <t>133+076 / 644,73</t>
  </si>
  <si>
    <t>148+421 / 547,62</t>
  </si>
  <si>
    <t>166+578 / 452,57</t>
  </si>
  <si>
    <t>195+506 / 321,83</t>
  </si>
  <si>
    <t>211+700 / 279,07</t>
  </si>
  <si>
    <t>231+306 / 274,75</t>
  </si>
  <si>
    <t>250+726 / 272,11</t>
  </si>
  <si>
    <t>284+160 / 325,40</t>
  </si>
  <si>
    <t>303+270 / 384,04</t>
  </si>
  <si>
    <t>325+270 / 433,66</t>
  </si>
  <si>
    <t>342+953 / 502,56</t>
  </si>
  <si>
    <t>362+882 / 644,85</t>
  </si>
  <si>
    <t>374+376 / 704,92</t>
  </si>
  <si>
    <t>382+354 / 768,92</t>
  </si>
  <si>
    <t>393+333 / 882,50</t>
  </si>
  <si>
    <t>401+942 / 938,05</t>
  </si>
  <si>
    <t>411+936 / 892,53</t>
  </si>
  <si>
    <t>425+489 / 875,71</t>
  </si>
  <si>
    <t>10+591 / 992,54</t>
  </si>
  <si>
    <t>20+409 / 875,25</t>
  </si>
  <si>
    <t>30+302 / 851,93</t>
  </si>
  <si>
    <t>40+990 / 832,07</t>
  </si>
  <si>
    <t>50+301 / 900,97</t>
  </si>
  <si>
    <t>59+216 / 903,18</t>
  </si>
  <si>
    <t>71+392 / 731,37</t>
  </si>
  <si>
    <t>81+591 / 896,12</t>
  </si>
  <si>
    <t>91+983 / 964,08</t>
  </si>
  <si>
    <t>112+404 / 832,90</t>
  </si>
  <si>
    <t>123+092 / 793,85</t>
  </si>
  <si>
    <t>130+829 / 779,45</t>
  </si>
  <si>
    <t>142+753 / 896,85</t>
  </si>
  <si>
    <t>148+816 / 732,26</t>
  </si>
  <si>
    <t>159+435 / 424,24</t>
  </si>
  <si>
    <t>172+646 / 277,63</t>
  </si>
  <si>
    <t>191+336 / 257,16</t>
  </si>
  <si>
    <t>201+646 / 187,60</t>
  </si>
  <si>
    <t>212+331 / 66,90</t>
  </si>
  <si>
    <t>222+765 / 255,05</t>
  </si>
  <si>
    <t>234+704 / 93,18</t>
  </si>
  <si>
    <t>241+926 / 97,09</t>
  </si>
  <si>
    <t>256+182 / 83,32</t>
  </si>
  <si>
    <t>10+164 / 896,837</t>
  </si>
  <si>
    <t>19+711 / 892,964</t>
  </si>
  <si>
    <t>30+777 / 780,556</t>
  </si>
  <si>
    <t>39+355 / 740,244</t>
  </si>
  <si>
    <t>49+635 / 513,167</t>
  </si>
  <si>
    <t>60+990 / 229,823</t>
  </si>
  <si>
    <t>72+910 / 215,353</t>
  </si>
  <si>
    <t>80+890 / 177,88</t>
  </si>
  <si>
    <t>Hassi R’mel/ LAGHOUAT</t>
  </si>
  <si>
    <t>Guettara / DJELFA</t>
  </si>
  <si>
    <t>Oum Laâdham / DJELFA</t>
  </si>
  <si>
    <t>Ras El miad / OULED DJELLAL</t>
  </si>
  <si>
    <t>Besbes  / OULED DJELLAL</t>
  </si>
  <si>
    <t>Bitam / BATNA</t>
  </si>
  <si>
    <t>Seggana / BATNA</t>
  </si>
  <si>
    <t>Boumaguer / BATNA</t>
  </si>
  <si>
    <t>N’Gaous / BATNA</t>
  </si>
  <si>
    <t>Ouled Sidi Slimane / BATNA</t>
  </si>
  <si>
    <t>Talkhemt / BATNA</t>
  </si>
  <si>
    <t>Kesarbelazma / BATNA</t>
  </si>
  <si>
    <t>Ain Djesser / BATNA</t>
  </si>
  <si>
    <t>Tadjenanet / MILA</t>
  </si>
  <si>
    <t>Ouled Khelouf / MILA</t>
  </si>
  <si>
    <t>El M’Chira / MILA</t>
  </si>
  <si>
    <t>Teleghma / MILA</t>
  </si>
  <si>
    <t>Ouled Hamla / Ain Mlila / OUM EL BOUAGHI</t>
  </si>
  <si>
    <t>Ouled Rahmoune / CONSTANTINE</t>
  </si>
  <si>
    <t>Bou nouara / CONSTANTINE</t>
  </si>
  <si>
    <t>Ain Abid / CONSTANTINE</t>
  </si>
  <si>
    <t>Tamlouka / GUELMA</t>
  </si>
  <si>
    <t>Ain Makhlouf / GUELMA</t>
  </si>
  <si>
    <t>Ain Larbi / GUELMA</t>
  </si>
  <si>
    <t>El Khazara / GUELMA</t>
  </si>
  <si>
    <t>Beni Mezline / GUELMA</t>
  </si>
  <si>
    <t>Boukamouza / GUELMA</t>
  </si>
  <si>
    <t>Chihani / EL TARF</t>
  </si>
  <si>
    <t>Asfour / EL TARF</t>
  </si>
  <si>
    <t>Chafia / EL TARF</t>
  </si>
  <si>
    <t>Boutelja / EL TARF</t>
  </si>
  <si>
    <t>Berihane / EL TARF</t>
  </si>
  <si>
    <t>Bordj Sabbat / GUELMA</t>
  </si>
  <si>
    <t>Ouled Hababa / SKIKDA</t>
  </si>
  <si>
    <t>Es sebt / SKIKDA</t>
  </si>
  <si>
    <t>Azzaba / SKIKDA</t>
  </si>
  <si>
    <t>Ben Bachir / SKIKDA</t>
  </si>
  <si>
    <t>81+800 / 744,70</t>
  </si>
  <si>
    <t>178+318 / 398,32</t>
  </si>
  <si>
    <t>269+444 / 358,13</t>
  </si>
  <si>
    <t>354+552 / 599,75</t>
  </si>
  <si>
    <t>431+719 / 934,86</t>
  </si>
  <si>
    <t>102+274 / 1007,13</t>
  </si>
  <si>
    <t>181+594 / 136,01</t>
  </si>
  <si>
    <t>Ras El Miaâd / OULED DJELLAL</t>
  </si>
  <si>
    <t>Seffiane / BATNA</t>
  </si>
  <si>
    <t>Mechtatine / Ouled Khalouf / MILA</t>
  </si>
  <si>
    <t>Bouchegouf / GUELMA</t>
  </si>
  <si>
    <t>248+441 / 246,64</t>
  </si>
  <si>
    <t>281+464 / 297,69</t>
  </si>
  <si>
    <t>298+725 / 343,77</t>
  </si>
  <si>
    <t>421+100 / 888,60</t>
  </si>
  <si>
    <t>71+432 / 731,37</t>
  </si>
  <si>
    <t>135+893 / 768,74</t>
  </si>
  <si>
    <t>189+976 / 104,98</t>
  </si>
  <si>
    <t>212+371 / 67,16</t>
  </si>
  <si>
    <t>236+551 / 75,00</t>
  </si>
  <si>
    <t>264+738 / 77,29</t>
  </si>
  <si>
    <t>31+845 / 738,893</t>
  </si>
  <si>
    <t>42+594 / 667,296</t>
  </si>
  <si>
    <t>68+312 / 170,948</t>
  </si>
  <si>
    <t>85+970 / 58,326</t>
  </si>
  <si>
    <t>GK3 Ter</t>
  </si>
  <si>
    <t>Hammadi Krouma / SKIKDA</t>
  </si>
  <si>
    <t>59+500 / 820</t>
  </si>
  <si>
    <t>126+700 / 860</t>
  </si>
  <si>
    <t>253+100 / 833</t>
  </si>
  <si>
    <t>325+900 / 591</t>
  </si>
  <si>
    <t>MESSAAD / DJELFA</t>
  </si>
  <si>
    <t>MEDJEDEL / M’SILA</t>
  </si>
  <si>
    <t>SIDI AISSA / M’SILA</t>
  </si>
  <si>
    <t>92+978 / 584</t>
  </si>
  <si>
    <t>94+500 / 680</t>
  </si>
  <si>
    <t>217 / 1114</t>
  </si>
  <si>
    <t>296 / 665</t>
  </si>
  <si>
    <t>349+250 / 800</t>
  </si>
  <si>
    <t>375 / 717</t>
  </si>
  <si>
    <t>401 / 592</t>
  </si>
  <si>
    <t>437 / 115</t>
  </si>
  <si>
    <t>20+244 / 820</t>
  </si>
  <si>
    <t>42+180/ 791</t>
  </si>
  <si>
    <t>63+331/ 663</t>
  </si>
  <si>
    <t>78+871/ 606</t>
  </si>
  <si>
    <t>102+614/ 711</t>
  </si>
  <si>
    <t>116+648/ 824</t>
  </si>
  <si>
    <t>129+753/ 1084</t>
  </si>
  <si>
    <t>140+044/ 873</t>
  </si>
  <si>
    <t>151+754/ 658</t>
  </si>
  <si>
    <t>160+000/ 573</t>
  </si>
  <si>
    <t>167+440/ 566</t>
  </si>
  <si>
    <t>176+202/ 454</t>
  </si>
  <si>
    <t>184+215/ 442</t>
  </si>
  <si>
    <t>196+297/ 165</t>
  </si>
  <si>
    <t>KSAR EL HIRANE / LAGHOUAT</t>
  </si>
  <si>
    <t>DAR CHIOUKH / DJELFA</t>
  </si>
  <si>
    <t>AIN HADJEL / M’SILA</t>
  </si>
  <si>
    <t>DIRAH / BOUIRA</t>
  </si>
  <si>
    <t>EL HACHIMIA / BOUIRA</t>
  </si>
  <si>
    <t>AIN CHRIKI / DJEBAHIA / BOUIRA</t>
  </si>
  <si>
    <t>BORDJ MENAIL/ ISSER / BOUMERDES</t>
  </si>
  <si>
    <t>Menaâ / M’SILA</t>
  </si>
  <si>
    <t>SIDI AMEUR / M’SILA</t>
  </si>
  <si>
    <t>AIN EL HADJEL/ M’SILA</t>
  </si>
  <si>
    <t>BOUTI SAYAH/ M’SILA</t>
  </si>
  <si>
    <t>EL HAKIMIA / BOUIRA</t>
  </si>
  <si>
    <t>EL HACHIMIA/ BOUIRA</t>
  </si>
  <si>
    <t>AIN LAHDJAR / BOUIRA</t>
  </si>
  <si>
    <t>AIN EL TURK / BOUIRA</t>
  </si>
  <si>
    <t>DJEBAHIA / BOUIRA</t>
  </si>
  <si>
    <t>KADIRIA/ BOUIRA</t>
  </si>
  <si>
    <t>CHAABET EL AMEUR/ BOUMERDES</t>
  </si>
  <si>
    <t>102+050 / 665</t>
  </si>
  <si>
    <t>319+050 / 374</t>
  </si>
  <si>
    <t>387+500 / 558</t>
  </si>
  <si>
    <t>87+320 / 577</t>
  </si>
  <si>
    <t>135+412 / 800</t>
  </si>
  <si>
    <t>172+255 / 394</t>
  </si>
  <si>
    <t>181+667 / 260</t>
  </si>
  <si>
    <t>206+720 / 89</t>
  </si>
  <si>
    <t>OUED DJEDI / OUED M’ZI / LAGHOUAT</t>
  </si>
  <si>
    <t>ELHACHIMIA / BOUIRA</t>
  </si>
  <si>
    <t>AOMAR / BOUIRA</t>
  </si>
  <si>
    <t>BORDJ MENAIL / ISSER / BOUMERDES</t>
  </si>
  <si>
    <t>SC3-GG1</t>
  </si>
  <si>
    <t>Station de Compression SC3-GG1</t>
  </si>
  <si>
    <t>ModelNumber</t>
  </si>
  <si>
    <t>SerialNumber</t>
  </si>
  <si>
    <t>TITAN 130</t>
  </si>
  <si>
    <t>Manufacturing</t>
  </si>
  <si>
    <t>Maintenance</t>
  </si>
  <si>
    <t>Type</t>
  </si>
  <si>
    <t>Facility</t>
  </si>
  <si>
    <t>Manufacturer</t>
  </si>
  <si>
    <t>--</t>
  </si>
  <si>
    <t>Turbine</t>
  </si>
  <si>
    <t>SOLAR</t>
  </si>
  <si>
    <t>C 453</t>
  </si>
  <si>
    <t>COMPRESSOR</t>
  </si>
  <si>
    <t>TURBO-ALT</t>
  </si>
  <si>
    <t>GELEC</t>
  </si>
  <si>
    <t>CENTAUR 40</t>
  </si>
  <si>
    <t>SDME</t>
  </si>
  <si>
    <t>19+006 / 743,68</t>
  </si>
  <si>
    <t>36+006 / 740,20</t>
  </si>
  <si>
    <t>54+006 / 743,94</t>
  </si>
  <si>
    <t>71+006 / 766,80</t>
  </si>
  <si>
    <t>106+844 / 775</t>
  </si>
  <si>
    <t>125+600 / 812</t>
  </si>
  <si>
    <t>143+020 / 760,1</t>
  </si>
  <si>
    <t>160+440 / 818</t>
  </si>
  <si>
    <t>194+606 / 778</t>
  </si>
  <si>
    <t>213+045 / 840,5</t>
  </si>
  <si>
    <t>232+345 / 900</t>
  </si>
  <si>
    <t>249+972 / 956</t>
  </si>
  <si>
    <t>293+901 / 1082</t>
  </si>
  <si>
    <t>314+533 / 1241</t>
  </si>
  <si>
    <t>326+217 / 1253,5</t>
  </si>
  <si>
    <t>361+740 / 1165,59</t>
  </si>
  <si>
    <t>381+459 / 1126,59</t>
  </si>
  <si>
    <t>401+379 / 1092,59</t>
  </si>
  <si>
    <t>421+190 / 1084,12</t>
  </si>
  <si>
    <t>460+999 / 1090,8</t>
  </si>
  <si>
    <t>480+984 / 1133,1</t>
  </si>
  <si>
    <t>500+697 / 1159,27</t>
  </si>
  <si>
    <t>Ain Madhi / LAGHOUAT</t>
  </si>
  <si>
    <t>Brezina / EL BAYADH</t>
  </si>
  <si>
    <t>Labiodh Sidi Echeikh / EL BAYADH</t>
  </si>
  <si>
    <t>Arbaouat / EL BAYADH</t>
  </si>
  <si>
    <t>Mehara / EL BAYADH</t>
  </si>
  <si>
    <t>Naâma / NAAMA</t>
  </si>
  <si>
    <t>Mekmen Ben Amar / NAAMA</t>
  </si>
  <si>
    <t>Kasdir / NAAMA</t>
  </si>
  <si>
    <t>19+745</t>
  </si>
  <si>
    <t>40+497</t>
  </si>
  <si>
    <t>61+808</t>
  </si>
  <si>
    <t>81+702</t>
  </si>
  <si>
    <t>123+543</t>
  </si>
  <si>
    <t>142+556</t>
  </si>
  <si>
    <t>162+513</t>
  </si>
  <si>
    <t>173+440</t>
  </si>
  <si>
    <t>186+155</t>
  </si>
  <si>
    <t>KASDIR/ NAAMA</t>
  </si>
  <si>
    <t>AL ARICHA/ TLEMCEN</t>
  </si>
  <si>
    <t>OULED MIMOUN/ TLEMCEN</t>
  </si>
  <si>
    <t>BEN BADIS / SIDI BEL ABBES</t>
  </si>
  <si>
    <t>AOUBELLIL / AIN TEMOUCHENT</t>
  </si>
  <si>
    <t>AGHLAL/ AIN TEMOUCHENT</t>
  </si>
  <si>
    <t>AIN TEMOUCHENT/ AIN TEMOUCHENT</t>
  </si>
  <si>
    <t>87+964 / 787,79</t>
  </si>
  <si>
    <t>175+978 / 807</t>
  </si>
  <si>
    <t>267+599 / 965,96</t>
  </si>
  <si>
    <t>341+917 / 1225,6</t>
  </si>
  <si>
    <t>441+016 / 1077,31</t>
  </si>
  <si>
    <t>Brézina / EL BAYADH</t>
  </si>
  <si>
    <t>103+121 / 1 121</t>
  </si>
  <si>
    <t>Beni Smiel / TLEMCEN</t>
  </si>
  <si>
    <t>518+555 / 1165</t>
  </si>
  <si>
    <t>93+737 / 1246</t>
  </si>
  <si>
    <t>133+147 / 782</t>
  </si>
  <si>
    <t>178+592 / 390</t>
  </si>
  <si>
    <t>BENI SMIEL/ TLEMCEN</t>
  </si>
  <si>
    <t>TA-GPDF-01</t>
  </si>
  <si>
    <t>NUOVO PIGNONE</t>
  </si>
  <si>
    <t>C-GPDF-01</t>
  </si>
  <si>
    <t>C-GPDF-02</t>
  </si>
  <si>
    <t>PCL 802-1/36’’</t>
  </si>
  <si>
    <t>BF6M1015C</t>
  </si>
  <si>
    <t>TA-GPDF-02</t>
  </si>
  <si>
    <t>GE-GPDF-01</t>
  </si>
  <si>
    <t>DEUTZ</t>
  </si>
  <si>
    <t>168+299 / 449,5</t>
  </si>
  <si>
    <t>348+381 / -1,6</t>
  </si>
  <si>
    <t>461+032 / 305</t>
  </si>
  <si>
    <t>168+491 / 449,5</t>
  </si>
  <si>
    <t>348+189/ -1,6</t>
  </si>
  <si>
    <t>460+872 / 305</t>
  </si>
  <si>
    <t>168+731 / 449,5</t>
  </si>
  <si>
    <t>348+560 / -1,6</t>
  </si>
  <si>
    <t>460+680 / 305</t>
  </si>
  <si>
    <t>Ras El Miaad/ Ouled Djellal</t>
  </si>
  <si>
    <t>Ain Naga / Biskra</t>
  </si>
  <si>
    <t>Ferkane / Tébessa</t>
  </si>
  <si>
    <t>40+037 / 714,55</t>
  </si>
  <si>
    <t>75+982 / 740,74</t>
  </si>
  <si>
    <t>112+200 / 742,12</t>
  </si>
  <si>
    <t>146+942 / 566,24</t>
  </si>
  <si>
    <t>208+330 / 351,21</t>
  </si>
  <si>
    <t>246+458 / 225,5</t>
  </si>
  <si>
    <t>283+965 / 101,16</t>
  </si>
  <si>
    <t>319+205 / 19,03</t>
  </si>
  <si>
    <t>375+601 / 35,29</t>
  </si>
  <si>
    <t>403+909 / 59,32</t>
  </si>
  <si>
    <t>432+950 / 135,97</t>
  </si>
  <si>
    <t>489+825 / 425,85</t>
  </si>
  <si>
    <t>519+673 / 704,82</t>
  </si>
  <si>
    <t>20+369 / 786,68</t>
  </si>
  <si>
    <t>39+887 / 719,48</t>
  </si>
  <si>
    <t>75+832 / 738,9</t>
  </si>
  <si>
    <t>112+350 / 741,89</t>
  </si>
  <si>
    <t>147+092 / 564,31</t>
  </si>
  <si>
    <t>246+608 / 224,98</t>
  </si>
  <si>
    <t>284+115 / 101,45</t>
  </si>
  <si>
    <t>319+255 / 19,03</t>
  </si>
  <si>
    <t>375+451 / 35,29</t>
  </si>
  <si>
    <t>403+759 / 58,44</t>
  </si>
  <si>
    <t>433+080 / 136,15</t>
  </si>
  <si>
    <t>489+936 / 427,56</t>
  </si>
  <si>
    <t>519+573 / 700</t>
  </si>
  <si>
    <t>20+356 / 786,68</t>
  </si>
  <si>
    <t>39+938 / 718,03</t>
  </si>
  <si>
    <t>61+075 / 742,66</t>
  </si>
  <si>
    <t>83+200 / 742,85</t>
  </si>
  <si>
    <t>103+000 / 726,85</t>
  </si>
  <si>
    <t>124+630 / 672,96</t>
  </si>
  <si>
    <t>147+024 / 566,24</t>
  </si>
  <si>
    <t>208+350 / 351,21</t>
  </si>
  <si>
    <t>246+508 / 224,98</t>
  </si>
  <si>
    <t>283+052 / 108,52</t>
  </si>
  <si>
    <t>319+228 / 18,59</t>
  </si>
  <si>
    <t>375+520 / 35,29</t>
  </si>
  <si>
    <t>403+850 / 58,44</t>
  </si>
  <si>
    <t>433+000 / 134,48</t>
  </si>
  <si>
    <t>482+120 / 353,39</t>
  </si>
  <si>
    <t>501+203 / 489,04</t>
  </si>
  <si>
    <t>520+000 / 706,45</t>
  </si>
  <si>
    <t>532+150 / 793,99</t>
  </si>
  <si>
    <t>Oum Laadam / OULED DJELLAL</t>
  </si>
  <si>
    <t>Ourllal / BISKRA</t>
  </si>
  <si>
    <t>Zribet El Oued / BISKRA</t>
  </si>
  <si>
    <t>Babar / KHENCHELA</t>
  </si>
  <si>
    <t>Thelidjane / TEBESSA</t>
  </si>
  <si>
    <t>Bir El Ater / TEBESSA</t>
  </si>
  <si>
    <t>Babar / KHENCHELLA</t>
  </si>
  <si>
    <t>Safsaf EL Ouessra / TEBESSA</t>
  </si>
  <si>
    <t>166+931 / 450,92</t>
  </si>
  <si>
    <t>168+780 / 448,13</t>
  </si>
  <si>
    <t>342+370 / -10,33</t>
  </si>
  <si>
    <t>349+020 / -0,28</t>
  </si>
  <si>
    <t>453+675 / 8,71</t>
  </si>
  <si>
    <t>362+717 / 26,69</t>
  </si>
  <si>
    <t>546+903 / 669,2</t>
  </si>
  <si>
    <t>166+966 / 451,9</t>
  </si>
  <si>
    <t>168+810 / 448,13</t>
  </si>
  <si>
    <t>342+305 / -10,33</t>
  </si>
  <si>
    <t>349+085 / -0,28</t>
  </si>
  <si>
    <t>453+725 / 8,71</t>
  </si>
  <si>
    <t>462+820 / 26,69</t>
  </si>
  <si>
    <t>546+952 / 669,2</t>
  </si>
  <si>
    <t>167+420 / 452,34</t>
  </si>
  <si>
    <t>342+860 / -10,57</t>
  </si>
  <si>
    <t>349+120 / -0,28</t>
  </si>
  <si>
    <t>461+750 / 24,37</t>
  </si>
  <si>
    <t>546+880 / 675,86</t>
  </si>
  <si>
    <t>SC2-GO2</t>
  </si>
  <si>
    <t>Station de Compression SC2-GO2</t>
  </si>
  <si>
    <t>LM2500 / PGT25</t>
  </si>
  <si>
    <t>T-GO2-01</t>
  </si>
  <si>
    <t>T-GO2-02</t>
  </si>
  <si>
    <t>T-GO2-03</t>
  </si>
  <si>
    <t>T-GO2-04</t>
  </si>
  <si>
    <t>PCL 603/2</t>
  </si>
  <si>
    <t>C-GO2-01</t>
  </si>
  <si>
    <t>TA-GO2-02</t>
  </si>
  <si>
    <t>TA-GO2-01</t>
  </si>
  <si>
    <t>Genset</t>
  </si>
  <si>
    <t>EGT/Alstom</t>
  </si>
  <si>
    <t>TB 5000</t>
  </si>
  <si>
    <t>GE-GO2-01</t>
  </si>
  <si>
    <t>IVECO/Stamford</t>
  </si>
  <si>
    <t>101+010 / 555</t>
  </si>
  <si>
    <t>232+380 / 470</t>
  </si>
  <si>
    <t>298+375 / 348</t>
  </si>
  <si>
    <t>432+720 / 252</t>
  </si>
  <si>
    <t>505+540 / 208</t>
  </si>
  <si>
    <t>588+350 / 166</t>
  </si>
  <si>
    <t>655+660 / 169</t>
  </si>
  <si>
    <t>766+611 / 226</t>
  </si>
  <si>
    <t>867+890 / 400</t>
  </si>
  <si>
    <t>961+470 / 779</t>
  </si>
  <si>
    <t>Ohanet/Bordj Omar Idriss / ILLIZI</t>
  </si>
  <si>
    <t>TFT/Bordj Omar Idriss / ILLIZI</t>
  </si>
  <si>
    <t>Leima/Bordj Omar Idriss / ILLIZI</t>
  </si>
  <si>
    <t>Rhourde Nouss/Bordj Omar Idriss / ILLIZI</t>
  </si>
  <si>
    <t>Gassi Touil/Hassi Messaoud / OUARGLA</t>
  </si>
  <si>
    <t>Zina/Hassi Messaoud / OUARGLA</t>
  </si>
  <si>
    <t>Hassi R’mel / GHARDAIA</t>
  </si>
  <si>
    <t>Ouargla/ OUARGLA</t>
  </si>
  <si>
    <t>Hassi Messaoud/OUARGLA</t>
  </si>
  <si>
    <t>73+000 / 208</t>
  </si>
  <si>
    <t>154+650 / 166</t>
  </si>
  <si>
    <t>222+926 / 169</t>
  </si>
  <si>
    <t>336+627 / 226</t>
  </si>
  <si>
    <t>437+654 / 400</t>
  </si>
  <si>
    <t>530+500 / 779</t>
  </si>
  <si>
    <t>71+303</t>
  </si>
  <si>
    <t>153+892</t>
  </si>
  <si>
    <t>221+606</t>
  </si>
  <si>
    <t>332+800</t>
  </si>
  <si>
    <t>433+755</t>
  </si>
  <si>
    <t>522+980</t>
  </si>
  <si>
    <t>19+960</t>
  </si>
  <si>
    <t>60+330</t>
  </si>
  <si>
    <t>80+230</t>
  </si>
  <si>
    <t>118+160</t>
  </si>
  <si>
    <t>136+450</t>
  </si>
  <si>
    <t>156+340</t>
  </si>
  <si>
    <t>176+170</t>
  </si>
  <si>
    <t>195+770</t>
  </si>
  <si>
    <t>214+140</t>
  </si>
  <si>
    <t>248+470</t>
  </si>
  <si>
    <t>263+670</t>
  </si>
  <si>
    <t>281+570</t>
  </si>
  <si>
    <t>317+100</t>
  </si>
  <si>
    <t>336+050</t>
  </si>
  <si>
    <t>357+030</t>
  </si>
  <si>
    <t>377+920</t>
  </si>
  <si>
    <t>397+620</t>
  </si>
  <si>
    <t>413+720</t>
  </si>
  <si>
    <t>450+810</t>
  </si>
  <si>
    <t>468+810</t>
  </si>
  <si>
    <t>486+810</t>
  </si>
  <si>
    <t>526+340</t>
  </si>
  <si>
    <t>546+940</t>
  </si>
  <si>
    <t>567+640</t>
  </si>
  <si>
    <t>606+900</t>
  </si>
  <si>
    <t>625+700</t>
  </si>
  <si>
    <t>640+860</t>
  </si>
  <si>
    <t>675+330</t>
  </si>
  <si>
    <t>695+330</t>
  </si>
  <si>
    <t>714+830</t>
  </si>
  <si>
    <t>733+140</t>
  </si>
  <si>
    <t>749+460</t>
  </si>
  <si>
    <t>789+910</t>
  </si>
  <si>
    <t>810+400</t>
  </si>
  <si>
    <t>830+000</t>
  </si>
  <si>
    <t>850+760</t>
  </si>
  <si>
    <t>910+930</t>
  </si>
  <si>
    <t>928+860</t>
  </si>
  <si>
    <t>946+610</t>
  </si>
  <si>
    <t>Ain El Beida / OUARGLA</t>
  </si>
  <si>
    <t>Rouisset / OUARGLA</t>
  </si>
  <si>
    <t>Dhayet Ben Dahoua / GHARDAIA</t>
  </si>
  <si>
    <t>547+100</t>
  </si>
  <si>
    <t>567+800</t>
  </si>
  <si>
    <t>607+000</t>
  </si>
  <si>
    <t>625+800</t>
  </si>
  <si>
    <t>640+900</t>
  </si>
  <si>
    <t>675+819</t>
  </si>
  <si>
    <t>695+599</t>
  </si>
  <si>
    <t>714+961</t>
  </si>
  <si>
    <t>733+509</t>
  </si>
  <si>
    <t>749+386</t>
  </si>
  <si>
    <t>789+986</t>
  </si>
  <si>
    <t>810+498</t>
  </si>
  <si>
    <t>829+988</t>
  </si>
  <si>
    <t>850+622</t>
  </si>
  <si>
    <t>891+089</t>
  </si>
  <si>
    <t>911+186</t>
  </si>
  <si>
    <t>928+964</t>
  </si>
  <si>
    <t>946+722</t>
  </si>
  <si>
    <t>19+900</t>
  </si>
  <si>
    <t>40+900</t>
  </si>
  <si>
    <t>60+300</t>
  </si>
  <si>
    <t>80+200</t>
  </si>
  <si>
    <t>118+100</t>
  </si>
  <si>
    <t>136+400</t>
  </si>
  <si>
    <t>156+300</t>
  </si>
  <si>
    <t>176+000</t>
  </si>
  <si>
    <t>195+500</t>
  </si>
  <si>
    <t>214+100</t>
  </si>
  <si>
    <t>248+800</t>
  </si>
  <si>
    <t>264+100</t>
  </si>
  <si>
    <t>317+300</t>
  </si>
  <si>
    <t>336+300</t>
  </si>
  <si>
    <t>357+100</t>
  </si>
  <si>
    <t>378+100</t>
  </si>
  <si>
    <t>397+800</t>
  </si>
  <si>
    <t>413+900</t>
  </si>
  <si>
    <t>451+000</t>
  </si>
  <si>
    <t>469+000</t>
  </si>
  <si>
    <t>487+000</t>
  </si>
  <si>
    <t>526+400</t>
  </si>
  <si>
    <t>18+400</t>
  </si>
  <si>
    <t>36+400</t>
  </si>
  <si>
    <t>54+400</t>
  </si>
  <si>
    <t>93+890</t>
  </si>
  <si>
    <t>114+550</t>
  </si>
  <si>
    <t>135+200</t>
  </si>
  <si>
    <t>174+500</t>
  </si>
  <si>
    <t>195+164</t>
  </si>
  <si>
    <t>208+300</t>
  </si>
  <si>
    <t>242+238</t>
  </si>
  <si>
    <t>262+271</t>
  </si>
  <si>
    <t>281+827</t>
  </si>
  <si>
    <t>300+325</t>
  </si>
  <si>
    <t>316+566</t>
  </si>
  <si>
    <t>356+199</t>
  </si>
  <si>
    <t>376+910</t>
  </si>
  <si>
    <t>396+651</t>
  </si>
  <si>
    <t>417+526</t>
  </si>
  <si>
    <t>458+007</t>
  </si>
  <si>
    <t>477+743</t>
  </si>
  <si>
    <t>494+212</t>
  </si>
  <si>
    <t>510+044</t>
  </si>
  <si>
    <t>16+800</t>
  </si>
  <si>
    <t>34+801</t>
  </si>
  <si>
    <t>52+466</t>
  </si>
  <si>
    <t>92+289</t>
  </si>
  <si>
    <t>112+923</t>
  </si>
  <si>
    <t>133+629</t>
  </si>
  <si>
    <t>173+071</t>
  </si>
  <si>
    <t>191+870</t>
  </si>
  <si>
    <t>206+785</t>
  </si>
  <si>
    <t>239+813</t>
  </si>
  <si>
    <t>258+663</t>
  </si>
  <si>
    <t>277+178</t>
  </si>
  <si>
    <t>295+888</t>
  </si>
  <si>
    <t>314+834</t>
  </si>
  <si>
    <t>351+360</t>
  </si>
  <si>
    <t>371+903</t>
  </si>
  <si>
    <t>391+692</t>
  </si>
  <si>
    <t>412+704</t>
  </si>
  <si>
    <t>454+632</t>
  </si>
  <si>
    <t>474+783</t>
  </si>
  <si>
    <t>490+992</t>
  </si>
  <si>
    <t>506+928</t>
  </si>
  <si>
    <t>93+790 / 570</t>
  </si>
  <si>
    <t>200+270 / 450</t>
  </si>
  <si>
    <t>251+990 / 380</t>
  </si>
  <si>
    <t>281+270 / 360</t>
  </si>
  <si>
    <t>309+100 / 330</t>
  </si>
  <si>
    <t>330+920 / 310</t>
  </si>
  <si>
    <t>502+810 / 206</t>
  </si>
  <si>
    <t>586+690 / 189</t>
  </si>
  <si>
    <t>631+980 / 175</t>
  </si>
  <si>
    <t>653+700 / 168</t>
  </si>
  <si>
    <t>693+730 / 160</t>
  </si>
  <si>
    <t>741+660 / 220</t>
  </si>
  <si>
    <t>800+400 / 150</t>
  </si>
  <si>
    <t>862+000 / 455</t>
  </si>
  <si>
    <t>922+000 / 685</t>
  </si>
  <si>
    <t>961+550 / 778</t>
  </si>
  <si>
    <t>329+396</t>
  </si>
  <si>
    <t>417+366</t>
  </si>
  <si>
    <t>515+486</t>
  </si>
  <si>
    <t>126+138</t>
  </si>
  <si>
    <t>212+788</t>
  </si>
  <si>
    <t>329+000</t>
  </si>
  <si>
    <t>491+500</t>
  </si>
  <si>
    <t>517+000</t>
  </si>
  <si>
    <t>T-SC3-GG1-01</t>
  </si>
  <si>
    <t>T-SC3-GG1-02</t>
  </si>
  <si>
    <t>T-SC3-GG1-03</t>
  </si>
  <si>
    <t>C-SC3-GG1-01</t>
  </si>
  <si>
    <t>C-SC3-GG1-02</t>
  </si>
  <si>
    <t>C-SC3-GG1-03</t>
  </si>
  <si>
    <t>TA-SC3-GG1-01</t>
  </si>
  <si>
    <t>TA-SC3-GG1-02</t>
  </si>
  <si>
    <t>TA-SC3-GG1-03</t>
  </si>
  <si>
    <t>GE-SC3-GG1-01</t>
  </si>
  <si>
    <t>T-SC3-GPDF-01</t>
  </si>
  <si>
    <t>T-SC3-GPDF-02</t>
  </si>
  <si>
    <t>T-SC-TFT-GR2-01</t>
  </si>
  <si>
    <t>T-SC-TFT-GR2-03</t>
  </si>
  <si>
    <t>T-SC-TFT-GR2-02</t>
  </si>
  <si>
    <t>T-SC1-GR2-01</t>
  </si>
  <si>
    <t>T-SC1-GR2-02</t>
  </si>
  <si>
    <t>T-SC1-GR2-03</t>
  </si>
  <si>
    <t>T-SC1-GR2-04</t>
  </si>
  <si>
    <t>T-SC2-GR2-01</t>
  </si>
  <si>
    <t>T-SC2-GR2-02</t>
  </si>
  <si>
    <t>T-SC2-GR2-03</t>
  </si>
  <si>
    <t>T-SC2-GR2-04</t>
  </si>
  <si>
    <t>T-SC3-GR2-01</t>
  </si>
  <si>
    <t>T-SC3-GR2-02</t>
  </si>
  <si>
    <t>T-SC3-GR2-03</t>
  </si>
  <si>
    <t>T-SC3-GR2-04</t>
  </si>
  <si>
    <t>T-SC4-GR2-01</t>
  </si>
  <si>
    <t>T-SC4-GR2-02</t>
  </si>
  <si>
    <t>T-SC4-GR2-03</t>
  </si>
  <si>
    <t>T-SC4-GR2-04</t>
  </si>
  <si>
    <t>SC-HR-GR4</t>
  </si>
  <si>
    <t>T-SC-HR-GR4-01</t>
  </si>
  <si>
    <t>T-SC-HR-GR4-02</t>
  </si>
  <si>
    <t>T-SC-HR-GR4-03</t>
  </si>
  <si>
    <t>T-SC-HR-GR4-04</t>
  </si>
  <si>
    <t>C-GO2-02</t>
  </si>
  <si>
    <t>C-GO2-03</t>
  </si>
  <si>
    <t>C-GO2-04</t>
  </si>
  <si>
    <t>PCL 801</t>
  </si>
  <si>
    <t>C-SC-TFT-GR2-01</t>
  </si>
  <si>
    <t>C-SC-TFT-GR2-02</t>
  </si>
  <si>
    <t>C-SC-TFT-GR2-03</t>
  </si>
  <si>
    <t>TA-SC-TFT-GR2-01</t>
  </si>
  <si>
    <t>TA-SC-TFT-GR2-02</t>
  </si>
  <si>
    <t>GE-SC-TFT-GR2-01</t>
  </si>
  <si>
    <t>GE-SC-TFT-GR2-02</t>
  </si>
  <si>
    <t>Technica Motori</t>
  </si>
  <si>
    <t>C-SC1-GR2-01</t>
  </si>
  <si>
    <t>C-SC1-GR2-02</t>
  </si>
  <si>
    <t>C-SC1-GR2-03</t>
  </si>
  <si>
    <t>C-SC1-GR2-04</t>
  </si>
  <si>
    <t>PCL 802</t>
  </si>
  <si>
    <t>CTM</t>
  </si>
  <si>
    <t>Stewart. Stevensen</t>
  </si>
  <si>
    <t>C-SC2-GR2-01</t>
  </si>
  <si>
    <t>PCL 603</t>
  </si>
  <si>
    <t>C-SC2-GR2-02</t>
  </si>
  <si>
    <t>C-SC2-GR2-03</t>
  </si>
  <si>
    <t>C-SC2-GR2-04</t>
  </si>
  <si>
    <t>C-SC3-GR2-01</t>
  </si>
  <si>
    <t>C-SC3-GR2-02</t>
  </si>
  <si>
    <t>C-SC3-GR2-03</t>
  </si>
  <si>
    <t>C-SC3-GR2-04</t>
  </si>
  <si>
    <t>PCL 602</t>
  </si>
  <si>
    <t>C-SC4-GR2-01</t>
  </si>
  <si>
    <t>C-SC4-GR2-02</t>
  </si>
  <si>
    <t>C-SC4-GR2-03</t>
  </si>
  <si>
    <t>C-SC4-GR2-04</t>
  </si>
  <si>
    <t>C-SC-HR-GR4-01</t>
  </si>
  <si>
    <t>C-SC-HR-GR4-02</t>
  </si>
  <si>
    <t>C-SC-HR-GR4-03</t>
  </si>
  <si>
    <t>C-SC-HR-GR4-04</t>
  </si>
  <si>
    <t>SC-HR-GR5</t>
  </si>
  <si>
    <t>TA-SC-HR-GR4-04</t>
  </si>
  <si>
    <t>TA-SC2-GR2-01</t>
  </si>
  <si>
    <t>TA-SC2-GR2-02</t>
  </si>
  <si>
    <t>TA-SC2-GR2-03</t>
  </si>
  <si>
    <t>GE-SC2-GR2-01</t>
  </si>
  <si>
    <t>GE-SC2-GR2-02</t>
  </si>
  <si>
    <t>ALSTOM A.G.T</t>
  </si>
  <si>
    <t>ONIS</t>
  </si>
  <si>
    <t>TA-SC3-GR2-01</t>
  </si>
  <si>
    <t>TA-SC3-GR2-02</t>
  </si>
  <si>
    <t>GE-SC3-GR2-01</t>
  </si>
  <si>
    <t>GE-SC3-GR2-02</t>
  </si>
  <si>
    <t>TA-SC4-GR2-01</t>
  </si>
  <si>
    <t>GE-SC4-GR2-01</t>
  </si>
  <si>
    <t>GE-SC4-GR2-02</t>
  </si>
  <si>
    <t>75 / 406</t>
  </si>
  <si>
    <t>195/ 410,5</t>
  </si>
  <si>
    <t>309 / 429</t>
  </si>
  <si>
    <t>418 / 425</t>
  </si>
  <si>
    <t>533 / 458</t>
  </si>
  <si>
    <t>649+559 / 538</t>
  </si>
  <si>
    <t>762+590 / 763</t>
  </si>
  <si>
    <t>Tamentit</t>
  </si>
  <si>
    <t>Aougrout</t>
  </si>
  <si>
    <t>El Ménéa</t>
  </si>
  <si>
    <t>115 / 458</t>
  </si>
  <si>
    <t>231 / 536</t>
  </si>
  <si>
    <t>Mansourah</t>
  </si>
  <si>
    <t>El Golea/EL MENEA</t>
  </si>
  <si>
    <t>Mansourah/GHARDAIA</t>
  </si>
  <si>
    <t>Hassi R’mel/GHARDAIA</t>
  </si>
  <si>
    <t>Hassi Lefhal/EL MENEA</t>
  </si>
  <si>
    <t>El Ménéa/EL MENEA</t>
  </si>
  <si>
    <t>Hassi El Gara/EL MENEA</t>
  </si>
  <si>
    <t>Tamentit/ADRAR</t>
  </si>
  <si>
    <t>Aougrout/ADRAR</t>
  </si>
  <si>
    <t>556+610</t>
  </si>
  <si>
    <t>578+479</t>
  </si>
  <si>
    <t>602+675</t>
  </si>
  <si>
    <t>626+261</t>
  </si>
  <si>
    <t>672+215</t>
  </si>
  <si>
    <t>695+274</t>
  </si>
  <si>
    <t>718+184</t>
  </si>
  <si>
    <t>741+230</t>
  </si>
  <si>
    <t>Timokten</t>
  </si>
  <si>
    <t>SebSeb</t>
  </si>
  <si>
    <t>Metlili</t>
  </si>
  <si>
    <t>Dhayet Bendahoua</t>
  </si>
  <si>
    <t>Hassi El Gara / EL MENEA</t>
  </si>
  <si>
    <t>El Golea / EL MENEA</t>
  </si>
  <si>
    <t>Mansourah / GHARDAIA</t>
  </si>
  <si>
    <t>Sebseb / GHARDAIA</t>
  </si>
  <si>
    <t>Metlili / GHARDAIA</t>
  </si>
  <si>
    <t>Dayat Bendaoua / GHARDAIA</t>
  </si>
  <si>
    <t>167+800</t>
  </si>
  <si>
    <t>253+800</t>
  </si>
  <si>
    <t>Aougrout/Adrar</t>
  </si>
  <si>
    <t>SIEMENS</t>
  </si>
  <si>
    <t>SGT600</t>
  </si>
  <si>
    <t>TA-SC-HR-GR5-01</t>
  </si>
  <si>
    <t>T-SC-HR-GR5-01</t>
  </si>
  <si>
    <t>T-SC-HR-GR5-02</t>
  </si>
  <si>
    <t>T-SC-HR-GR5-03</t>
  </si>
  <si>
    <t>C-SC-HR-GR5-03</t>
  </si>
  <si>
    <t>STC-SV</t>
  </si>
  <si>
    <t>C-SC-HR-GR5-01</t>
  </si>
  <si>
    <t>C-SC-HR-GR5-02</t>
  </si>
  <si>
    <t>C-SC-HR-GR5-04</t>
  </si>
  <si>
    <t>144+147 / 1047</t>
  </si>
  <si>
    <t>156+403 / 1180</t>
  </si>
  <si>
    <t>168+164 / 1238</t>
  </si>
  <si>
    <t>187+983 / 1098</t>
  </si>
  <si>
    <t>217+520 / 938</t>
  </si>
  <si>
    <t>235+936 / 954</t>
  </si>
  <si>
    <t>294+361 / 1154</t>
  </si>
  <si>
    <t>335+620 / 944</t>
  </si>
  <si>
    <t>358+887 / 575</t>
  </si>
  <si>
    <t>393+214 / 558</t>
  </si>
  <si>
    <t>398+616 / 520</t>
  </si>
  <si>
    <t>429+001 / 69</t>
  </si>
  <si>
    <t>495+104 / 99</t>
  </si>
  <si>
    <t>19+256 /732,65</t>
  </si>
  <si>
    <t>99+925 /770,80</t>
  </si>
  <si>
    <t>126+151 /926,70</t>
  </si>
  <si>
    <t>327+787 / 934,82</t>
  </si>
  <si>
    <t>477+039 / 68,2</t>
  </si>
  <si>
    <t>Guertofa / TIARET</t>
  </si>
  <si>
    <t>Mendas / RELIZANE</t>
  </si>
  <si>
    <t>RELIZANE</t>
  </si>
  <si>
    <t>Fornaka / MOSTAGANEM</t>
  </si>
  <si>
    <t>Bethioua / ORAN</t>
  </si>
  <si>
    <t>114+159 / 820,4</t>
  </si>
  <si>
    <t>226+497 / 970,8</t>
  </si>
  <si>
    <t>333+919 / 1032,2</t>
  </si>
  <si>
    <t>421+307 / 80,9</t>
  </si>
  <si>
    <t>Milok / Laghouat / LAGHOUAT</t>
  </si>
  <si>
    <t>Medarreg / Faïdja / TIARET</t>
  </si>
  <si>
    <t>Zaaroura / Tiaret / TIARET</t>
  </si>
  <si>
    <t>Bourmadia / Relizane / RELIZANE</t>
  </si>
  <si>
    <t>T-SC1-GZ0-01</t>
  </si>
  <si>
    <t>HISPANO SUISA</t>
  </si>
  <si>
    <t>THM 1202</t>
  </si>
  <si>
    <t>T-SC1-GZ0-02</t>
  </si>
  <si>
    <t>T-SC1-GZ0-03</t>
  </si>
  <si>
    <t>DELAVAL</t>
  </si>
  <si>
    <t>PV 24/24</t>
  </si>
  <si>
    <t>C-SC1-GZ0-01</t>
  </si>
  <si>
    <t>C-SC1-GZ0-02</t>
  </si>
  <si>
    <t>C-SC1-GZ0-03</t>
  </si>
  <si>
    <t>PENVEN (GN)</t>
  </si>
  <si>
    <t>GE-SC1-GZ0-01</t>
  </si>
  <si>
    <t>T-SC3-GZ0-01</t>
  </si>
  <si>
    <t>C-SC3-GZ0-01</t>
  </si>
  <si>
    <t>C-SC3-GZ0-02</t>
  </si>
  <si>
    <t>C-SC3-GZ0-03</t>
  </si>
  <si>
    <t>T-SC3-GZ0-02</t>
  </si>
  <si>
    <t>T-SC3-GZ0-03</t>
  </si>
  <si>
    <t>AMAN CATERPILAR</t>
  </si>
  <si>
    <t>T-SC2-GZ0-01</t>
  </si>
  <si>
    <t>T-SC2-GZ0-02</t>
  </si>
  <si>
    <t>C-SC2-GZ0-01</t>
  </si>
  <si>
    <t>C-SC2-GZ0-02</t>
  </si>
  <si>
    <t>GE-SC2-GZ0-01</t>
  </si>
  <si>
    <t>GE-SC2-GZ0-02</t>
  </si>
  <si>
    <t>GE-SC1-GZ0-02</t>
  </si>
  <si>
    <t>SULZER</t>
  </si>
  <si>
    <t>NS 63 II</t>
  </si>
  <si>
    <t>T-SC4-GZ0-01</t>
  </si>
  <si>
    <t>C-SC4-GZ0-01</t>
  </si>
  <si>
    <t>GE-SC4-GZ0-01</t>
  </si>
  <si>
    <t>74+350 / 840</t>
  </si>
  <si>
    <t>144+500 / 1045</t>
  </si>
  <si>
    <t>226+400 / 970</t>
  </si>
  <si>
    <t>236+127 / 954</t>
  </si>
  <si>
    <t>294+506 / 1254</t>
  </si>
  <si>
    <t>328+245 / 990</t>
  </si>
  <si>
    <t>335+867 / 961</t>
  </si>
  <si>
    <t>358+996 / 575</t>
  </si>
  <si>
    <t>370+986 / 670</t>
  </si>
  <si>
    <t>391+340 / 504</t>
  </si>
  <si>
    <t>421+500 / 73</t>
  </si>
  <si>
    <t>487+500 / 5</t>
  </si>
  <si>
    <t>440+100 / 0</t>
  </si>
  <si>
    <t>20+192 / 747</t>
  </si>
  <si>
    <t>99+333 / 771</t>
  </si>
  <si>
    <t>125+946 / 904</t>
  </si>
  <si>
    <t>143+589 / 1032</t>
  </si>
  <si>
    <t>155+896 / 1172</t>
  </si>
  <si>
    <t>168+394 / 1238</t>
  </si>
  <si>
    <t>187+530 / 1096</t>
  </si>
  <si>
    <t>217+086 / 938</t>
  </si>
  <si>
    <t>235+813 / 956</t>
  </si>
  <si>
    <t>294+732 / 1154</t>
  </si>
  <si>
    <t>328+837 / 990</t>
  </si>
  <si>
    <t>336+371 / 946</t>
  </si>
  <si>
    <t>359+635 / 572</t>
  </si>
  <si>
    <t>371+605 / 670</t>
  </si>
  <si>
    <t>394+030 / 558</t>
  </si>
  <si>
    <t>400+120 / 561</t>
  </si>
  <si>
    <t>431+592 / 124</t>
  </si>
  <si>
    <t>459+688 / 71</t>
  </si>
  <si>
    <t>500+635 / 94</t>
  </si>
  <si>
    <t>20+295 / 747</t>
  </si>
  <si>
    <t>99+695 / 771</t>
  </si>
  <si>
    <t>125+840 / 921</t>
  </si>
  <si>
    <t>143+887 / 1048</t>
  </si>
  <si>
    <t>156+268 / 1192</t>
  </si>
  <si>
    <t>168+698 / 1238</t>
  </si>
  <si>
    <t>216+712 / 930</t>
  </si>
  <si>
    <t>236+230 / 954</t>
  </si>
  <si>
    <t>294+377 / 1154</t>
  </si>
  <si>
    <t>329+610 / 918</t>
  </si>
  <si>
    <t>350+083/ 676</t>
  </si>
  <si>
    <t>357+434 / 569</t>
  </si>
  <si>
    <t>371+956 / 650</t>
  </si>
  <si>
    <t>393+395 / 499</t>
  </si>
  <si>
    <t>423+987 / 114,22</t>
  </si>
  <si>
    <t>454+246 / 234,60</t>
  </si>
  <si>
    <t>460+542 / 113,54</t>
  </si>
  <si>
    <t>504+188 / 13,66</t>
  </si>
  <si>
    <t>187+764 / 1096</t>
  </si>
  <si>
    <t>SC1-GR7</t>
  </si>
  <si>
    <t>074+867 / 840</t>
  </si>
  <si>
    <t>144+718 / 1045</t>
  </si>
  <si>
    <t>226+644 / 970</t>
  </si>
  <si>
    <t>295+440 / 1235</t>
  </si>
  <si>
    <t>397+765 / 525</t>
  </si>
  <si>
    <t>Timzhert / Bennaceur Benchohra/ LAGHOUAT</t>
  </si>
  <si>
    <t>M’seka / Tadjmount / LAGHOUAT</t>
  </si>
  <si>
    <t>Nador / Naïma / TIARET</t>
  </si>
  <si>
    <t>Kenenda / Zemmora / RELIZANE</t>
  </si>
  <si>
    <t>T-SC1-GZ1-01</t>
  </si>
  <si>
    <t>MS 3002</t>
  </si>
  <si>
    <t>T-SC1-GZ1-02</t>
  </si>
  <si>
    <t>T-SC1-GZ1-03</t>
  </si>
  <si>
    <t>T-SC1-GZ1-04</t>
  </si>
  <si>
    <t>Ingersol Rand</t>
  </si>
  <si>
    <t>CDP 224</t>
  </si>
  <si>
    <t>C-SC1-GZ1-01</t>
  </si>
  <si>
    <t>C-SC1-GZ1-02</t>
  </si>
  <si>
    <t>C-SC1-GZ1-03</t>
  </si>
  <si>
    <t>C-SC1-GZ1-04</t>
  </si>
  <si>
    <t>GSC 1200</t>
  </si>
  <si>
    <t>TA-SC1-GZ1-01</t>
  </si>
  <si>
    <t>TA-SC1-GZ1-02</t>
  </si>
  <si>
    <t>T-SC2-GZ1-01</t>
  </si>
  <si>
    <t>T-SC2-GZ1-02</t>
  </si>
  <si>
    <t>T-SC2-GZ1-03</t>
  </si>
  <si>
    <t>T-SC2-GZ1-04</t>
  </si>
  <si>
    <t>C-SC2-GZ1-01</t>
  </si>
  <si>
    <t>C-SC2-GZ1-02</t>
  </si>
  <si>
    <t>C-SC2-GZ1-03</t>
  </si>
  <si>
    <t>C-SC2-GZ1-04</t>
  </si>
  <si>
    <t>TA-SC2-GZ1-01</t>
  </si>
  <si>
    <t>TA-SC2-GZ1-02</t>
  </si>
  <si>
    <t>T-SC3-GZ1-01</t>
  </si>
  <si>
    <t>T-SC3-GZ1-02</t>
  </si>
  <si>
    <t>T-SC3-GZ1-03</t>
  </si>
  <si>
    <t>T-SC3-GZ1-04</t>
  </si>
  <si>
    <t>C-SC3-GZ1-01</t>
  </si>
  <si>
    <t>C-SC3-GZ1-02</t>
  </si>
  <si>
    <t>C-SC3-GZ1-03</t>
  </si>
  <si>
    <t>C-SC3-GZ1-04</t>
  </si>
  <si>
    <t>TA-SC3-GZ1-01</t>
  </si>
  <si>
    <t>TA-SC3-GZ1-02</t>
  </si>
  <si>
    <t>T-SC4-GZ1-01</t>
  </si>
  <si>
    <t>T-SC4-GZ1-02</t>
  </si>
  <si>
    <t>T-SC4-GZ1-03</t>
  </si>
  <si>
    <t>T-SC4-GZ1-04</t>
  </si>
  <si>
    <t>C-SC4-GZ1-01</t>
  </si>
  <si>
    <t>C-SC4-GZ1-02</t>
  </si>
  <si>
    <t>C-SC4-GZ1-03</t>
  </si>
  <si>
    <t>C-SC4-GZ1-04</t>
  </si>
  <si>
    <t>TA-SC4-GZ1-01</t>
  </si>
  <si>
    <t>TA-SC4-GZ1-02</t>
  </si>
  <si>
    <t>T-SC5-GZ1-01</t>
  </si>
  <si>
    <t>T-SC5-GZ1-02</t>
  </si>
  <si>
    <t>T-SC5-GZ1-03</t>
  </si>
  <si>
    <t>T-SC5-GZ1-04</t>
  </si>
  <si>
    <t>C-SC5-GZ1-01</t>
  </si>
  <si>
    <t>C-SC5-GZ1-02</t>
  </si>
  <si>
    <t>C-SC5-GZ1-03</t>
  </si>
  <si>
    <t>C-SC5-GZ1-04</t>
  </si>
  <si>
    <t>TA-SC5-GZ1-01</t>
  </si>
  <si>
    <t>TA-SC5-GZ1-02</t>
  </si>
  <si>
    <t>74+232 / 840</t>
  </si>
  <si>
    <t>145+015 / 1045</t>
  </si>
  <si>
    <t>225+510 / 970</t>
  </si>
  <si>
    <t>297+202 / 1235</t>
  </si>
  <si>
    <t>399+896 / 506</t>
  </si>
  <si>
    <t>Timzhert / Bennaceur Benchohra / LAGHOUAT</t>
  </si>
  <si>
    <t>224+900 / 969</t>
  </si>
  <si>
    <t>297+000 / 1287</t>
  </si>
  <si>
    <t>503+578 / 61</t>
  </si>
  <si>
    <t>Faidja / Tiaret</t>
  </si>
  <si>
    <t>Dar Bebadellah / RELIZANE</t>
  </si>
  <si>
    <t>El Araba / ORAN</t>
  </si>
  <si>
    <t>Tafraoui / Oran</t>
  </si>
  <si>
    <t>399+683 / 498,4</t>
  </si>
  <si>
    <t>55+400 / 114,54</t>
  </si>
  <si>
    <t>143+700 / 1047,6</t>
  </si>
  <si>
    <t>74 / 851,7</t>
  </si>
  <si>
    <t>Guertoufa / Temda / TIARET</t>
  </si>
  <si>
    <t>Sidi Lazrag/ Kenenda / RELIZANE</t>
  </si>
  <si>
    <t>Yellel / RELIZANE (Supprimé)</t>
  </si>
  <si>
    <t>Mars El Hadjadj / ORAN</t>
  </si>
  <si>
    <t>Faïdja / TIARET (hors service)</t>
  </si>
  <si>
    <t>Faïdja / TIARET</t>
  </si>
  <si>
    <t>Sidi Lazrag Kenenda / RELIZANE</t>
  </si>
  <si>
    <t>Dar Ben Abdellah / RELIZANE</t>
  </si>
  <si>
    <t>Bethioua / Granine / ORAN</t>
  </si>
  <si>
    <t>El baida / TIARET</t>
  </si>
  <si>
    <t>Guertoufa / Tamda / TIARET</t>
  </si>
  <si>
    <t>Sidi Lazrag / Kenenda / RELIZANE</t>
  </si>
  <si>
    <t>Sejrara / MASCARA</t>
  </si>
  <si>
    <t>Marselhajaj / ORAN</t>
  </si>
  <si>
    <t>83+215 / 715,5</t>
  </si>
  <si>
    <t>179+373 / 397</t>
  </si>
  <si>
    <t>270+785 / 389</t>
  </si>
  <si>
    <t>354+890 / 575</t>
  </si>
  <si>
    <t>430+790 / 926</t>
  </si>
  <si>
    <t>Ouled Djellal / OULED DJELLAL</t>
  </si>
  <si>
    <t>Mechtatine / Tadjnanet / MILA</t>
  </si>
  <si>
    <t>SCA-GZ1</t>
  </si>
  <si>
    <t>T-SCA-GZ1-01</t>
  </si>
  <si>
    <t>T-SCA-GZ1-02</t>
  </si>
  <si>
    <t>T-SCA-GZ1-03</t>
  </si>
  <si>
    <t>T-SCA-GZ1-04</t>
  </si>
  <si>
    <t>C-SCA-GZ1-01</t>
  </si>
  <si>
    <t>C-SCA-GZ1-02</t>
  </si>
  <si>
    <t>C-SCA-GZ1-03</t>
  </si>
  <si>
    <t>C-SCA-GZ1-04</t>
  </si>
  <si>
    <t>TA-SCA-GZ1-01</t>
  </si>
  <si>
    <t>TA-SCA-GZ1-02</t>
  </si>
  <si>
    <t>TA-SCA-GZ1-03</t>
  </si>
  <si>
    <t>RUSTON</t>
  </si>
  <si>
    <t>TA1750</t>
  </si>
  <si>
    <t>COOPER BESMER</t>
  </si>
  <si>
    <t>RF2/BB-30</t>
  </si>
  <si>
    <t>SCB-GZ1</t>
  </si>
  <si>
    <t>T-SCB-GZ1-01</t>
  </si>
  <si>
    <t>T-SCB-GZ1-02</t>
  </si>
  <si>
    <t>T-SCB-GZ1-03</t>
  </si>
  <si>
    <t>T-SCB-GZ1-04</t>
  </si>
  <si>
    <t>C-SCB-GZ1-01</t>
  </si>
  <si>
    <t>C-SCB-GZ1-02</t>
  </si>
  <si>
    <t>C-SCB-GZ1-03</t>
  </si>
  <si>
    <t>C-SCB-GZ1-04</t>
  </si>
  <si>
    <t>TA-SCB-GZ1-01</t>
  </si>
  <si>
    <t>TA-SCB-GZ1-02</t>
  </si>
  <si>
    <t>TA-SCB-GZ1-03</t>
  </si>
  <si>
    <t>SCC-GZ1</t>
  </si>
  <si>
    <t>T-SCC-GZ1-01</t>
  </si>
  <si>
    <t>T-SCC-GZ1-02</t>
  </si>
  <si>
    <t>T-SCC-GZ1-03</t>
  </si>
  <si>
    <t>T-SCC-GZ1-04</t>
  </si>
  <si>
    <t>C-SCC-GZ1-01</t>
  </si>
  <si>
    <t>C-SCC-GZ1-02</t>
  </si>
  <si>
    <t>C-SCC-GZ1-03</t>
  </si>
  <si>
    <t>C-SCC-GZ1-04</t>
  </si>
  <si>
    <t>TA-SCC-GZ1-01</t>
  </si>
  <si>
    <t>TA-SCC-GZ1-02</t>
  </si>
  <si>
    <t>TA-SCC-GZ1-03</t>
  </si>
  <si>
    <t>T-SCD-GZ1-01</t>
  </si>
  <si>
    <t>T-SCD-GZ1-02</t>
  </si>
  <si>
    <t>T-SCD-GZ1-03</t>
  </si>
  <si>
    <t>T-SCD-GZ1-04</t>
  </si>
  <si>
    <t>C-SCD-GZ1-01</t>
  </si>
  <si>
    <t>C-SCD-GZ1-02</t>
  </si>
  <si>
    <t>C-SCD-GZ1-03</t>
  </si>
  <si>
    <t>C-SCD-GZ1-04</t>
  </si>
  <si>
    <t>TA-SCD-GZ1-01</t>
  </si>
  <si>
    <t>TA-SCD-GZ1-02</t>
  </si>
  <si>
    <t>TA-SCD-GZ1-03</t>
  </si>
  <si>
    <t>SCD-GZ1</t>
  </si>
  <si>
    <t>SCE-GZ1</t>
  </si>
  <si>
    <t>T-SCE-GZ1-01</t>
  </si>
  <si>
    <t>T-SCE-GZ1-02</t>
  </si>
  <si>
    <t>T-SCE-GZ1-03</t>
  </si>
  <si>
    <t>T-SCE-GZ1-04</t>
  </si>
  <si>
    <t>C-SCE-GZ1-01</t>
  </si>
  <si>
    <t>C-SCE-GZ1-02</t>
  </si>
  <si>
    <t>C-SCE-GZ1-03</t>
  </si>
  <si>
    <t>C-SCE-GZ1-04</t>
  </si>
  <si>
    <t>TA-SCE-GZ1-01</t>
  </si>
  <si>
    <t>TA-SCE-GZ1-02</t>
  </si>
  <si>
    <t>TA-SCE-GZ1-03</t>
  </si>
  <si>
    <t>SP1-OZ1</t>
  </si>
  <si>
    <t>Station de Pompage SP1-OZ1</t>
  </si>
  <si>
    <t>SP2-OZ1</t>
  </si>
  <si>
    <t>Station de Pompage SP2-OZ1</t>
  </si>
  <si>
    <t>SP3-OZ1</t>
  </si>
  <si>
    <t>SP4-OZ1</t>
  </si>
  <si>
    <t>SP5-OZ1</t>
  </si>
  <si>
    <t>SP6-OZ1</t>
  </si>
  <si>
    <t>PRS-OZ1</t>
  </si>
  <si>
    <t>Station de Régulation PRS-OZ1/OZ2</t>
  </si>
  <si>
    <t>ALSTOM</t>
  </si>
  <si>
    <t>TORNADO</t>
  </si>
  <si>
    <t>GUINARD</t>
  </si>
  <si>
    <t>DVDS 12x14x14.1/2 R/H</t>
  </si>
  <si>
    <t xml:space="preserve">VLBXO 1150x25 A/B </t>
  </si>
  <si>
    <t>TURBINE</t>
  </si>
  <si>
    <t>PUMP</t>
  </si>
  <si>
    <t>ELECT-ENGIN</t>
  </si>
  <si>
    <t>BOOSTER-PUMP</t>
  </si>
  <si>
    <t>TURBOMECA</t>
  </si>
  <si>
    <t>0 / 156</t>
  </si>
  <si>
    <t>124+800 / 256</t>
  </si>
  <si>
    <t>218+075 / 495</t>
  </si>
  <si>
    <t>306+000 / 777</t>
  </si>
  <si>
    <t>415+100 / 885</t>
  </si>
  <si>
    <t>534+900 / 973</t>
  </si>
  <si>
    <t>Hassi R’Mel / LAGHOUAT</t>
  </si>
  <si>
    <t>Milok / Tadjemout / LAGHOUAT</t>
  </si>
  <si>
    <t>Djebil / Faidja / TIARET</t>
  </si>
  <si>
    <t>0 / 169</t>
  </si>
  <si>
    <t>127+600 / 245</t>
  </si>
  <si>
    <t>220+800 / 497</t>
  </si>
  <si>
    <t>307+900 / 778</t>
  </si>
  <si>
    <t>417+200 / 890</t>
  </si>
  <si>
    <t>538+200 / 1015</t>
  </si>
  <si>
    <t>T-SP1-OZ1-01</t>
  </si>
  <si>
    <t>T-SP1-OZ1-02</t>
  </si>
  <si>
    <t>T-SP1-OZ1-03</t>
  </si>
  <si>
    <t>T-SP1-OZ1-04</t>
  </si>
  <si>
    <t>P-SP1-OZ1-01</t>
  </si>
  <si>
    <t>P-SP1-OZ1-02</t>
  </si>
  <si>
    <t>P-SP1-OZ1-03</t>
  </si>
  <si>
    <t>P-SP1-OZ1-04</t>
  </si>
  <si>
    <t>T-SP2-OZ1-01</t>
  </si>
  <si>
    <t>T-SP2-OZ1-02</t>
  </si>
  <si>
    <t>T-SP2-OZ1-03</t>
  </si>
  <si>
    <t>T-SP2-OZ1-04</t>
  </si>
  <si>
    <t>P-SP2-OZ1-01</t>
  </si>
  <si>
    <t>P-SP2-OZ1-02</t>
  </si>
  <si>
    <t>P-SP2-OZ1-03</t>
  </si>
  <si>
    <t>P-SP2-OZ1-04</t>
  </si>
  <si>
    <t>T-SP3-OZ1-01</t>
  </si>
  <si>
    <t>T-SP3-OZ1-02</t>
  </si>
  <si>
    <t>T-SP3-OZ1-03</t>
  </si>
  <si>
    <t>T-SP3-OZ1-04</t>
  </si>
  <si>
    <t>P-SP3-OZ1-01</t>
  </si>
  <si>
    <t>P-SP3-OZ1-02</t>
  </si>
  <si>
    <t>P-SP3-OZ1-03</t>
  </si>
  <si>
    <t>P-SP3-OZ1-04</t>
  </si>
  <si>
    <t>T-SP4-OZ1-01</t>
  </si>
  <si>
    <t>T-SP4-OZ1-02</t>
  </si>
  <si>
    <t>T-SP4-OZ1-03</t>
  </si>
  <si>
    <t>T-SP4-OZ1-04</t>
  </si>
  <si>
    <t>P-SP4-OZ1-01</t>
  </si>
  <si>
    <t>P-SP4-OZ1-02</t>
  </si>
  <si>
    <t>P-SP4-OZ1-03</t>
  </si>
  <si>
    <t>P-SP4-OZ1-04</t>
  </si>
  <si>
    <t>T-SP5-OZ1-01</t>
  </si>
  <si>
    <t>T-SP5-OZ1-02</t>
  </si>
  <si>
    <t>T-SP5-OZ1-03</t>
  </si>
  <si>
    <t>T-SP5-OZ1-04</t>
  </si>
  <si>
    <t>P-SP5-OZ1-01</t>
  </si>
  <si>
    <t>P-SP5-OZ1-02</t>
  </si>
  <si>
    <t>P-SP5-OZ1-03</t>
  </si>
  <si>
    <t>P-SP5-OZ1-04</t>
  </si>
  <si>
    <t>T-SP6-OZ1-01</t>
  </si>
  <si>
    <t>T-SP6-OZ1-02</t>
  </si>
  <si>
    <t>T-SP6-OZ1-03</t>
  </si>
  <si>
    <t>T-SP6-OZ1-04</t>
  </si>
  <si>
    <t>P-SP6-OZ1-01</t>
  </si>
  <si>
    <t>P-SP6-OZ1-02</t>
  </si>
  <si>
    <t>P-SP6-OZ1-03</t>
  </si>
  <si>
    <t>P-SP6-OZ1-04</t>
  </si>
  <si>
    <t>TA-SP6-OZ1-01</t>
  </si>
  <si>
    <t>THM1102</t>
  </si>
  <si>
    <t>NS5311</t>
  </si>
  <si>
    <t>T-SP1-OZ2-01</t>
  </si>
  <si>
    <t>T-SP1-OZ2-02</t>
  </si>
  <si>
    <t>T-SP1-OZ2-03</t>
  </si>
  <si>
    <t>T-SP1-OZ2-04</t>
  </si>
  <si>
    <t>T-SP1-OZ2-05</t>
  </si>
  <si>
    <t>T-SP1-OZ2-06</t>
  </si>
  <si>
    <t>P-SP1-OZ2-01</t>
  </si>
  <si>
    <t>P-SP1-OZ2-02</t>
  </si>
  <si>
    <t>P-SP1-OZ2-03</t>
  </si>
  <si>
    <t>P-SP1-OZ2-04</t>
  </si>
  <si>
    <t>P-SP1-OZ2-05</t>
  </si>
  <si>
    <t>P-SP1-OZ2-06</t>
  </si>
  <si>
    <t>ME-SP1-OZ2-01</t>
  </si>
  <si>
    <t>ME-SP1-OZ2-02</t>
  </si>
  <si>
    <t>ME-SP1-OZ2-03</t>
  </si>
  <si>
    <t>ME-SP1-OZ2-04</t>
  </si>
  <si>
    <t>ME-SP1-OZ2-05</t>
  </si>
  <si>
    <t>ME-SP1-OZ2-06</t>
  </si>
  <si>
    <t>PB-SP1-OZ2-01</t>
  </si>
  <si>
    <t>PB-SP1-OZ2-02</t>
  </si>
  <si>
    <t>PB-SP1-OZ2-03</t>
  </si>
  <si>
    <t>PB-SP1-OZ2-04</t>
  </si>
  <si>
    <t>PB-SP1-OZ2-05</t>
  </si>
  <si>
    <t>PB-SP1-OZ2-06</t>
  </si>
  <si>
    <t>T-SP2-OZ2-01</t>
  </si>
  <si>
    <t>T-SP2-OZ2-02</t>
  </si>
  <si>
    <t>T-SP2-OZ2-03</t>
  </si>
  <si>
    <t>T-SP2-OZ2-04</t>
  </si>
  <si>
    <t>P-SP2-OZ2-01</t>
  </si>
  <si>
    <t>P-SP2-OZ2-02</t>
  </si>
  <si>
    <t>P-SP2-OZ2-03</t>
  </si>
  <si>
    <t>P-SP2-OZ2-04</t>
  </si>
  <si>
    <t>T-SP3-OZ2-01</t>
  </si>
  <si>
    <t>T-SP3-OZ2-02</t>
  </si>
  <si>
    <t>T-SP3-OZ2-03</t>
  </si>
  <si>
    <t>T-SP3-OZ2-04</t>
  </si>
  <si>
    <t>T-SP3-OZ2-05</t>
  </si>
  <si>
    <t>T-SP3-OZ2-06</t>
  </si>
  <si>
    <t>P-SP3-OZ2-01</t>
  </si>
  <si>
    <t>P-SP3-OZ2-02</t>
  </si>
  <si>
    <t>P-SP3-OZ2-03</t>
  </si>
  <si>
    <t>P-SP3-OZ2-04</t>
  </si>
  <si>
    <t>P-SP3-OZ2-05</t>
  </si>
  <si>
    <t>P-SP3-OZ2-06</t>
  </si>
  <si>
    <t>T-SP4-OZ2-01</t>
  </si>
  <si>
    <t>T-SP4-OZ2-02</t>
  </si>
  <si>
    <t>T-SP4-OZ2-03</t>
  </si>
  <si>
    <t>T-SP4-OZ2-04</t>
  </si>
  <si>
    <t>P-SP4-OZ2-01</t>
  </si>
  <si>
    <t>P-SP4-OZ2-02</t>
  </si>
  <si>
    <t>P-SP4-OZ2-03</t>
  </si>
  <si>
    <t>P-SP4-OZ2-04</t>
  </si>
  <si>
    <t>GE-SP4-OZ2-01</t>
  </si>
  <si>
    <t>T-SP5-OZ2-01</t>
  </si>
  <si>
    <t>T-SP5-OZ2-02</t>
  </si>
  <si>
    <t>T-SP5-OZ2-03</t>
  </si>
  <si>
    <t>T-SP5-OZ2-04</t>
  </si>
  <si>
    <t>T-SP5-OZ2-05</t>
  </si>
  <si>
    <t>T-SP5-OZ2-06</t>
  </si>
  <si>
    <t>P-SP5-OZ2-01</t>
  </si>
  <si>
    <t>P-SP5-OZ2-02</t>
  </si>
  <si>
    <t>P-SP5-OZ2-03</t>
  </si>
  <si>
    <t>P-SP5-OZ2-04</t>
  </si>
  <si>
    <t>P-SP5-OZ2-05</t>
  </si>
  <si>
    <t>P-SP5-OZ2-06</t>
  </si>
  <si>
    <t>GE-SP5-OZ2-01</t>
  </si>
  <si>
    <t>T-SP6-OZ2-01</t>
  </si>
  <si>
    <t>T-SP6-OZ2-02</t>
  </si>
  <si>
    <t>T-SP6-OZ2-03</t>
  </si>
  <si>
    <t>T-SP6-OZ2-04</t>
  </si>
  <si>
    <t>P-SP6-OZ2-01</t>
  </si>
  <si>
    <t>P-SP6-OZ2-02</t>
  </si>
  <si>
    <t>P-SP6-OZ2-03</t>
  </si>
  <si>
    <t>P-SP6-OZ2-04</t>
  </si>
  <si>
    <t>TA-SP6-OZ2-01</t>
  </si>
  <si>
    <t>TA-SP6-OZ2-02</t>
  </si>
  <si>
    <t>GE-SP6-OZ2-01</t>
  </si>
  <si>
    <t>B. JACKSON</t>
  </si>
  <si>
    <t>DVDS8x10x12</t>
  </si>
  <si>
    <t>L.SCOTT</t>
  </si>
  <si>
    <t>EN-SP1-OZ1-01</t>
  </si>
  <si>
    <t>EN-SP1-OZ1-02</t>
  </si>
  <si>
    <t>EN-SP1-OZ1-03</t>
  </si>
  <si>
    <t>EN-SP1-OZ1-04</t>
  </si>
  <si>
    <t>SIGMUND</t>
  </si>
  <si>
    <t>BP-SP1-OZ1-01</t>
  </si>
  <si>
    <t>BP-SP1-OZ1-02</t>
  </si>
  <si>
    <t>BP-SP1-OZ1-03</t>
  </si>
  <si>
    <t>BP-SP1-OZ1-04</t>
  </si>
  <si>
    <t>TA-SP2-OZ1-01</t>
  </si>
  <si>
    <t>TA-SP2-OZ1-02</t>
  </si>
  <si>
    <t>TA-SP3-OZ1-01</t>
  </si>
  <si>
    <t>TA-SP4-OZ1-01</t>
  </si>
  <si>
    <t>TA-SP5-OZ1-01</t>
  </si>
  <si>
    <t>338+643 / 185</t>
  </si>
  <si>
    <t>431+427 / 630</t>
  </si>
  <si>
    <t>Selga Bouchegroune / Tolga / BISKRA</t>
  </si>
  <si>
    <t>Boumagueur / N’gaous / BATNA</t>
  </si>
  <si>
    <t>T-SP1-OK1-01</t>
  </si>
  <si>
    <t>T-SP1-OK1-02</t>
  </si>
  <si>
    <t>T-SP1-OK1-03</t>
  </si>
  <si>
    <t>MS 3132</t>
  </si>
  <si>
    <t>PGT 10</t>
  </si>
  <si>
    <t>Byron Jackson</t>
  </si>
  <si>
    <t>P-SP1-OK1-01</t>
  </si>
  <si>
    <t>P-SP1-OK1-02</t>
  </si>
  <si>
    <t>P-SP1-OK1-03</t>
  </si>
  <si>
    <t>DVDS 20x20x28</t>
  </si>
  <si>
    <t xml:space="preserve">P.PEEBLEES </t>
  </si>
  <si>
    <t>BP-SP1-OK1-01</t>
  </si>
  <si>
    <t>BP-SP1-OK1-02</t>
  </si>
  <si>
    <t>BP-SP1-OK1-03</t>
  </si>
  <si>
    <t>BP-SP1-OK1-04</t>
  </si>
  <si>
    <t>BP-SP1-OK1-05</t>
  </si>
  <si>
    <t>BS 187 110</t>
  </si>
  <si>
    <t>AMD500LTVABM</t>
  </si>
  <si>
    <t xml:space="preserve">B.J </t>
  </si>
  <si>
    <t>Flow Serve</t>
  </si>
  <si>
    <t>EE-SP1-OK1-01</t>
  </si>
  <si>
    <t>EE-SP1-OK1-02</t>
  </si>
  <si>
    <t>EE-SP1-OK1-03</t>
  </si>
  <si>
    <t>EE-SP1-OK1-04</t>
  </si>
  <si>
    <t>EE-SP1-OK1-05</t>
  </si>
  <si>
    <t>20x20x38KXHOH-25</t>
  </si>
  <si>
    <t>18QLC25</t>
  </si>
  <si>
    <t xml:space="preserve">HISPANO SUIZA </t>
  </si>
  <si>
    <t>TA-SP1-OK1-01</t>
  </si>
  <si>
    <t>TA-SP1-OK1-02</t>
  </si>
  <si>
    <t>TA-SP1-OK1-03</t>
  </si>
  <si>
    <t>GE-SP1-OK1-01</t>
  </si>
  <si>
    <t>152+500 / 515</t>
  </si>
  <si>
    <t>190+400 / 438</t>
  </si>
  <si>
    <t>230+400 / 373</t>
  </si>
  <si>
    <t>314+100 / 263</t>
  </si>
  <si>
    <t>406+500 / 226</t>
  </si>
  <si>
    <t>498+500 / 183</t>
  </si>
  <si>
    <t>587+900 / 145</t>
  </si>
  <si>
    <t>In Amenas / ILLIZI</t>
  </si>
  <si>
    <t>359+500 / 258</t>
  </si>
  <si>
    <t>Mederba / Bordj Omar Idriss / ILLIZI</t>
  </si>
  <si>
    <t>R-Nouss / Bordj Omar Idriss / ILLIZI</t>
  </si>
  <si>
    <t>Gassi Touil / Hassi Messaoud / OUARGLA</t>
  </si>
  <si>
    <t>Nezla / Hassi Messaoud / OUARGLA</t>
  </si>
  <si>
    <t>137 / 169</t>
  </si>
  <si>
    <t>158 / 182</t>
  </si>
  <si>
    <t>Nezla / OUARGLA</t>
  </si>
  <si>
    <t>109+020</t>
  </si>
  <si>
    <t>230+060</t>
  </si>
  <si>
    <t>Milok/LAGHOUAT</t>
  </si>
  <si>
    <t>Medareg/TIARET</t>
  </si>
  <si>
    <t>188+332 / 73</t>
  </si>
  <si>
    <t>337+792 / 185</t>
  </si>
  <si>
    <t>430+789 / 620</t>
  </si>
  <si>
    <t>M’rara / Djamâa / M’GHAIER</t>
  </si>
  <si>
    <t>Selga : El Outaya / El Outaya / BISKRA</t>
  </si>
  <si>
    <t>NH1</t>
  </si>
  <si>
    <t>47 / 567</t>
  </si>
  <si>
    <t>158 / 302</t>
  </si>
  <si>
    <t>339+500 / 208</t>
  </si>
  <si>
    <t>Mederba / Bordj Omar Driss / ILLIZI</t>
  </si>
  <si>
    <t>110+729 / 885</t>
  </si>
  <si>
    <t>307+020 / 1080</t>
  </si>
  <si>
    <t>110+627 / 885</t>
  </si>
  <si>
    <t>100+850 / 555</t>
  </si>
  <si>
    <t>805+700 / 260</t>
  </si>
  <si>
    <t>133 / 469</t>
  </si>
  <si>
    <t>329 / 252</t>
  </si>
  <si>
    <t>153+118 / 260</t>
  </si>
  <si>
    <t>252+092 / 530</t>
  </si>
  <si>
    <t>Bennouara / GHARDAIA</t>
  </si>
  <si>
    <t>Station de Pompage SP1-OZ1/OZ2</t>
  </si>
  <si>
    <t>Station de Pompage SP2-OZ1/OZ2</t>
  </si>
  <si>
    <t>SP6-OZ1/OZ2</t>
  </si>
  <si>
    <t>PRS-OZ1/OZ2</t>
  </si>
  <si>
    <t>SP5-OZ1/OZ2</t>
  </si>
  <si>
    <t>SP4-OZ1/OZ2</t>
  </si>
  <si>
    <t>SP3-OZ1/OZ2</t>
  </si>
  <si>
    <t>SP2-OZ1/OZ2</t>
  </si>
  <si>
    <t>SP1-OZ1/OZ2</t>
  </si>
  <si>
    <t>Station de Régulation PRS-OZ1</t>
  </si>
  <si>
    <t>AMD630L2TBSBM</t>
  </si>
  <si>
    <t>NSP1-OB1</t>
  </si>
  <si>
    <t>T-NSP1-OB1-01</t>
  </si>
  <si>
    <t>T-NSP1-OB1-02</t>
  </si>
  <si>
    <t>T-NSP1-OB1-03</t>
  </si>
  <si>
    <t>T-NSP1-OB1-04</t>
  </si>
  <si>
    <t>T-NSP1-OB1-05</t>
  </si>
  <si>
    <t>12/16LPLD19</t>
  </si>
  <si>
    <t>Flowserve</t>
  </si>
  <si>
    <t>P-NSP1-OK1-01</t>
  </si>
  <si>
    <t>P-NSP1-OK1-02</t>
  </si>
  <si>
    <t>P-NSP1-OK1-03</t>
  </si>
  <si>
    <t>P-NSP1-OK1-04</t>
  </si>
  <si>
    <t>P-NSP1-OK1-05</t>
  </si>
  <si>
    <t>AMD 355L4RVAB</t>
  </si>
  <si>
    <t>EE-NSP1-OB1-01</t>
  </si>
  <si>
    <t>EE-NSP1-OB1-02</t>
  </si>
  <si>
    <t>EE-NSP1-OB1-03</t>
  </si>
  <si>
    <t>EE-NSP1-OB1-04</t>
  </si>
  <si>
    <t>BP-NSP1-OK1-01</t>
  </si>
  <si>
    <t>SC</t>
  </si>
  <si>
    <t>Working</t>
  </si>
  <si>
    <t>Stoped</t>
  </si>
  <si>
    <t>Decomissioned</t>
  </si>
  <si>
    <t>GZ1/2/3</t>
  </si>
  <si>
    <t>GK1/2</t>
  </si>
  <si>
    <t>GR1/2/4/6</t>
  </si>
  <si>
    <t>GR5/7</t>
  </si>
  <si>
    <t>GO1/2/3</t>
  </si>
  <si>
    <t>OZ1/2</t>
  </si>
  <si>
    <t>OD1/3/OH2</t>
  </si>
  <si>
    <t>LR1/DLR1/ELR1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</si>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</sst>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00"/>
    <numFmt numFmtId="165" formatCode="0000"/>
    <numFmt numFmtId="166" formatCode="yyyy\-mm\-dd;@"/>
    <numFmt numFmtId="167" formatCode="0.000"/>
    <numFmt numFmtId="168" formatCode="[$-12C0C]dd/mm/yyyy;@"/>
    <numFmt numFmtId="169" formatCode="_(* #,##0.000_);_(* \(#,##0.000\);_(* &quot;-&quot;??_);_(@_)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rgb="FFFF00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5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8" fontId="2" fillId="0" borderId="1" xfId="0" applyNumberFormat="1" applyFont="1" applyFill="1" applyBorder="1" applyAlignment="1">
      <alignment horizontal="left" vertical="center"/>
    </xf>
    <xf numFmtId="14" fontId="2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8" fontId="2" fillId="6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 vertical="center"/>
    </xf>
    <xf numFmtId="165" fontId="2" fillId="0" borderId="1" xfId="0" applyNumberFormat="1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69" fontId="2" fillId="0" borderId="1" xfId="1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right" vertical="center"/>
    </xf>
    <xf numFmtId="169" fontId="2" fillId="0" borderId="1" xfId="1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1" xfId="1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232"/>
  <sheetViews>
    <sheetView topLeftCell="A32" zoomScale="90" zoomScaleNormal="90" workbookViewId="0">
      <selection activeCell="D52" sqref="D52"/>
    </sheetView>
  </sheetViews>
  <sheetFormatPr baseColWidth="10" defaultColWidth="10.85546875" defaultRowHeight="15.75" x14ac:dyDescent="0.25"/>
  <cols>
    <col min="1" max="1" width="5.5703125" style="2" customWidth="1"/>
    <col min="2" max="2" width="13.140625" style="2" bestFit="1" customWidth="1"/>
    <col min="3" max="3" width="75.7109375" style="2" customWidth="1"/>
    <col min="4" max="5" width="15.5703125" style="2" customWidth="1"/>
    <col min="6" max="6" width="17.28515625" style="2" bestFit="1" customWidth="1"/>
    <col min="7" max="8" width="15.5703125" style="2" customWidth="1"/>
    <col min="9" max="9" width="89.5703125" style="2" bestFit="1" customWidth="1"/>
    <col min="10" max="16384" width="10.85546875" style="2"/>
  </cols>
  <sheetData>
    <row r="1" spans="1: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20.100000000000001" customHeight="1" x14ac:dyDescent="0.25">
      <c r="A3" s="3">
        <v>1</v>
      </c>
      <c r="B3" s="4" t="s">
        <v>18</v>
      </c>
      <c r="C3" s="5" t="s">
        <v>19</v>
      </c>
      <c r="D3" s="6">
        <v>38426</v>
      </c>
      <c r="E3" s="6">
        <v>39406</v>
      </c>
      <c r="F3" s="7" t="s">
        <v>20</v>
      </c>
      <c r="G3" s="7">
        <v>1</v>
      </c>
      <c r="H3" s="7">
        <v>10</v>
      </c>
      <c r="I3" s="5" t="str">
        <f t="shared" ref="I3:I14" si="0">CONCATENATE("(",A3,",'",B3,"','",C3,"','",TEXT(D3,"aaaa-mm-jj"),"','",TEXT(E3,"aaaa-mm-jj"),"',",F3,",",G3,",",H3,"),")</f>
        <v>(1,'ONET-DD','Terminal d\'Exportation Terrestre Deb Deb','2005-03-15','2007-11-20',NULL,1,10),</v>
      </c>
    </row>
    <row r="4" spans="1:9" ht="20.100000000000001" customHeight="1" x14ac:dyDescent="0.25">
      <c r="A4" s="3">
        <v>2</v>
      </c>
      <c r="B4" s="8" t="s">
        <v>21</v>
      </c>
      <c r="C4" s="5" t="s">
        <v>22</v>
      </c>
      <c r="D4" s="6">
        <v>39609</v>
      </c>
      <c r="E4" s="6">
        <v>40436</v>
      </c>
      <c r="F4" s="7" t="s">
        <v>20</v>
      </c>
      <c r="G4" s="7">
        <v>1</v>
      </c>
      <c r="H4" s="7">
        <v>10</v>
      </c>
      <c r="I4" s="5" t="str">
        <f t="shared" si="0"/>
        <v>(2,'ONET-OSS','Terminal d\'Exportation Terrestre Oued Saf Saf','2008-06-10','2010-09-15',NULL,1,10),</v>
      </c>
    </row>
    <row r="5" spans="1:9" ht="20.100000000000001" customHeight="1" x14ac:dyDescent="0.25">
      <c r="A5" s="3">
        <v>3</v>
      </c>
      <c r="B5" s="8" t="s">
        <v>23</v>
      </c>
      <c r="C5" s="5" t="s">
        <v>24</v>
      </c>
      <c r="D5" s="6">
        <v>38827</v>
      </c>
      <c r="E5" s="6">
        <v>39792</v>
      </c>
      <c r="F5" s="7" t="s">
        <v>20</v>
      </c>
      <c r="G5" s="7">
        <v>1</v>
      </c>
      <c r="H5" s="7">
        <v>10</v>
      </c>
      <c r="I5" s="5" t="str">
        <f t="shared" si="0"/>
        <v>(3,'ONET-BS','Terminal d\'Exportation Terrestre Beni Saf','2006-04-20','2008-12-10',NULL,1,10),</v>
      </c>
    </row>
    <row r="6" spans="1:9" ht="20.100000000000001" customHeight="1" x14ac:dyDescent="0.25">
      <c r="A6" s="3">
        <v>4</v>
      </c>
      <c r="B6" s="8" t="s">
        <v>25</v>
      </c>
      <c r="C6" s="9" t="s">
        <v>26</v>
      </c>
      <c r="D6" s="6">
        <v>40909</v>
      </c>
      <c r="E6" s="6">
        <v>40909</v>
      </c>
      <c r="F6" s="7" t="s">
        <v>20</v>
      </c>
      <c r="G6" s="7">
        <v>1</v>
      </c>
      <c r="H6" s="7">
        <v>10</v>
      </c>
      <c r="I6" s="5" t="str">
        <f t="shared" si="0"/>
        <v>(4,'ONET-KL','Terminal d\'Exportation Terrestre El Kala','2012-01-01','2012-01-01',NULL,1,10),</v>
      </c>
    </row>
    <row r="7" spans="1:9" ht="20.100000000000001" customHeight="1" x14ac:dyDescent="0.25">
      <c r="A7" s="3">
        <v>5</v>
      </c>
      <c r="B7" s="8" t="s">
        <v>27</v>
      </c>
      <c r="C7" s="5" t="s">
        <v>28</v>
      </c>
      <c r="D7" s="6">
        <v>28505</v>
      </c>
      <c r="E7" s="6">
        <v>29757</v>
      </c>
      <c r="F7" s="7" t="s">
        <v>20</v>
      </c>
      <c r="G7" s="7">
        <v>1</v>
      </c>
      <c r="H7" s="7">
        <v>10</v>
      </c>
      <c r="I7" s="5" t="str">
        <f t="shared" si="0"/>
        <v>(5,'DZAZW','Terminal d\'Exportation Maritime Export port','1978-01-15','1981-06-20',NULL,1,10),</v>
      </c>
    </row>
    <row r="8" spans="1:9" ht="20.100000000000001" customHeight="1" x14ac:dyDescent="0.25">
      <c r="A8" s="3">
        <v>6</v>
      </c>
      <c r="B8" s="8" t="s">
        <v>29</v>
      </c>
      <c r="C8" s="5" t="s">
        <v>28</v>
      </c>
      <c r="D8" s="6">
        <v>26368</v>
      </c>
      <c r="E8" s="6">
        <v>27662</v>
      </c>
      <c r="F8" s="7" t="s">
        <v>20</v>
      </c>
      <c r="G8" s="7">
        <v>1</v>
      </c>
      <c r="H8" s="7">
        <v>10</v>
      </c>
      <c r="I8" s="5" t="str">
        <f t="shared" si="0"/>
        <v>(6,'DZSKI','Terminal d\'Exportation Maritime Export port','1972-03-10','1975-09-25',NULL,1,10),</v>
      </c>
    </row>
    <row r="9" spans="1:9" ht="20.100000000000001" customHeight="1" x14ac:dyDescent="0.25">
      <c r="A9" s="3">
        <v>7</v>
      </c>
      <c r="B9" s="8" t="s">
        <v>30</v>
      </c>
      <c r="C9" s="5" t="s">
        <v>28</v>
      </c>
      <c r="D9" s="6">
        <v>35927</v>
      </c>
      <c r="E9" s="6">
        <v>36968</v>
      </c>
      <c r="F9" s="7" t="s">
        <v>20</v>
      </c>
      <c r="G9" s="7">
        <v>1</v>
      </c>
      <c r="H9" s="7">
        <v>10</v>
      </c>
      <c r="I9" s="5" t="str">
        <f t="shared" si="0"/>
        <v>(7,'DZBJA','Terminal d\'Exportation Maritime Export port','1998-05-12','2001-03-18',NULL,1,10),</v>
      </c>
    </row>
    <row r="10" spans="1:9" ht="20.100000000000001" customHeight="1" x14ac:dyDescent="0.25">
      <c r="A10" s="3">
        <v>8</v>
      </c>
      <c r="B10" s="8" t="s">
        <v>31</v>
      </c>
      <c r="C10" s="5" t="s">
        <v>32</v>
      </c>
      <c r="D10" s="6">
        <v>37660</v>
      </c>
      <c r="E10" s="6">
        <v>38640</v>
      </c>
      <c r="F10" s="7" t="s">
        <v>20</v>
      </c>
      <c r="G10" s="7">
        <v>1</v>
      </c>
      <c r="H10" s="7">
        <v>10</v>
      </c>
      <c r="I10" s="5" t="str">
        <f t="shared" si="0"/>
        <v>(8,'CDHL','Terminal de Distribution CDHL','2003-02-08','2005-10-15',NULL,1,10),</v>
      </c>
    </row>
    <row r="11" spans="1:9" ht="20.100000000000001" customHeight="1" x14ac:dyDescent="0.25">
      <c r="A11" s="3">
        <v>9</v>
      </c>
      <c r="B11" s="8" t="s">
        <v>33</v>
      </c>
      <c r="C11" s="5" t="s">
        <v>34</v>
      </c>
      <c r="D11" s="6">
        <v>38188</v>
      </c>
      <c r="E11" s="6">
        <v>39051</v>
      </c>
      <c r="F11" s="7" t="s">
        <v>20</v>
      </c>
      <c r="G11" s="7">
        <v>1</v>
      </c>
      <c r="H11" s="7">
        <v>10</v>
      </c>
      <c r="I11" s="5" t="str">
        <f t="shared" si="0"/>
        <v>(9,'CNDG','Terminal de Distribution CNDG','2004-07-20','2006-11-30',NULL,1,10),</v>
      </c>
    </row>
    <row r="12" spans="1:9" ht="20.100000000000001" customHeight="1" x14ac:dyDescent="0.25">
      <c r="A12" s="3">
        <v>10</v>
      </c>
      <c r="B12" s="8" t="s">
        <v>35</v>
      </c>
      <c r="C12" s="5" t="s">
        <v>36</v>
      </c>
      <c r="D12" s="6">
        <v>39340</v>
      </c>
      <c r="E12" s="6">
        <v>40047</v>
      </c>
      <c r="F12" s="7" t="s">
        <v>20</v>
      </c>
      <c r="G12" s="7">
        <v>1</v>
      </c>
      <c r="H12" s="7">
        <v>10</v>
      </c>
      <c r="I12" s="5" t="str">
        <f t="shared" si="0"/>
        <v>(10,'DT-MED','Terminal de Distribution Medjedel','2007-09-15','2009-08-22',NULL,1,10),</v>
      </c>
    </row>
    <row r="13" spans="1:9" ht="20.100000000000001" customHeight="1" x14ac:dyDescent="0.25">
      <c r="A13" s="3">
        <v>11</v>
      </c>
      <c r="B13" s="8" t="s">
        <v>37</v>
      </c>
      <c r="C13" s="5" t="s">
        <v>38</v>
      </c>
      <c r="D13" s="6">
        <v>39556</v>
      </c>
      <c r="E13" s="6">
        <v>40371</v>
      </c>
      <c r="F13" s="7" t="s">
        <v>20</v>
      </c>
      <c r="G13" s="7">
        <v>1</v>
      </c>
      <c r="H13" s="7">
        <v>10</v>
      </c>
      <c r="I13" s="5" t="str">
        <f t="shared" si="0"/>
        <v>(11,'DT-MSL','Terminal de Distribution M\'Sila','2008-04-18','2010-07-12',NULL,1,10),</v>
      </c>
    </row>
    <row r="14" spans="1:9" ht="20.100000000000001" customHeight="1" x14ac:dyDescent="0.25">
      <c r="A14" s="3">
        <v>12</v>
      </c>
      <c r="B14" s="8" t="s">
        <v>39</v>
      </c>
      <c r="C14" s="5" t="s">
        <v>40</v>
      </c>
      <c r="D14" s="6">
        <v>40122</v>
      </c>
      <c r="E14" s="6">
        <v>40719</v>
      </c>
      <c r="F14" s="7" t="s">
        <v>20</v>
      </c>
      <c r="G14" s="7">
        <v>1</v>
      </c>
      <c r="H14" s="7">
        <v>10</v>
      </c>
      <c r="I14" s="5" t="str">
        <f t="shared" si="0"/>
        <v>(12,'DT-DJM','Terminal de Distribution SP1 Bis Djamaa','2009-11-05','2011-06-25',NULL,1,10),</v>
      </c>
    </row>
    <row r="15" spans="1:9" ht="20.100000000000001" customHeight="1" x14ac:dyDescent="0.25">
      <c r="A15" s="3">
        <v>13</v>
      </c>
      <c r="B15" s="8" t="s">
        <v>41</v>
      </c>
      <c r="C15" s="9" t="s">
        <v>42</v>
      </c>
      <c r="D15" s="6">
        <v>40179</v>
      </c>
      <c r="E15" s="6">
        <v>40179</v>
      </c>
      <c r="F15" s="7" t="s">
        <v>20</v>
      </c>
      <c r="G15" s="7">
        <v>1</v>
      </c>
      <c r="H15" s="7">
        <v>10</v>
      </c>
      <c r="I15" s="5"/>
    </row>
    <row r="16" spans="1:9" ht="20.100000000000001" customHeight="1" x14ac:dyDescent="0.25">
      <c r="A16" s="3">
        <v>14</v>
      </c>
      <c r="B16" s="8" t="s">
        <v>43</v>
      </c>
      <c r="C16" s="5" t="s">
        <v>44</v>
      </c>
      <c r="D16" s="6">
        <v>40249</v>
      </c>
      <c r="E16" s="6">
        <v>41160</v>
      </c>
      <c r="F16" s="7" t="s">
        <v>20</v>
      </c>
      <c r="G16" s="7">
        <v>1</v>
      </c>
      <c r="H16" s="7">
        <v>10</v>
      </c>
      <c r="I16" s="5" t="str">
        <f t="shared" ref="I16:I79" si="1">CONCATENATE("(",A16,",'",B16,"','",C16,"','",TEXT(D16,"aaaa-mm-jj"),"','",TEXT(E16,"aaaa-mm-jj"),"',",F16,",",G16,",",H16,"),")</f>
        <v>(14,'TT-ARH','Terminal de Transfert Al Aricha','2010-03-12','2012-09-08',NULL,1,10),</v>
      </c>
    </row>
    <row r="17" spans="1:9" ht="20.100000000000001" customHeight="1" x14ac:dyDescent="0.25">
      <c r="A17" s="3">
        <v>15</v>
      </c>
      <c r="B17" s="8" t="s">
        <v>45</v>
      </c>
      <c r="C17" s="5" t="s">
        <v>46</v>
      </c>
      <c r="D17" s="6">
        <v>40683</v>
      </c>
      <c r="E17" s="6">
        <v>41593</v>
      </c>
      <c r="F17" s="7" t="s">
        <v>20</v>
      </c>
      <c r="G17" s="7">
        <v>1</v>
      </c>
      <c r="H17" s="7">
        <v>10</v>
      </c>
      <c r="I17" s="5" t="str">
        <f t="shared" si="1"/>
        <v>(15,'TT-BNM','Terminal de Transfert Beni Mensour','2011-05-20','2013-11-15',NULL,1,10),</v>
      </c>
    </row>
    <row r="18" spans="1:9" ht="20.100000000000001" customHeight="1" x14ac:dyDescent="0.25">
      <c r="A18" s="3">
        <v>16</v>
      </c>
      <c r="B18" s="8" t="s">
        <v>47</v>
      </c>
      <c r="C18" s="5" t="s">
        <v>48</v>
      </c>
      <c r="D18" s="6">
        <v>37478</v>
      </c>
      <c r="E18" s="6">
        <v>38341</v>
      </c>
      <c r="F18" s="7" t="s">
        <v>20</v>
      </c>
      <c r="G18" s="7">
        <v>1</v>
      </c>
      <c r="H18" s="7">
        <v>10</v>
      </c>
      <c r="I18" s="5" t="str">
        <f t="shared" si="1"/>
        <v>(16,'TT-HMD','Terminal de Transfert Hassi Messaoud','2002-08-10','2004-12-20',NULL,1,10),</v>
      </c>
    </row>
    <row r="19" spans="1:9" ht="20.100000000000001" customHeight="1" x14ac:dyDescent="0.25">
      <c r="A19" s="3">
        <v>17</v>
      </c>
      <c r="B19" s="8" t="s">
        <v>49</v>
      </c>
      <c r="C19" s="5" t="s">
        <v>50</v>
      </c>
      <c r="D19" s="6">
        <v>38518</v>
      </c>
      <c r="E19" s="6">
        <v>39385</v>
      </c>
      <c r="F19" s="7" t="s">
        <v>20</v>
      </c>
      <c r="G19" s="7">
        <v>1</v>
      </c>
      <c r="H19" s="7">
        <v>10</v>
      </c>
      <c r="I19" s="5" t="str">
        <f t="shared" si="1"/>
        <v>(17,'TT-MSD','Terminal de Transfert Mesdar','2005-06-15','2007-10-30',NULL,1,10),</v>
      </c>
    </row>
    <row r="20" spans="1:9" ht="20.100000000000001" customHeight="1" x14ac:dyDescent="0.25">
      <c r="A20" s="3">
        <v>18</v>
      </c>
      <c r="B20" s="8" t="s">
        <v>51</v>
      </c>
      <c r="C20" s="5" t="s">
        <v>52</v>
      </c>
      <c r="D20" s="6">
        <v>38982</v>
      </c>
      <c r="E20" s="6">
        <v>39678</v>
      </c>
      <c r="F20" s="7" t="s">
        <v>20</v>
      </c>
      <c r="G20" s="7">
        <v>1</v>
      </c>
      <c r="H20" s="7">
        <v>10</v>
      </c>
      <c r="I20" s="5" t="str">
        <f t="shared" si="1"/>
        <v>(18,'TT-OHT','Terminal de Transfert Ohanet','2006-09-22','2008-08-18',NULL,1,10),</v>
      </c>
    </row>
    <row r="21" spans="1:9" ht="20.100000000000001" customHeight="1" x14ac:dyDescent="0.25">
      <c r="A21" s="3">
        <v>19</v>
      </c>
      <c r="B21" s="8" t="s">
        <v>53</v>
      </c>
      <c r="C21" s="5" t="s">
        <v>54</v>
      </c>
      <c r="D21" s="6">
        <v>39421</v>
      </c>
      <c r="E21" s="6">
        <v>40014</v>
      </c>
      <c r="F21" s="7" t="s">
        <v>20</v>
      </c>
      <c r="G21" s="7">
        <v>1</v>
      </c>
      <c r="H21" s="7">
        <v>10</v>
      </c>
      <c r="I21" s="5" t="str">
        <f t="shared" si="1"/>
        <v>(19,'TT-137','Terminal de Transfert PC1/PK137','2007-12-05','2009-07-20',NULL,1,10),</v>
      </c>
    </row>
    <row r="22" spans="1:9" ht="20.100000000000001" customHeight="1" x14ac:dyDescent="0.25">
      <c r="A22" s="3">
        <v>20</v>
      </c>
      <c r="B22" s="8" t="s">
        <v>55</v>
      </c>
      <c r="C22" s="5" t="s">
        <v>56</v>
      </c>
      <c r="D22" s="6">
        <v>39525</v>
      </c>
      <c r="E22" s="6">
        <v>40323</v>
      </c>
      <c r="F22" s="7" t="s">
        <v>20</v>
      </c>
      <c r="G22" s="7">
        <v>1</v>
      </c>
      <c r="H22" s="7">
        <v>10</v>
      </c>
      <c r="I22" s="5" t="str">
        <f t="shared" si="1"/>
        <v>(20,'TT-RDN','Terminal de Transfert Rhoude Nouss','2008-03-18','2010-05-25',NULL,1,10),</v>
      </c>
    </row>
    <row r="23" spans="1:9" ht="20.100000000000001" customHeight="1" x14ac:dyDescent="0.25">
      <c r="A23" s="3">
        <v>21</v>
      </c>
      <c r="B23" s="8" t="s">
        <v>57</v>
      </c>
      <c r="C23" s="5" t="s">
        <v>58</v>
      </c>
      <c r="D23" s="6">
        <v>34709</v>
      </c>
      <c r="E23" s="6">
        <v>35688</v>
      </c>
      <c r="F23" s="7" t="s">
        <v>20</v>
      </c>
      <c r="G23" s="7">
        <v>1</v>
      </c>
      <c r="H23" s="7">
        <v>10</v>
      </c>
      <c r="I23" s="5" t="str">
        <f t="shared" si="1"/>
        <v>(21,'PT-ALG','Terminal de Pipeline Alger','1995-01-10','1997-09-15',NULL,1,10),</v>
      </c>
    </row>
    <row r="24" spans="1:9" ht="20.100000000000001" customHeight="1" x14ac:dyDescent="0.25">
      <c r="A24" s="3">
        <v>22</v>
      </c>
      <c r="B24" s="8" t="s">
        <v>59</v>
      </c>
      <c r="C24" s="5" t="s">
        <v>60</v>
      </c>
      <c r="D24" s="6">
        <v>35907</v>
      </c>
      <c r="E24" s="6">
        <v>36860</v>
      </c>
      <c r="F24" s="7" t="s">
        <v>20</v>
      </c>
      <c r="G24" s="7">
        <v>1</v>
      </c>
      <c r="H24" s="7">
        <v>10</v>
      </c>
      <c r="I24" s="5" t="str">
        <f t="shared" si="1"/>
        <v>(22,'PT-ALR','Terminal de Pipeline Alrar','1998-04-22','2000-11-30',NULL,1,10),</v>
      </c>
    </row>
    <row r="25" spans="1:9" ht="20.100000000000001" customHeight="1" x14ac:dyDescent="0.25">
      <c r="A25" s="3">
        <v>23</v>
      </c>
      <c r="B25" s="8" t="s">
        <v>61</v>
      </c>
      <c r="C25" s="5" t="s">
        <v>62</v>
      </c>
      <c r="D25" s="6">
        <v>29387</v>
      </c>
      <c r="E25" s="6">
        <v>30375</v>
      </c>
      <c r="F25" s="7" t="s">
        <v>20</v>
      </c>
      <c r="G25" s="7">
        <v>1</v>
      </c>
      <c r="H25" s="7">
        <v>10</v>
      </c>
      <c r="I25" s="5" t="str">
        <f t="shared" si="1"/>
        <v>(23,'PR-ARZ','Terminal de Pipeline Arzew','1980-06-15','1983-02-28',NULL,1,10),</v>
      </c>
    </row>
    <row r="26" spans="1:9" ht="20.100000000000001" customHeight="1" x14ac:dyDescent="0.25">
      <c r="A26" s="3">
        <v>24</v>
      </c>
      <c r="B26" s="8" t="s">
        <v>63</v>
      </c>
      <c r="C26" s="5" t="s">
        <v>64</v>
      </c>
      <c r="D26" s="6">
        <v>35662</v>
      </c>
      <c r="E26" s="6">
        <v>36504</v>
      </c>
      <c r="F26" s="7" t="s">
        <v>20</v>
      </c>
      <c r="G26" s="7">
        <v>1</v>
      </c>
      <c r="H26" s="7">
        <v>10</v>
      </c>
      <c r="I26" s="5" t="str">
        <f t="shared" si="1"/>
        <v>(24,'PT-BJA','Terminal de Pipeline Bejaia','1997-08-20','1999-12-10',NULL,1,10),</v>
      </c>
    </row>
    <row r="27" spans="1:9" ht="20.100000000000001" customHeight="1" x14ac:dyDescent="0.25">
      <c r="A27" s="3">
        <v>25</v>
      </c>
      <c r="B27" s="8" t="s">
        <v>65</v>
      </c>
      <c r="C27" s="5" t="s">
        <v>66</v>
      </c>
      <c r="D27" s="6">
        <v>36965</v>
      </c>
      <c r="E27" s="6">
        <v>37827</v>
      </c>
      <c r="F27" s="7" t="s">
        <v>20</v>
      </c>
      <c r="G27" s="7">
        <v>1</v>
      </c>
      <c r="H27" s="7">
        <v>10</v>
      </c>
      <c r="I27" s="5" t="str">
        <f t="shared" si="1"/>
        <v>(25,'PT-BRN','Terminal de Pipeline Bir Rebaa North','2001-03-15','2003-07-25',NULL,1,10),</v>
      </c>
    </row>
    <row r="28" spans="1:9" ht="20.100000000000001" customHeight="1" x14ac:dyDescent="0.25">
      <c r="A28" s="3">
        <v>26</v>
      </c>
      <c r="B28" s="8" t="s">
        <v>67</v>
      </c>
      <c r="C28" s="5" t="s">
        <v>68</v>
      </c>
      <c r="D28" s="6">
        <v>35377</v>
      </c>
      <c r="E28" s="6">
        <v>36029</v>
      </c>
      <c r="F28" s="7" t="s">
        <v>20</v>
      </c>
      <c r="G28" s="7">
        <v>1</v>
      </c>
      <c r="H28" s="7">
        <v>10</v>
      </c>
      <c r="I28" s="5" t="str">
        <f t="shared" si="1"/>
        <v>(26,'PT-BMN','Terminal de Pipeline Bord Menaiel','1996-11-08','1998-08-22',NULL,1,10),</v>
      </c>
    </row>
    <row r="29" spans="1:9" ht="20.100000000000001" customHeight="1" x14ac:dyDescent="0.25">
      <c r="A29" s="3">
        <v>27</v>
      </c>
      <c r="B29" s="8" t="s">
        <v>69</v>
      </c>
      <c r="C29" s="5" t="s">
        <v>70</v>
      </c>
      <c r="D29" s="6">
        <v>36658</v>
      </c>
      <c r="E29" s="6">
        <v>37547</v>
      </c>
      <c r="F29" s="7" t="s">
        <v>20</v>
      </c>
      <c r="G29" s="7">
        <v>1</v>
      </c>
      <c r="H29" s="7">
        <v>10</v>
      </c>
      <c r="I29" s="5" t="str">
        <f t="shared" si="1"/>
        <v>(27,'PT-BRM','Terminal de Pipeline El Borma','2000-05-12','2002-10-18',NULL,1,10),</v>
      </c>
    </row>
    <row r="30" spans="1:9" ht="20.100000000000001" customHeight="1" x14ac:dyDescent="0.25">
      <c r="A30" s="3">
        <v>28</v>
      </c>
      <c r="B30" s="8" t="s">
        <v>71</v>
      </c>
      <c r="C30" s="5" t="s">
        <v>72</v>
      </c>
      <c r="D30" s="6">
        <v>37869</v>
      </c>
      <c r="E30" s="6">
        <v>38523</v>
      </c>
      <c r="F30" s="7" t="s">
        <v>20</v>
      </c>
      <c r="G30" s="7">
        <v>1</v>
      </c>
      <c r="H30" s="7">
        <v>10</v>
      </c>
      <c r="I30" s="5" t="str">
        <f t="shared" si="1"/>
        <v>(28,'PT-GST','Terminal de Pipeline Gassi Touil','2003-09-05','2005-06-20',NULL,1,10),</v>
      </c>
    </row>
    <row r="31" spans="1:9" ht="20.100000000000001" customHeight="1" x14ac:dyDescent="0.25">
      <c r="A31" s="3">
        <v>29</v>
      </c>
      <c r="B31" s="8" t="s">
        <v>73</v>
      </c>
      <c r="C31" s="5" t="s">
        <v>74</v>
      </c>
      <c r="D31" s="6">
        <v>38035</v>
      </c>
      <c r="E31" s="6">
        <v>38837</v>
      </c>
      <c r="F31" s="7" t="s">
        <v>20</v>
      </c>
      <c r="G31" s="7">
        <v>1</v>
      </c>
      <c r="H31" s="7">
        <v>10</v>
      </c>
      <c r="I31" s="5" t="str">
        <f t="shared" si="1"/>
        <v>(29,'PT-HBK','Terminal de Pipeline Hassi Berkine','2004-02-18','2006-04-30',NULL,1,10),</v>
      </c>
    </row>
    <row r="32" spans="1:9" ht="20.100000000000001" customHeight="1" x14ac:dyDescent="0.25">
      <c r="A32" s="3">
        <v>30</v>
      </c>
      <c r="B32" s="8" t="s">
        <v>75</v>
      </c>
      <c r="C32" s="5" t="s">
        <v>76</v>
      </c>
      <c r="D32" s="6">
        <v>38555</v>
      </c>
      <c r="E32" s="6">
        <v>39340</v>
      </c>
      <c r="F32" s="7" t="s">
        <v>20</v>
      </c>
      <c r="G32" s="7">
        <v>1</v>
      </c>
      <c r="H32" s="7">
        <v>10</v>
      </c>
      <c r="I32" s="5" t="str">
        <f t="shared" si="1"/>
        <v>(30,'PT-HTJ','Terminal de Pipeline Hassi tedjirane','2005-07-22','2007-09-15',NULL,1,10),</v>
      </c>
    </row>
    <row r="33" spans="1:9" ht="20.100000000000001" customHeight="1" x14ac:dyDescent="0.25">
      <c r="A33" s="3">
        <v>31</v>
      </c>
      <c r="B33" s="8" t="s">
        <v>77</v>
      </c>
      <c r="C33" s="5" t="s">
        <v>78</v>
      </c>
      <c r="D33" s="6">
        <v>37537</v>
      </c>
      <c r="E33" s="6">
        <v>38224</v>
      </c>
      <c r="F33" s="7" t="s">
        <v>20</v>
      </c>
      <c r="G33" s="7">
        <v>1</v>
      </c>
      <c r="H33" s="7">
        <v>10</v>
      </c>
      <c r="I33" s="5" t="str">
        <f t="shared" si="1"/>
        <v>(31,'PT-NMS','Terminal de Pipeline In Amenas','2002-10-08','2004-08-25',NULL,1,10),</v>
      </c>
    </row>
    <row r="34" spans="1:9" ht="20.100000000000001" customHeight="1" x14ac:dyDescent="0.25">
      <c r="A34" s="3">
        <v>32</v>
      </c>
      <c r="B34" s="8" t="s">
        <v>79</v>
      </c>
      <c r="C34" s="5" t="s">
        <v>80</v>
      </c>
      <c r="D34" s="6">
        <v>39066</v>
      </c>
      <c r="E34" s="6">
        <v>39772</v>
      </c>
      <c r="F34" s="7" t="s">
        <v>20</v>
      </c>
      <c r="G34" s="7">
        <v>1</v>
      </c>
      <c r="H34" s="7">
        <v>10</v>
      </c>
      <c r="I34" s="5" t="str">
        <f t="shared" si="1"/>
        <v>(32,'PT-NSL','Terminal de Pipeline In Salah','2006-12-15','2008-11-20',NULL,1,10),</v>
      </c>
    </row>
    <row r="35" spans="1:9" ht="20.100000000000001" customHeight="1" x14ac:dyDescent="0.25">
      <c r="A35" s="3">
        <v>33</v>
      </c>
      <c r="B35" s="8" t="s">
        <v>81</v>
      </c>
      <c r="C35" s="5" t="s">
        <v>82</v>
      </c>
      <c r="D35" s="6">
        <v>35509</v>
      </c>
      <c r="E35" s="6">
        <v>36290</v>
      </c>
      <c r="F35" s="7" t="s">
        <v>20</v>
      </c>
      <c r="G35" s="7">
        <v>1</v>
      </c>
      <c r="H35" s="7">
        <v>10</v>
      </c>
      <c r="I35" s="5" t="str">
        <f t="shared" si="1"/>
        <v>(33,'PT-ISR','Terminal de Pipeline Isser','1997-03-20','1999-05-10',NULL,1,10),</v>
      </c>
    </row>
    <row r="36" spans="1:9" ht="20.100000000000001" customHeight="1" x14ac:dyDescent="0.25">
      <c r="A36" s="3">
        <v>34</v>
      </c>
      <c r="B36" s="8" t="s">
        <v>83</v>
      </c>
      <c r="C36" s="5" t="s">
        <v>84</v>
      </c>
      <c r="D36" s="6">
        <v>40341</v>
      </c>
      <c r="E36" s="6">
        <v>41212</v>
      </c>
      <c r="F36" s="7" t="s">
        <v>20</v>
      </c>
      <c r="G36" s="7">
        <v>1</v>
      </c>
      <c r="H36" s="7">
        <v>10</v>
      </c>
      <c r="I36" s="5" t="str">
        <f t="shared" si="1"/>
        <v>(34,'PT-RGN','Terminal de Pipeline Reggane','2010-06-12','2012-10-30',NULL,1,10),</v>
      </c>
    </row>
    <row r="37" spans="1:9" ht="20.100000000000001" customHeight="1" x14ac:dyDescent="0.25">
      <c r="A37" s="3">
        <v>35</v>
      </c>
      <c r="B37" s="8" t="s">
        <v>85</v>
      </c>
      <c r="C37" s="5" t="s">
        <v>86</v>
      </c>
      <c r="D37" s="6">
        <v>37152</v>
      </c>
      <c r="E37" s="6">
        <v>37977</v>
      </c>
      <c r="F37" s="7" t="s">
        <v>20</v>
      </c>
      <c r="G37" s="7">
        <v>1</v>
      </c>
      <c r="H37" s="7">
        <v>10</v>
      </c>
      <c r="I37" s="5" t="str">
        <f t="shared" si="1"/>
        <v>(35,'PT-RBL','Terminal de Pipeline Rhoude El Baguel','2001-09-18','2003-12-22',NULL,1,10),</v>
      </c>
    </row>
    <row r="38" spans="1:9" ht="20.100000000000001" customHeight="1" x14ac:dyDescent="0.25">
      <c r="A38" s="3">
        <v>36</v>
      </c>
      <c r="B38" s="8" t="s">
        <v>87</v>
      </c>
      <c r="C38" s="5" t="s">
        <v>88</v>
      </c>
      <c r="D38" s="6">
        <v>27494</v>
      </c>
      <c r="E38" s="6">
        <v>28505</v>
      </c>
      <c r="F38" s="7" t="s">
        <v>20</v>
      </c>
      <c r="G38" s="7">
        <v>1</v>
      </c>
      <c r="H38" s="7">
        <v>10</v>
      </c>
      <c r="I38" s="5" t="str">
        <f t="shared" si="1"/>
        <v>(36,'PT-SKD','Terminal de Pipeline Skikda','1975-04-10','1978-01-15',NULL,1,10),</v>
      </c>
    </row>
    <row r="39" spans="1:9" ht="20.100000000000001" customHeight="1" x14ac:dyDescent="0.25">
      <c r="A39" s="3">
        <v>37</v>
      </c>
      <c r="B39" s="8" t="s">
        <v>3348</v>
      </c>
      <c r="C39" s="5" t="s">
        <v>3340</v>
      </c>
      <c r="D39" s="6">
        <v>36540</v>
      </c>
      <c r="E39" s="6">
        <v>37154</v>
      </c>
      <c r="F39" s="7" t="s">
        <v>20</v>
      </c>
      <c r="G39" s="7">
        <v>0</v>
      </c>
      <c r="H39" s="7">
        <v>10</v>
      </c>
      <c r="I39" s="5" t="str">
        <f t="shared" si="1"/>
        <v>(37,'SP1-OZ1/OZ2','Station de Pompage SP1-OZ1/OZ2','Saturday-01-jj','Thursday-09-jj',NULL,0,10),</v>
      </c>
    </row>
    <row r="40" spans="1:9" ht="20.100000000000001" customHeight="1" x14ac:dyDescent="0.25">
      <c r="A40" s="10">
        <v>38</v>
      </c>
      <c r="B40" s="11" t="s">
        <v>3084</v>
      </c>
      <c r="C40" s="9" t="s">
        <v>3085</v>
      </c>
      <c r="D40" s="12">
        <v>36540</v>
      </c>
      <c r="E40" s="12">
        <v>37154</v>
      </c>
      <c r="F40" s="13" t="s">
        <v>20</v>
      </c>
      <c r="G40" s="13">
        <v>1</v>
      </c>
      <c r="H40" s="13">
        <v>10</v>
      </c>
      <c r="I40" s="9" t="str">
        <f t="shared" si="1"/>
        <v>(38,'SP1-OZ1','Station de Pompage SP1-OZ1','Saturday-01-jj','Thursday-09-jj',NULL,1,10),</v>
      </c>
    </row>
    <row r="41" spans="1:9" ht="20.100000000000001" customHeight="1" x14ac:dyDescent="0.25">
      <c r="A41" s="3">
        <v>39</v>
      </c>
      <c r="B41" s="8" t="s">
        <v>3347</v>
      </c>
      <c r="C41" s="5" t="s">
        <v>3341</v>
      </c>
      <c r="D41" s="6">
        <v>36960</v>
      </c>
      <c r="E41" s="6">
        <v>37575</v>
      </c>
      <c r="F41" s="7" t="s">
        <v>20</v>
      </c>
      <c r="G41" s="7">
        <v>0</v>
      </c>
      <c r="H41" s="7">
        <v>10</v>
      </c>
      <c r="I41" s="5" t="str">
        <f t="shared" si="1"/>
        <v>(39,'SP2-OZ1/OZ2','Station de Pompage SP2-OZ1/OZ2','Saturday-03-jj','Friday-11-jj',NULL,0,10),</v>
      </c>
    </row>
    <row r="42" spans="1:9" ht="20.100000000000001" customHeight="1" x14ac:dyDescent="0.25">
      <c r="A42" s="10">
        <v>40</v>
      </c>
      <c r="B42" s="11" t="s">
        <v>3086</v>
      </c>
      <c r="C42" s="9" t="s">
        <v>3087</v>
      </c>
      <c r="D42" s="12">
        <v>36960</v>
      </c>
      <c r="E42" s="12">
        <v>37575</v>
      </c>
      <c r="F42" s="13" t="s">
        <v>20</v>
      </c>
      <c r="G42" s="13">
        <v>1</v>
      </c>
      <c r="H42" s="13">
        <v>10</v>
      </c>
      <c r="I42" s="9" t="str">
        <f t="shared" si="1"/>
        <v>(40,'SP2-OZ1','Station de Pompage SP2-OZ1','Saturday-03-jj','Friday-11-jj',NULL,1,10),</v>
      </c>
    </row>
    <row r="43" spans="1:9" ht="20.100000000000001" customHeight="1" x14ac:dyDescent="0.25">
      <c r="A43" s="3">
        <v>41</v>
      </c>
      <c r="B43" s="8" t="s">
        <v>3346</v>
      </c>
      <c r="C43" s="5" t="s">
        <v>3341</v>
      </c>
      <c r="D43" s="6">
        <v>37396</v>
      </c>
      <c r="E43" s="6">
        <v>37985</v>
      </c>
      <c r="F43" s="7" t="s">
        <v>20</v>
      </c>
      <c r="G43" s="7">
        <v>0</v>
      </c>
      <c r="H43" s="7">
        <v>10</v>
      </c>
      <c r="I43" s="5" t="str">
        <f t="shared" si="1"/>
        <v>(41,'SP3-OZ1/OZ2','Station de Pompage SP2-OZ1/OZ2','Monday-05-jj','Tuesday-12-jj',NULL,0,10),</v>
      </c>
    </row>
    <row r="44" spans="1:9" ht="20.100000000000001" customHeight="1" x14ac:dyDescent="0.25">
      <c r="A44" s="10">
        <v>42</v>
      </c>
      <c r="B44" s="11" t="s">
        <v>3088</v>
      </c>
      <c r="C44" s="9" t="s">
        <v>3087</v>
      </c>
      <c r="D44" s="12">
        <v>37396</v>
      </c>
      <c r="E44" s="12">
        <v>37985</v>
      </c>
      <c r="F44" s="13" t="s">
        <v>20</v>
      </c>
      <c r="G44" s="13">
        <v>1</v>
      </c>
      <c r="H44" s="13">
        <v>10</v>
      </c>
      <c r="I44" s="9" t="str">
        <f t="shared" si="1"/>
        <v>(42,'SP3-OZ1','Station de Pompage SP2-OZ1','Monday-05-jj','Tuesday-12-jj',NULL,1,10),</v>
      </c>
    </row>
    <row r="45" spans="1:9" ht="20.100000000000001" customHeight="1" x14ac:dyDescent="0.25">
      <c r="A45" s="3">
        <v>43</v>
      </c>
      <c r="B45" s="8" t="s">
        <v>3345</v>
      </c>
      <c r="C45" s="5" t="s">
        <v>3341</v>
      </c>
      <c r="D45" s="6">
        <v>37848</v>
      </c>
      <c r="E45" s="6">
        <v>38433</v>
      </c>
      <c r="F45" s="7" t="s">
        <v>20</v>
      </c>
      <c r="G45" s="7">
        <v>0</v>
      </c>
      <c r="H45" s="7">
        <v>10</v>
      </c>
      <c r="I45" s="5" t="str">
        <f t="shared" si="1"/>
        <v>(43,'SP4-OZ1/OZ2','Station de Pompage SP2-OZ1/OZ2','Friday-08-jj','Tuesday-03-jj',NULL,0,10),</v>
      </c>
    </row>
    <row r="46" spans="1:9" ht="20.100000000000001" customHeight="1" x14ac:dyDescent="0.25">
      <c r="A46" s="10">
        <v>44</v>
      </c>
      <c r="B46" s="11" t="s">
        <v>3089</v>
      </c>
      <c r="C46" s="9" t="s">
        <v>3087</v>
      </c>
      <c r="D46" s="12">
        <v>37848</v>
      </c>
      <c r="E46" s="12">
        <v>38433</v>
      </c>
      <c r="F46" s="13" t="s">
        <v>20</v>
      </c>
      <c r="G46" s="13">
        <v>1</v>
      </c>
      <c r="H46" s="13">
        <v>10</v>
      </c>
      <c r="I46" s="9" t="str">
        <f t="shared" si="1"/>
        <v>(44,'SP4-OZ1','Station de Pompage SP2-OZ1','Friday-08-jj','Tuesday-03-jj',NULL,1,10),</v>
      </c>
    </row>
    <row r="47" spans="1:9" ht="20.100000000000001" customHeight="1" x14ac:dyDescent="0.25">
      <c r="A47" s="3">
        <v>45</v>
      </c>
      <c r="B47" s="8" t="s">
        <v>3344</v>
      </c>
      <c r="C47" s="5" t="s">
        <v>3341</v>
      </c>
      <c r="D47" s="6">
        <v>38265</v>
      </c>
      <c r="E47" s="6">
        <v>38886</v>
      </c>
      <c r="F47" s="7" t="s">
        <v>20</v>
      </c>
      <c r="G47" s="7">
        <v>0</v>
      </c>
      <c r="H47" s="7">
        <v>10</v>
      </c>
      <c r="I47" s="5" t="str">
        <f t="shared" si="1"/>
        <v>(45,'SP5-OZ1/OZ2','Station de Pompage SP2-OZ1/OZ2','Tuesday-10-jj','Sunday-06-jj',NULL,0,10),</v>
      </c>
    </row>
    <row r="48" spans="1:9" ht="20.100000000000001" customHeight="1" x14ac:dyDescent="0.25">
      <c r="A48" s="10">
        <v>46</v>
      </c>
      <c r="B48" s="11" t="s">
        <v>3090</v>
      </c>
      <c r="C48" s="9" t="s">
        <v>3087</v>
      </c>
      <c r="D48" s="12">
        <v>38265</v>
      </c>
      <c r="E48" s="12">
        <v>38886</v>
      </c>
      <c r="F48" s="13" t="s">
        <v>20</v>
      </c>
      <c r="G48" s="13">
        <v>1</v>
      </c>
      <c r="H48" s="13">
        <v>10</v>
      </c>
      <c r="I48" s="9" t="str">
        <f t="shared" si="1"/>
        <v>(46,'SP5-OZ1','Station de Pompage SP2-OZ1','Tuesday-10-jj','Sunday-06-jj',NULL,1,10),</v>
      </c>
    </row>
    <row r="49" spans="1:9" ht="20.100000000000001" customHeight="1" x14ac:dyDescent="0.25">
      <c r="A49" s="3">
        <v>47</v>
      </c>
      <c r="B49" s="8" t="s">
        <v>3342</v>
      </c>
      <c r="C49" s="5" t="s">
        <v>3341</v>
      </c>
      <c r="D49" s="6">
        <v>38698</v>
      </c>
      <c r="E49" s="6">
        <v>39319</v>
      </c>
      <c r="F49" s="7" t="s">
        <v>20</v>
      </c>
      <c r="G49" s="7">
        <v>0</v>
      </c>
      <c r="H49" s="7">
        <v>10</v>
      </c>
      <c r="I49" s="5" t="str">
        <f t="shared" si="1"/>
        <v>(47,'SP6-OZ1/OZ2','Station de Pompage SP2-OZ1/OZ2','Monday-12-jj','Saturday-08-jj',NULL,0,10),</v>
      </c>
    </row>
    <row r="50" spans="1:9" ht="20.100000000000001" customHeight="1" x14ac:dyDescent="0.25">
      <c r="A50" s="10">
        <v>48</v>
      </c>
      <c r="B50" s="11" t="s">
        <v>3091</v>
      </c>
      <c r="C50" s="9" t="s">
        <v>3087</v>
      </c>
      <c r="D50" s="12">
        <v>38698</v>
      </c>
      <c r="E50" s="12">
        <v>39319</v>
      </c>
      <c r="F50" s="13" t="s">
        <v>20</v>
      </c>
      <c r="G50" s="13">
        <v>1</v>
      </c>
      <c r="H50" s="13">
        <v>10</v>
      </c>
      <c r="I50" s="9" t="str">
        <f t="shared" si="1"/>
        <v>(48,'SP6-OZ1','Station de Pompage SP2-OZ1','Monday-12-jj','Saturday-08-jj',NULL,1,10),</v>
      </c>
    </row>
    <row r="51" spans="1:9" ht="20.100000000000001" customHeight="1" x14ac:dyDescent="0.25">
      <c r="A51" s="3">
        <v>49</v>
      </c>
      <c r="B51" s="8" t="s">
        <v>3343</v>
      </c>
      <c r="C51" s="5" t="s">
        <v>3093</v>
      </c>
      <c r="D51" s="6">
        <v>38796</v>
      </c>
      <c r="E51" s="6">
        <v>39396</v>
      </c>
      <c r="F51" s="7" t="s">
        <v>20</v>
      </c>
      <c r="G51" s="7">
        <v>1</v>
      </c>
      <c r="H51" s="7">
        <v>10</v>
      </c>
      <c r="I51" s="5" t="str">
        <f t="shared" si="1"/>
        <v>(49,'PRS-OZ1/OZ2','Station de Régulation PRS-OZ1/OZ2','Monday-03-jj','Saturday-11-jj',NULL,1,10),</v>
      </c>
    </row>
    <row r="52" spans="1:9" ht="20.100000000000001" customHeight="1" x14ac:dyDescent="0.25">
      <c r="A52" s="10">
        <v>50</v>
      </c>
      <c r="B52" s="11" t="s">
        <v>3092</v>
      </c>
      <c r="C52" s="9" t="s">
        <v>3349</v>
      </c>
      <c r="D52" s="12"/>
      <c r="E52" s="12"/>
      <c r="F52" s="13"/>
      <c r="G52" s="13"/>
      <c r="H52" s="13"/>
      <c r="I52" s="9"/>
    </row>
    <row r="53" spans="1:9" ht="20.100000000000001" customHeight="1" x14ac:dyDescent="0.25">
      <c r="A53" s="3">
        <v>51</v>
      </c>
      <c r="B53" s="8" t="s">
        <v>95</v>
      </c>
      <c r="C53" s="5" t="s">
        <v>96</v>
      </c>
      <c r="D53" s="6">
        <v>37057</v>
      </c>
      <c r="E53" s="6">
        <v>37672</v>
      </c>
      <c r="F53" s="7" t="s">
        <v>20</v>
      </c>
      <c r="G53" s="7">
        <v>1</v>
      </c>
      <c r="H53" s="7">
        <v>10</v>
      </c>
      <c r="I53" s="5" t="str">
        <f t="shared" si="1"/>
        <v>(51,'SP1-OK1','Station de Pompage SP1-OK1','2001-06-15','2003-02-20',NULL,1,10),</v>
      </c>
    </row>
    <row r="54" spans="1:9" ht="20.100000000000001" customHeight="1" x14ac:dyDescent="0.25">
      <c r="A54" s="3">
        <v>52</v>
      </c>
      <c r="B54" s="8" t="s">
        <v>97</v>
      </c>
      <c r="C54" s="5" t="s">
        <v>98</v>
      </c>
      <c r="D54" s="6">
        <v>40278</v>
      </c>
      <c r="E54" s="6">
        <v>40923</v>
      </c>
      <c r="F54" s="7" t="s">
        <v>20</v>
      </c>
      <c r="G54" s="7">
        <v>1</v>
      </c>
      <c r="H54" s="7">
        <v>10</v>
      </c>
      <c r="I54" s="5" t="str">
        <f t="shared" si="1"/>
        <v>(52,'SP1-OK1-NEW','Station de Pompage SP1-OK1-NEW','2010-04-10','2012-01-15',NULL,1,10),</v>
      </c>
    </row>
    <row r="55" spans="1:9" ht="20.100000000000001" customHeight="1" x14ac:dyDescent="0.25">
      <c r="A55" s="3">
        <v>53</v>
      </c>
      <c r="B55" s="8" t="s">
        <v>99</v>
      </c>
      <c r="C55" s="5" t="s">
        <v>100</v>
      </c>
      <c r="D55" s="6">
        <v>37490</v>
      </c>
      <c r="E55" s="6">
        <v>38137</v>
      </c>
      <c r="F55" s="7" t="s">
        <v>20</v>
      </c>
      <c r="G55" s="7">
        <v>1</v>
      </c>
      <c r="H55" s="7">
        <v>10</v>
      </c>
      <c r="I55" s="5" t="str">
        <f t="shared" si="1"/>
        <v>(53,'SP2-OK1','Station de Pompage SP2-OK1','2002-08-22','2004-05-30',NULL,1,10),</v>
      </c>
    </row>
    <row r="56" spans="1:9" ht="20.100000000000001" customHeight="1" x14ac:dyDescent="0.25">
      <c r="A56" s="3">
        <v>54</v>
      </c>
      <c r="B56" s="8" t="s">
        <v>101</v>
      </c>
      <c r="C56" s="5" t="s">
        <v>102</v>
      </c>
      <c r="D56" s="6">
        <v>37930</v>
      </c>
      <c r="E56" s="6">
        <v>38551</v>
      </c>
      <c r="F56" s="7" t="s">
        <v>20</v>
      </c>
      <c r="G56" s="7">
        <v>1</v>
      </c>
      <c r="H56" s="7">
        <v>10</v>
      </c>
      <c r="I56" s="5" t="str">
        <f t="shared" si="1"/>
        <v>(54,'SP3-OK1','Station de Pompage SP3-OK1','2003-11-05','2005-07-18',NULL,1,10),</v>
      </c>
    </row>
    <row r="57" spans="1:9" ht="20.100000000000001" customHeight="1" x14ac:dyDescent="0.25">
      <c r="A57" s="3">
        <v>55</v>
      </c>
      <c r="B57" s="8" t="s">
        <v>103</v>
      </c>
      <c r="C57" s="5" t="s">
        <v>104</v>
      </c>
      <c r="D57" s="6">
        <v>39859</v>
      </c>
      <c r="E57" s="6">
        <v>40479</v>
      </c>
      <c r="F57" s="7" t="s">
        <v>20</v>
      </c>
      <c r="G57" s="7">
        <v>1</v>
      </c>
      <c r="H57" s="7">
        <v>10</v>
      </c>
      <c r="I57" s="5" t="str">
        <f t="shared" si="1"/>
        <v>(55,'SP3-OK1-BIS','Station de Pompage SP3-OK1-BIS','2009-02-15','2010-10-28',NULL,1,10),</v>
      </c>
    </row>
    <row r="58" spans="1:9" ht="20.100000000000001" customHeight="1" x14ac:dyDescent="0.25">
      <c r="A58" s="3">
        <v>56</v>
      </c>
      <c r="B58" s="8" t="s">
        <v>105</v>
      </c>
      <c r="C58" s="5" t="s">
        <v>106</v>
      </c>
      <c r="D58" s="6">
        <v>38125</v>
      </c>
      <c r="E58" s="6">
        <v>38739</v>
      </c>
      <c r="F58" s="7" t="s">
        <v>20</v>
      </c>
      <c r="G58" s="7">
        <v>1</v>
      </c>
      <c r="H58" s="7">
        <v>10</v>
      </c>
      <c r="I58" s="5" t="str">
        <f t="shared" si="1"/>
        <v>(56,'SP4-OK1','Station de Pompage SP4-OK1','2004-05-18','2006-01-22',NULL,1,10),</v>
      </c>
    </row>
    <row r="59" spans="1:9" ht="20.100000000000001" customHeight="1" x14ac:dyDescent="0.25">
      <c r="A59" s="3">
        <v>57</v>
      </c>
      <c r="B59" s="8" t="s">
        <v>107</v>
      </c>
      <c r="C59" s="5" t="s">
        <v>108</v>
      </c>
      <c r="D59" s="6">
        <v>37327</v>
      </c>
      <c r="E59" s="6">
        <v>37950</v>
      </c>
      <c r="F59" s="7" t="s">
        <v>20</v>
      </c>
      <c r="G59" s="7">
        <v>1</v>
      </c>
      <c r="H59" s="7">
        <v>10</v>
      </c>
      <c r="I59" s="5" t="str">
        <f t="shared" si="1"/>
        <v>(57,'SP1-OB1','Station de Pompage SP1-OB1','2002-03-12','2003-11-25',NULL,1,10),</v>
      </c>
    </row>
    <row r="60" spans="1:9" ht="20.100000000000001" customHeight="1" x14ac:dyDescent="0.25">
      <c r="A60" s="3">
        <v>58</v>
      </c>
      <c r="B60" s="8" t="s">
        <v>109</v>
      </c>
      <c r="C60" s="5" t="s">
        <v>110</v>
      </c>
      <c r="D60" s="6">
        <v>39649</v>
      </c>
      <c r="E60" s="6">
        <v>40283</v>
      </c>
      <c r="F60" s="7" t="s">
        <v>20</v>
      </c>
      <c r="G60" s="7">
        <v>1</v>
      </c>
      <c r="H60" s="7">
        <v>10</v>
      </c>
      <c r="I60" s="5" t="str">
        <f t="shared" si="1"/>
        <v>(58,'SP1-BIS-OB1','Station de Pompage SP1-BIS-OB1','2008-07-20','2010-04-15',NULL,1,10),</v>
      </c>
    </row>
    <row r="61" spans="1:9" ht="20.100000000000001" customHeight="1" x14ac:dyDescent="0.25">
      <c r="A61" s="3">
        <v>59</v>
      </c>
      <c r="B61" s="8" t="s">
        <v>111</v>
      </c>
      <c r="C61" s="5" t="s">
        <v>112</v>
      </c>
      <c r="D61" s="6">
        <v>37874</v>
      </c>
      <c r="E61" s="6">
        <v>38521</v>
      </c>
      <c r="F61" s="7" t="s">
        <v>20</v>
      </c>
      <c r="G61" s="7">
        <v>1</v>
      </c>
      <c r="H61" s="7">
        <v>10</v>
      </c>
      <c r="I61" s="5" t="str">
        <f t="shared" si="1"/>
        <v>(59,'SP2-OB1','Station de Pompage SP2-OB1','2003-09-10','2005-06-18',NULL,1,10),</v>
      </c>
    </row>
    <row r="62" spans="1:9" ht="20.100000000000001" customHeight="1" x14ac:dyDescent="0.25">
      <c r="A62" s="3">
        <v>60</v>
      </c>
      <c r="B62" s="8" t="s">
        <v>113</v>
      </c>
      <c r="C62" s="5" t="s">
        <v>114</v>
      </c>
      <c r="D62" s="6">
        <v>38326</v>
      </c>
      <c r="E62" s="6">
        <v>38951</v>
      </c>
      <c r="F62" s="7" t="s">
        <v>20</v>
      </c>
      <c r="G62" s="7">
        <v>1</v>
      </c>
      <c r="H62" s="7">
        <v>10</v>
      </c>
      <c r="I62" s="5" t="str">
        <f t="shared" si="1"/>
        <v>(60,'SP3-OB1','Station de Pompage SP3-OB1','2004-12-05','2006-08-22',NULL,1,10),</v>
      </c>
    </row>
    <row r="63" spans="1:9" ht="20.100000000000001" customHeight="1" x14ac:dyDescent="0.25">
      <c r="A63" s="3">
        <v>61</v>
      </c>
      <c r="B63" s="8" t="s">
        <v>115</v>
      </c>
      <c r="C63" s="5" t="s">
        <v>116</v>
      </c>
      <c r="D63" s="6">
        <v>39190</v>
      </c>
      <c r="E63" s="6">
        <v>39843</v>
      </c>
      <c r="F63" s="7" t="s">
        <v>20</v>
      </c>
      <c r="G63" s="7">
        <v>1</v>
      </c>
      <c r="H63" s="7">
        <v>10</v>
      </c>
      <c r="I63" s="5" t="str">
        <f t="shared" si="1"/>
        <v>(61,'SP1-BIS-OG1','Station de Pompage SP1-BIS-OG1','2007-04-18','2009-01-30',NULL,1,10),</v>
      </c>
    </row>
    <row r="64" spans="1:9" ht="20.100000000000001" customHeight="1" x14ac:dyDescent="0.25">
      <c r="A64" s="3">
        <v>62</v>
      </c>
      <c r="B64" s="8" t="s">
        <v>117</v>
      </c>
      <c r="C64" s="5" t="s">
        <v>118</v>
      </c>
      <c r="D64" s="6">
        <v>38405</v>
      </c>
      <c r="E64" s="6">
        <v>39005</v>
      </c>
      <c r="F64" s="7" t="s">
        <v>20</v>
      </c>
      <c r="G64" s="7">
        <v>1</v>
      </c>
      <c r="H64" s="7">
        <v>10</v>
      </c>
      <c r="I64" s="5" t="str">
        <f t="shared" si="1"/>
        <v>(62,'SP1-OT1','Station de Pompage SP1-OT1','2005-02-22','2006-10-15',NULL,1,10),</v>
      </c>
    </row>
    <row r="65" spans="1:9" ht="20.100000000000001" customHeight="1" x14ac:dyDescent="0.25">
      <c r="A65" s="3">
        <v>63</v>
      </c>
      <c r="B65" s="8" t="s">
        <v>119</v>
      </c>
      <c r="C65" s="5" t="s">
        <v>120</v>
      </c>
      <c r="D65" s="6">
        <v>38405</v>
      </c>
      <c r="E65" s="6">
        <v>39005</v>
      </c>
      <c r="F65" s="7" t="s">
        <v>20</v>
      </c>
      <c r="G65" s="7">
        <v>1</v>
      </c>
      <c r="H65" s="7">
        <v>10</v>
      </c>
      <c r="I65" s="5" t="str">
        <f t="shared" si="1"/>
        <v>(63,'SP2-OT1','Station de Pompage SP2-OT1','2005-02-22','2006-10-15',NULL,1,10),</v>
      </c>
    </row>
    <row r="66" spans="1:9" ht="20.100000000000001" customHeight="1" x14ac:dyDescent="0.25">
      <c r="A66" s="3">
        <v>64</v>
      </c>
      <c r="B66" s="8" t="s">
        <v>121</v>
      </c>
      <c r="C66" s="5" t="s">
        <v>122</v>
      </c>
      <c r="D66" s="6">
        <v>38852</v>
      </c>
      <c r="E66" s="6">
        <v>39467</v>
      </c>
      <c r="F66" s="7" t="s">
        <v>20</v>
      </c>
      <c r="G66" s="7">
        <v>1</v>
      </c>
      <c r="H66" s="7">
        <v>10</v>
      </c>
      <c r="I66" s="5" t="str">
        <f t="shared" si="1"/>
        <v>(64,'SP1-OH1','Station de Pompage SP1-OH1','2006-05-15','2008-01-20',NULL,1,10),</v>
      </c>
    </row>
    <row r="67" spans="1:9" ht="20.100000000000001" customHeight="1" x14ac:dyDescent="0.25">
      <c r="A67" s="3">
        <v>65</v>
      </c>
      <c r="B67" s="8" t="s">
        <v>123</v>
      </c>
      <c r="C67" s="5" t="s">
        <v>124</v>
      </c>
      <c r="D67" s="6">
        <v>38852</v>
      </c>
      <c r="E67" s="6">
        <v>39467</v>
      </c>
      <c r="F67" s="7" t="s">
        <v>20</v>
      </c>
      <c r="G67" s="7">
        <v>1</v>
      </c>
      <c r="H67" s="7">
        <v>10</v>
      </c>
      <c r="I67" s="5" t="str">
        <f t="shared" si="1"/>
        <v>(65,'SP2-OH1','Station de Pompage SP2-OH1','2006-05-15','2008-01-20',NULL,1,10),</v>
      </c>
    </row>
    <row r="68" spans="1:9" ht="20.100000000000001" customHeight="1" x14ac:dyDescent="0.25">
      <c r="A68" s="3">
        <v>66</v>
      </c>
      <c r="B68" s="8" t="s">
        <v>125</v>
      </c>
      <c r="C68" s="5" t="s">
        <v>126</v>
      </c>
      <c r="D68" s="6">
        <v>38852</v>
      </c>
      <c r="E68" s="6">
        <v>39467</v>
      </c>
      <c r="F68" s="7" t="s">
        <v>20</v>
      </c>
      <c r="G68" s="7">
        <v>1</v>
      </c>
      <c r="H68" s="7">
        <v>10</v>
      </c>
      <c r="I68" s="5" t="str">
        <f t="shared" si="1"/>
        <v>(66,'SP3-OH1','Station de Pompage SP3-OH1','2006-05-15','2008-01-20',NULL,1,10),</v>
      </c>
    </row>
    <row r="69" spans="1:9" ht="20.100000000000001" customHeight="1" x14ac:dyDescent="0.25">
      <c r="A69" s="14">
        <v>66</v>
      </c>
      <c r="B69" s="15" t="s">
        <v>127</v>
      </c>
      <c r="C69" s="16" t="s">
        <v>128</v>
      </c>
      <c r="D69" s="17">
        <v>38852</v>
      </c>
      <c r="E69" s="17">
        <v>39467</v>
      </c>
      <c r="F69" s="18" t="s">
        <v>20</v>
      </c>
      <c r="G69" s="18">
        <v>1</v>
      </c>
      <c r="H69" s="18">
        <v>10</v>
      </c>
      <c r="I69" s="16" t="str">
        <f t="shared" si="1"/>
        <v>(66,'SP4-OH1','Station de Pompage SP4-OH1','2006-05-15','2008-01-20',NULL,1,10),</v>
      </c>
    </row>
    <row r="70" spans="1:9" ht="20.100000000000001" customHeight="1" x14ac:dyDescent="0.25">
      <c r="A70" s="3">
        <v>67</v>
      </c>
      <c r="B70" s="8" t="s">
        <v>129</v>
      </c>
      <c r="C70" s="5" t="s">
        <v>130</v>
      </c>
      <c r="D70" s="6">
        <v>39304</v>
      </c>
      <c r="E70" s="6">
        <v>39928</v>
      </c>
      <c r="F70" s="7" t="s">
        <v>20</v>
      </c>
      <c r="G70" s="7">
        <v>1</v>
      </c>
      <c r="H70" s="7">
        <v>10</v>
      </c>
      <c r="I70" s="5" t="str">
        <f t="shared" si="1"/>
        <v>(67,'SP1-OD1','Station de Pompage SP1-OD1','2007-08-10','2009-04-25',NULL,1,10),</v>
      </c>
    </row>
    <row r="71" spans="1:9" ht="20.100000000000001" customHeight="1" x14ac:dyDescent="0.25">
      <c r="A71" s="3">
        <v>68</v>
      </c>
      <c r="B71" s="8" t="s">
        <v>131</v>
      </c>
      <c r="C71" s="5" t="s">
        <v>132</v>
      </c>
      <c r="D71" s="6">
        <v>39767</v>
      </c>
      <c r="E71" s="6">
        <v>40389</v>
      </c>
      <c r="F71" s="7" t="s">
        <v>20</v>
      </c>
      <c r="G71" s="7">
        <v>1</v>
      </c>
      <c r="H71" s="7">
        <v>10</v>
      </c>
      <c r="I71" s="5" t="str">
        <f t="shared" si="1"/>
        <v>(68,'SP1-OH2','Station de Pompage SP1-OH2','2008-11-15','2010-07-30',NULL,1,10),</v>
      </c>
    </row>
    <row r="72" spans="1:9" ht="20.100000000000001" customHeight="1" x14ac:dyDescent="0.25">
      <c r="A72" s="3">
        <v>69</v>
      </c>
      <c r="B72" s="8" t="s">
        <v>133</v>
      </c>
      <c r="C72" s="5" t="s">
        <v>134</v>
      </c>
      <c r="D72" s="6">
        <v>39892</v>
      </c>
      <c r="E72" s="6">
        <v>40558</v>
      </c>
      <c r="F72" s="7" t="s">
        <v>20</v>
      </c>
      <c r="G72" s="7">
        <v>1</v>
      </c>
      <c r="H72" s="7">
        <v>10</v>
      </c>
      <c r="I72" s="5" t="str">
        <f t="shared" si="1"/>
        <v>(69,'SP1-OH3/OH4','Station de Pompage SP1-OH3/OH4','2009-03-20','2011-01-15',NULL,1,10),</v>
      </c>
    </row>
    <row r="73" spans="1:9" ht="20.100000000000001" customHeight="1" x14ac:dyDescent="0.25">
      <c r="A73" s="3">
        <v>70</v>
      </c>
      <c r="B73" s="8" t="s">
        <v>135</v>
      </c>
      <c r="C73" s="5" t="s">
        <v>136</v>
      </c>
      <c r="D73" s="6">
        <v>39892</v>
      </c>
      <c r="E73" s="6">
        <v>40558</v>
      </c>
      <c r="F73" s="7" t="s">
        <v>20</v>
      </c>
      <c r="G73" s="7">
        <v>1</v>
      </c>
      <c r="H73" s="7">
        <v>10</v>
      </c>
      <c r="I73" s="5" t="str">
        <f t="shared" si="1"/>
        <v>(70,'SP2-OH3/OH4','Station de Pompage SP2-OH3/OH4','2009-03-20','2011-01-15',NULL,1,10),</v>
      </c>
    </row>
    <row r="74" spans="1:9" ht="20.100000000000001" customHeight="1" x14ac:dyDescent="0.25">
      <c r="A74" s="3">
        <v>71</v>
      </c>
      <c r="B74" s="8" t="s">
        <v>137</v>
      </c>
      <c r="C74" s="5" t="s">
        <v>138</v>
      </c>
      <c r="D74" s="6">
        <v>40337</v>
      </c>
      <c r="E74" s="6">
        <v>40990</v>
      </c>
      <c r="F74" s="7" t="s">
        <v>20</v>
      </c>
      <c r="G74" s="7">
        <v>1</v>
      </c>
      <c r="H74" s="7">
        <v>10</v>
      </c>
      <c r="I74" s="5" t="str">
        <f t="shared" si="1"/>
        <v>(71,'SP4-NZ1','Station de Pompage SP4-NZ1','2010-06-08','2012-03-22',NULL,1,10),</v>
      </c>
    </row>
    <row r="75" spans="1:9" ht="20.100000000000001" customHeight="1" x14ac:dyDescent="0.25">
      <c r="A75" s="3">
        <v>72</v>
      </c>
      <c r="B75" s="8" t="s">
        <v>139</v>
      </c>
      <c r="C75" s="5" t="s">
        <v>140</v>
      </c>
      <c r="D75" s="6">
        <v>40337</v>
      </c>
      <c r="E75" s="6">
        <v>40990</v>
      </c>
      <c r="F75" s="7" t="s">
        <v>20</v>
      </c>
      <c r="G75" s="7">
        <v>1</v>
      </c>
      <c r="H75" s="7">
        <v>10</v>
      </c>
      <c r="I75" s="5" t="str">
        <f t="shared" si="1"/>
        <v>(72,'SP5-NZ1','Station de Pompage SP5-NZ1','2010-06-08','2012-03-22',NULL,1,10),</v>
      </c>
    </row>
    <row r="76" spans="1:9" ht="20.100000000000001" customHeight="1" x14ac:dyDescent="0.25">
      <c r="A76" s="3">
        <v>73</v>
      </c>
      <c r="B76" s="8" t="s">
        <v>141</v>
      </c>
      <c r="C76" s="5" t="s">
        <v>142</v>
      </c>
      <c r="D76" s="6">
        <v>40337</v>
      </c>
      <c r="E76" s="6">
        <v>40990</v>
      </c>
      <c r="F76" s="7" t="s">
        <v>20</v>
      </c>
      <c r="G76" s="7">
        <v>1</v>
      </c>
      <c r="H76" s="7">
        <v>10</v>
      </c>
      <c r="I76" s="5" t="str">
        <f t="shared" si="1"/>
        <v>(73,'SP6-NZ1','Station de Pompage SP6-NZ1','2010-06-08','2012-03-22',NULL,1,10),</v>
      </c>
    </row>
    <row r="77" spans="1:9" ht="20.100000000000001" customHeight="1" x14ac:dyDescent="0.25">
      <c r="A77" s="3">
        <v>74</v>
      </c>
      <c r="B77" s="8" t="s">
        <v>143</v>
      </c>
      <c r="C77" s="5" t="s">
        <v>144</v>
      </c>
      <c r="D77" s="6">
        <v>40337</v>
      </c>
      <c r="E77" s="6">
        <v>40990</v>
      </c>
      <c r="F77" s="7" t="s">
        <v>20</v>
      </c>
      <c r="G77" s="7">
        <v>1</v>
      </c>
      <c r="H77" s="7">
        <v>10</v>
      </c>
      <c r="I77" s="5" t="str">
        <f t="shared" si="1"/>
        <v>(74,'PRS-NZ1','Station de Régulation PRS-NZ1','2010-06-08','2012-03-22',NULL,1,10),</v>
      </c>
    </row>
    <row r="78" spans="1:9" ht="20.100000000000001" customHeight="1" x14ac:dyDescent="0.25">
      <c r="A78" s="3">
        <v>75</v>
      </c>
      <c r="B78" s="8" t="s">
        <v>145</v>
      </c>
      <c r="C78" s="5" t="s">
        <v>146</v>
      </c>
      <c r="D78" s="6">
        <v>40798</v>
      </c>
      <c r="E78" s="6">
        <v>41443</v>
      </c>
      <c r="F78" s="7" t="s">
        <v>20</v>
      </c>
      <c r="G78" s="7">
        <v>1</v>
      </c>
      <c r="H78" s="7">
        <v>10</v>
      </c>
      <c r="I78" s="5" t="str">
        <f t="shared" si="1"/>
        <v>(75,'SP1-NK1','Station de Pompage SP1-NK1','2011-09-12','2013-06-18',NULL,1,10),</v>
      </c>
    </row>
    <row r="79" spans="1:9" ht="20.100000000000001" customHeight="1" x14ac:dyDescent="0.25">
      <c r="A79" s="3">
        <v>76</v>
      </c>
      <c r="B79" s="8" t="s">
        <v>147</v>
      </c>
      <c r="C79" s="5" t="s">
        <v>148</v>
      </c>
      <c r="D79" s="6">
        <v>40798</v>
      </c>
      <c r="E79" s="6">
        <v>41443</v>
      </c>
      <c r="F79" s="7" t="s">
        <v>20</v>
      </c>
      <c r="G79" s="7">
        <v>1</v>
      </c>
      <c r="H79" s="7">
        <v>10</v>
      </c>
      <c r="I79" s="5" t="str">
        <f t="shared" si="1"/>
        <v>(76,'SP3-NK1','Station de Pompage SP3-NK1','2011-09-12','2013-06-18',NULL,1,10),</v>
      </c>
    </row>
    <row r="80" spans="1:9" ht="20.100000000000001" customHeight="1" x14ac:dyDescent="0.25">
      <c r="A80" s="3">
        <v>77</v>
      </c>
      <c r="B80" s="8" t="s">
        <v>149</v>
      </c>
      <c r="C80" s="5" t="s">
        <v>150</v>
      </c>
      <c r="D80" s="6">
        <v>40954</v>
      </c>
      <c r="E80" s="6">
        <v>41598</v>
      </c>
      <c r="F80" s="7" t="s">
        <v>20</v>
      </c>
      <c r="G80" s="7">
        <v>1</v>
      </c>
      <c r="H80" s="7">
        <v>10</v>
      </c>
      <c r="I80" s="5" t="str">
        <f t="shared" ref="I80:I143" si="2">CONCATENATE("(",A80,",'",B80,"','",C80,"','",TEXT(D80,"aaaa-mm-jj"),"','",TEXT(E80,"aaaa-mm-jj"),"',",F80,",",G80,",",H80,"),")</f>
        <v>(77,'SP4-LNZ1','Station de Pompage SP4-LNZ1','2012-02-15','2013-11-20',NULL,1,10),</v>
      </c>
    </row>
    <row r="81" spans="1:9" ht="20.100000000000001" customHeight="1" x14ac:dyDescent="0.25">
      <c r="A81" s="3">
        <v>78</v>
      </c>
      <c r="B81" s="8" t="s">
        <v>151</v>
      </c>
      <c r="C81" s="5" t="s">
        <v>152</v>
      </c>
      <c r="D81" s="6">
        <v>40954</v>
      </c>
      <c r="E81" s="6">
        <v>41598</v>
      </c>
      <c r="F81" s="7" t="s">
        <v>20</v>
      </c>
      <c r="G81" s="7">
        <v>1</v>
      </c>
      <c r="H81" s="7">
        <v>10</v>
      </c>
      <c r="I81" s="5" t="str">
        <f t="shared" si="2"/>
        <v>(78,'SP5-LNZ1','Station de Pompage SP5-LNZ1','2012-02-15','2013-11-20',NULL,1,10),</v>
      </c>
    </row>
    <row r="82" spans="1:9" ht="20.100000000000001" customHeight="1" x14ac:dyDescent="0.25">
      <c r="A82" s="3">
        <v>79</v>
      </c>
      <c r="B82" s="8" t="s">
        <v>153</v>
      </c>
      <c r="C82" s="5" t="s">
        <v>154</v>
      </c>
      <c r="D82" s="6">
        <v>40954</v>
      </c>
      <c r="E82" s="6">
        <v>41598</v>
      </c>
      <c r="F82" s="7" t="s">
        <v>20</v>
      </c>
      <c r="G82" s="7">
        <v>1</v>
      </c>
      <c r="H82" s="7">
        <v>10</v>
      </c>
      <c r="I82" s="5" t="str">
        <f t="shared" si="2"/>
        <v>(79,'SP6-LNZ1','Station de Pompage SP6-LNZ1','2012-02-15','2013-11-20',NULL,1,10),</v>
      </c>
    </row>
    <row r="83" spans="1:9" ht="20.100000000000001" customHeight="1" x14ac:dyDescent="0.25">
      <c r="A83" s="3">
        <v>80</v>
      </c>
      <c r="B83" s="8" t="s">
        <v>155</v>
      </c>
      <c r="C83" s="5" t="s">
        <v>156</v>
      </c>
      <c r="D83" s="6">
        <v>41374</v>
      </c>
      <c r="E83" s="6">
        <v>42029</v>
      </c>
      <c r="F83" s="7" t="s">
        <v>20</v>
      </c>
      <c r="G83" s="7">
        <v>1</v>
      </c>
      <c r="H83" s="7">
        <v>10</v>
      </c>
      <c r="I83" s="5" t="str">
        <f t="shared" si="2"/>
        <v>(80,'SP0-LZ1','Station de Pompage SP0-LZ1','2013-04-10','2015-01-25',NULL,1,10),</v>
      </c>
    </row>
    <row r="84" spans="1:9" ht="20.100000000000001" customHeight="1" x14ac:dyDescent="0.25">
      <c r="A84" s="3">
        <v>81</v>
      </c>
      <c r="B84" s="8" t="s">
        <v>157</v>
      </c>
      <c r="C84" s="5" t="s">
        <v>158</v>
      </c>
      <c r="D84" s="6">
        <v>41374</v>
      </c>
      <c r="E84" s="6">
        <v>42029</v>
      </c>
      <c r="F84" s="7" t="s">
        <v>20</v>
      </c>
      <c r="G84" s="7">
        <v>1</v>
      </c>
      <c r="H84" s="7">
        <v>10</v>
      </c>
      <c r="I84" s="5" t="str">
        <f t="shared" si="2"/>
        <v>(81,'SP1-LZ1','Station de Pompage SP1-LZ1','2013-04-10','2015-01-25',NULL,1,10),</v>
      </c>
    </row>
    <row r="85" spans="1:9" ht="20.100000000000001" customHeight="1" x14ac:dyDescent="0.25">
      <c r="A85" s="3">
        <v>82</v>
      </c>
      <c r="B85" s="8" t="s">
        <v>159</v>
      </c>
      <c r="C85" s="5" t="s">
        <v>160</v>
      </c>
      <c r="D85" s="6">
        <v>41374</v>
      </c>
      <c r="E85" s="6">
        <v>42029</v>
      </c>
      <c r="F85" s="7" t="s">
        <v>20</v>
      </c>
      <c r="G85" s="7">
        <v>1</v>
      </c>
      <c r="H85" s="7">
        <v>10</v>
      </c>
      <c r="I85" s="5" t="str">
        <f t="shared" si="2"/>
        <v>(82,'SP1-LZ2','Station de Pompage SP1-LZ2','2013-04-10','2015-01-25',NULL,1,10),</v>
      </c>
    </row>
    <row r="86" spans="1:9" ht="20.100000000000001" customHeight="1" x14ac:dyDescent="0.25">
      <c r="A86" s="3">
        <v>83</v>
      </c>
      <c r="B86" s="8" t="s">
        <v>161</v>
      </c>
      <c r="C86" s="5" t="s">
        <v>162</v>
      </c>
      <c r="D86" s="6">
        <v>41374</v>
      </c>
      <c r="E86" s="6">
        <v>42029</v>
      </c>
      <c r="F86" s="7" t="s">
        <v>20</v>
      </c>
      <c r="G86" s="7">
        <v>1</v>
      </c>
      <c r="H86" s="7">
        <v>10</v>
      </c>
      <c r="I86" s="5" t="str">
        <f t="shared" si="2"/>
        <v>(83,'PRS-LZ1/LZ2','Station de Régulation PRS-LZ1/LZ2','2013-04-10','2015-01-25',NULL,1,10),</v>
      </c>
    </row>
    <row r="87" spans="1:9" ht="20.100000000000001" customHeight="1" x14ac:dyDescent="0.25">
      <c r="A87" s="3">
        <v>84</v>
      </c>
      <c r="B87" s="8" t="s">
        <v>163</v>
      </c>
      <c r="C87" s="5" t="s">
        <v>164</v>
      </c>
      <c r="D87" s="6">
        <v>41838</v>
      </c>
      <c r="E87" s="6">
        <v>42490</v>
      </c>
      <c r="F87" s="7" t="s">
        <v>20</v>
      </c>
      <c r="G87" s="7">
        <v>1</v>
      </c>
      <c r="H87" s="7">
        <v>10</v>
      </c>
      <c r="I87" s="5" t="str">
        <f t="shared" si="2"/>
        <v>(84,'SPRN-LR1','Station de Pompage SPRN-LR1','2014-07-18','2016-04-30',NULL,1,10),</v>
      </c>
    </row>
    <row r="88" spans="1:9" ht="20.100000000000001" customHeight="1" x14ac:dyDescent="0.25">
      <c r="A88" s="3">
        <v>85</v>
      </c>
      <c r="B88" s="8" t="s">
        <v>165</v>
      </c>
      <c r="C88" s="5" t="s">
        <v>166</v>
      </c>
      <c r="D88" s="6">
        <v>41838</v>
      </c>
      <c r="E88" s="6">
        <v>42490</v>
      </c>
      <c r="F88" s="7" t="s">
        <v>20</v>
      </c>
      <c r="G88" s="7">
        <v>1</v>
      </c>
      <c r="H88" s="7">
        <v>10</v>
      </c>
      <c r="I88" s="5" t="str">
        <f t="shared" si="2"/>
        <v>(85,'SP0-LR1','Station de Pompage SP1-LR1','2014-07-18','2016-04-30',NULL,1,10),</v>
      </c>
    </row>
    <row r="89" spans="1:9" ht="20.100000000000001" customHeight="1" x14ac:dyDescent="0.25">
      <c r="A89" s="3">
        <v>86</v>
      </c>
      <c r="B89" s="8" t="s">
        <v>167</v>
      </c>
      <c r="C89" s="5" t="s">
        <v>166</v>
      </c>
      <c r="D89" s="6">
        <v>41838</v>
      </c>
      <c r="E89" s="6">
        <v>42490</v>
      </c>
      <c r="F89" s="7" t="s">
        <v>20</v>
      </c>
      <c r="G89" s="7">
        <v>1</v>
      </c>
      <c r="H89" s="7">
        <v>10</v>
      </c>
      <c r="I89" s="5" t="str">
        <f t="shared" si="2"/>
        <v>(86,'SP1-LR1','Station de Pompage SP1-LR1','2014-07-18','2016-04-30',NULL,1,10),</v>
      </c>
    </row>
    <row r="90" spans="1:9" ht="20.100000000000001" customHeight="1" x14ac:dyDescent="0.25">
      <c r="A90" s="3">
        <v>87</v>
      </c>
      <c r="B90" s="8" t="s">
        <v>168</v>
      </c>
      <c r="C90" s="5" t="s">
        <v>169</v>
      </c>
      <c r="D90" s="6">
        <v>41838</v>
      </c>
      <c r="E90" s="6">
        <v>42490</v>
      </c>
      <c r="F90" s="7" t="s">
        <v>20</v>
      </c>
      <c r="G90" s="7">
        <v>1</v>
      </c>
      <c r="H90" s="7">
        <v>10</v>
      </c>
      <c r="I90" s="5" t="str">
        <f t="shared" si="2"/>
        <v>(87,'SP2-LR1','Station de Pompage SP2-LR1','2014-07-18','2016-04-30',NULL,1,10),</v>
      </c>
    </row>
    <row r="91" spans="1:9" ht="20.100000000000001" customHeight="1" x14ac:dyDescent="0.25">
      <c r="A91" s="3">
        <v>88</v>
      </c>
      <c r="B91" s="8" t="s">
        <v>170</v>
      </c>
      <c r="C91" s="5" t="s">
        <v>171</v>
      </c>
      <c r="D91" s="6">
        <v>42299</v>
      </c>
      <c r="E91" s="6">
        <v>42962</v>
      </c>
      <c r="F91" s="7" t="s">
        <v>20</v>
      </c>
      <c r="G91" s="7">
        <v>1</v>
      </c>
      <c r="H91" s="7">
        <v>10</v>
      </c>
      <c r="I91" s="5" t="str">
        <f t="shared" si="2"/>
        <v>(88,'SP1-LNZ1','Station de Pompage SP1-LNZ1','2015-10-22','2017-08-15',NULL,1,10),</v>
      </c>
    </row>
    <row r="92" spans="1:9" ht="20.100000000000001" customHeight="1" x14ac:dyDescent="0.25">
      <c r="A92" s="3">
        <v>89</v>
      </c>
      <c r="B92" s="8" t="s">
        <v>172</v>
      </c>
      <c r="C92" s="5" t="s">
        <v>173</v>
      </c>
      <c r="D92" s="6">
        <v>42299</v>
      </c>
      <c r="E92" s="6">
        <v>42962</v>
      </c>
      <c r="F92" s="7" t="s">
        <v>20</v>
      </c>
      <c r="G92" s="7">
        <v>1</v>
      </c>
      <c r="H92" s="7">
        <v>10</v>
      </c>
      <c r="I92" s="5" t="str">
        <f t="shared" si="2"/>
        <v>(89,'SP3-LNZ1','Station de Pompage SP3-LNZ1','2015-10-22','2017-08-15',NULL,1,10),</v>
      </c>
    </row>
    <row r="93" spans="1:9" ht="20.100000000000001" customHeight="1" x14ac:dyDescent="0.25">
      <c r="A93" s="3">
        <v>90</v>
      </c>
      <c r="B93" s="8" t="s">
        <v>174</v>
      </c>
      <c r="C93" s="5" t="s">
        <v>175</v>
      </c>
      <c r="D93" s="6">
        <v>23743</v>
      </c>
      <c r="E93" s="6">
        <v>23743</v>
      </c>
      <c r="F93" s="19">
        <v>44838</v>
      </c>
      <c r="G93" s="7">
        <v>0</v>
      </c>
      <c r="H93" s="7">
        <v>10</v>
      </c>
      <c r="I93" s="5" t="str">
        <f t="shared" si="2"/>
        <v>(90,'SC1-GZ0','Station de Compression SC1-GZ0','1965-01-01','1965-01-01',44838,0,10),</v>
      </c>
    </row>
    <row r="94" spans="1:9" ht="20.100000000000001" customHeight="1" x14ac:dyDescent="0.25">
      <c r="A94" s="3">
        <v>91</v>
      </c>
      <c r="B94" s="8" t="s">
        <v>176</v>
      </c>
      <c r="C94" s="5" t="s">
        <v>177</v>
      </c>
      <c r="D94" s="6">
        <v>26299</v>
      </c>
      <c r="E94" s="6">
        <v>26299</v>
      </c>
      <c r="F94" s="19">
        <v>44838</v>
      </c>
      <c r="G94" s="7">
        <v>0</v>
      </c>
      <c r="H94" s="7">
        <v>10</v>
      </c>
      <c r="I94" s="5" t="str">
        <f t="shared" si="2"/>
        <v>(91,'SC2-GZ0','Station de Compression SC2-GZ0','1972-01-01','1972-01-01',44838,0,10),</v>
      </c>
    </row>
    <row r="95" spans="1:9" ht="20.100000000000001" customHeight="1" x14ac:dyDescent="0.25">
      <c r="A95" s="3">
        <v>92</v>
      </c>
      <c r="B95" s="8" t="s">
        <v>178</v>
      </c>
      <c r="C95" s="5" t="s">
        <v>179</v>
      </c>
      <c r="D95" s="6">
        <v>23743</v>
      </c>
      <c r="E95" s="6">
        <v>23743</v>
      </c>
      <c r="F95" s="19">
        <v>44838</v>
      </c>
      <c r="G95" s="7">
        <v>0</v>
      </c>
      <c r="H95" s="7">
        <v>10</v>
      </c>
      <c r="I95" s="5" t="str">
        <f t="shared" si="2"/>
        <v>(92,'SC3-GZ0','Station de Compression SC3-GZ0','1965-01-01','1965-01-01',44838,0,10),</v>
      </c>
    </row>
    <row r="96" spans="1:9" ht="20.100000000000001" customHeight="1" x14ac:dyDescent="0.25">
      <c r="A96" s="3">
        <v>93</v>
      </c>
      <c r="B96" s="8" t="s">
        <v>180</v>
      </c>
      <c r="C96" s="5" t="s">
        <v>181</v>
      </c>
      <c r="D96" s="6">
        <v>26299</v>
      </c>
      <c r="E96" s="6">
        <v>26299</v>
      </c>
      <c r="F96" s="19">
        <v>44838</v>
      </c>
      <c r="G96" s="7">
        <v>0</v>
      </c>
      <c r="H96" s="7">
        <v>10</v>
      </c>
      <c r="I96" s="5" t="str">
        <f t="shared" si="2"/>
        <v>(93,'SC4-GZ0','Station de Compression SC4-GZ0','1972-01-01','1972-01-01',44838,0,10),</v>
      </c>
    </row>
    <row r="97" spans="1:9" ht="20.100000000000001" customHeight="1" x14ac:dyDescent="0.25">
      <c r="A97" s="14">
        <v>94</v>
      </c>
      <c r="B97" s="15" t="s">
        <v>182</v>
      </c>
      <c r="C97" s="16" t="s">
        <v>183</v>
      </c>
      <c r="D97" s="17">
        <v>37756</v>
      </c>
      <c r="E97" s="17">
        <v>38462</v>
      </c>
      <c r="F97" s="18" t="s">
        <v>20</v>
      </c>
      <c r="G97" s="18">
        <v>1</v>
      </c>
      <c r="H97" s="18">
        <v>10</v>
      </c>
      <c r="I97" s="16" t="str">
        <f t="shared" si="2"/>
        <v>(94,'SC1-GZ1','Station de Compression SC1-GZ1','2003-05-15','2005-04-20',NULL,1,10),</v>
      </c>
    </row>
    <row r="98" spans="1:9" ht="20.100000000000001" customHeight="1" x14ac:dyDescent="0.25">
      <c r="A98" s="10">
        <v>95</v>
      </c>
      <c r="B98" s="11" t="s">
        <v>184</v>
      </c>
      <c r="C98" s="9" t="s">
        <v>185</v>
      </c>
      <c r="D98" s="12">
        <v>37756</v>
      </c>
      <c r="E98" s="12">
        <v>38462</v>
      </c>
      <c r="F98" s="13" t="s">
        <v>20</v>
      </c>
      <c r="G98" s="13">
        <v>1</v>
      </c>
      <c r="H98" s="13">
        <v>10</v>
      </c>
      <c r="I98" s="9" t="str">
        <f t="shared" si="2"/>
        <v>(95,'SC1-GZ2','Station de Compression SC1-GZ2','2003-05-15','2005-04-20',NULL,1,10),</v>
      </c>
    </row>
    <row r="99" spans="1:9" ht="20.100000000000001" customHeight="1" x14ac:dyDescent="0.25">
      <c r="A99" s="10">
        <v>96</v>
      </c>
      <c r="B99" s="11" t="s">
        <v>186</v>
      </c>
      <c r="C99" s="9" t="s">
        <v>187</v>
      </c>
      <c r="D99" s="12">
        <v>37756</v>
      </c>
      <c r="E99" s="12">
        <v>38462</v>
      </c>
      <c r="F99" s="13" t="s">
        <v>20</v>
      </c>
      <c r="G99" s="13">
        <v>1</v>
      </c>
      <c r="H99" s="13">
        <v>10</v>
      </c>
      <c r="I99" s="9" t="str">
        <f t="shared" si="2"/>
        <v>(96,'SC1-GZ3','Station de Compression SC1-GZ3','2003-05-15','2005-04-20',NULL,1,10),</v>
      </c>
    </row>
    <row r="100" spans="1:9" ht="20.100000000000001" customHeight="1" x14ac:dyDescent="0.25">
      <c r="A100" s="14">
        <v>97</v>
      </c>
      <c r="B100" s="15" t="s">
        <v>188</v>
      </c>
      <c r="C100" s="16" t="s">
        <v>189</v>
      </c>
      <c r="D100" s="17">
        <v>38219</v>
      </c>
      <c r="E100" s="17">
        <v>38923</v>
      </c>
      <c r="F100" s="18" t="s">
        <v>20</v>
      </c>
      <c r="G100" s="18">
        <v>1</v>
      </c>
      <c r="H100" s="18">
        <v>10</v>
      </c>
      <c r="I100" s="16" t="str">
        <f t="shared" si="2"/>
        <v>(97,'SC2-GZ1','Station de Compression SC2-GZ1','2004-08-20','2006-07-25',NULL,1,10),</v>
      </c>
    </row>
    <row r="101" spans="1:9" ht="20.100000000000001" customHeight="1" x14ac:dyDescent="0.25">
      <c r="A101" s="10">
        <v>98</v>
      </c>
      <c r="B101" s="11" t="s">
        <v>190</v>
      </c>
      <c r="C101" s="9" t="s">
        <v>191</v>
      </c>
      <c r="D101" s="12">
        <v>38219</v>
      </c>
      <c r="E101" s="12">
        <v>38923</v>
      </c>
      <c r="F101" s="13" t="s">
        <v>20</v>
      </c>
      <c r="G101" s="13">
        <v>1</v>
      </c>
      <c r="H101" s="13">
        <v>10</v>
      </c>
      <c r="I101" s="9" t="str">
        <f t="shared" si="2"/>
        <v>(98,'SC2-GZ2','Station de Compression SC2-GZ2','2004-08-20','2006-07-25',NULL,1,10),</v>
      </c>
    </row>
    <row r="102" spans="1:9" ht="20.100000000000001" customHeight="1" x14ac:dyDescent="0.25">
      <c r="A102" s="10">
        <v>99</v>
      </c>
      <c r="B102" s="11" t="s">
        <v>192</v>
      </c>
      <c r="C102" s="9" t="s">
        <v>193</v>
      </c>
      <c r="D102" s="12">
        <v>38219</v>
      </c>
      <c r="E102" s="12">
        <v>38923</v>
      </c>
      <c r="F102" s="13" t="s">
        <v>20</v>
      </c>
      <c r="G102" s="13">
        <v>1</v>
      </c>
      <c r="H102" s="13">
        <v>10</v>
      </c>
      <c r="I102" s="9" t="str">
        <f t="shared" si="2"/>
        <v>(99,'SC2-GZ3','Station de Compression SC2-GZ3','2004-08-20','2006-07-25',NULL,1,10),</v>
      </c>
    </row>
    <row r="103" spans="1:9" ht="20.100000000000001" customHeight="1" x14ac:dyDescent="0.25">
      <c r="A103" s="14">
        <v>100</v>
      </c>
      <c r="B103" s="15" t="s">
        <v>194</v>
      </c>
      <c r="C103" s="16" t="s">
        <v>195</v>
      </c>
      <c r="D103" s="17">
        <v>38666</v>
      </c>
      <c r="E103" s="17">
        <v>39370</v>
      </c>
      <c r="F103" s="18" t="s">
        <v>20</v>
      </c>
      <c r="G103" s="18">
        <v>1</v>
      </c>
      <c r="H103" s="18">
        <v>10</v>
      </c>
      <c r="I103" s="16" t="str">
        <f t="shared" si="2"/>
        <v>(100,'SC3-GZ1','Station de Compression SC3-GZ1','2005-11-10','2007-10-15',NULL,1,10),</v>
      </c>
    </row>
    <row r="104" spans="1:9" ht="20.100000000000001" customHeight="1" x14ac:dyDescent="0.25">
      <c r="A104" s="10">
        <v>101</v>
      </c>
      <c r="B104" s="11" t="s">
        <v>196</v>
      </c>
      <c r="C104" s="9" t="s">
        <v>197</v>
      </c>
      <c r="D104" s="12">
        <v>38666</v>
      </c>
      <c r="E104" s="12">
        <v>39370</v>
      </c>
      <c r="F104" s="13" t="s">
        <v>20</v>
      </c>
      <c r="G104" s="13">
        <v>1</v>
      </c>
      <c r="H104" s="13">
        <v>10</v>
      </c>
      <c r="I104" s="9" t="str">
        <f t="shared" si="2"/>
        <v>(101,'SC3-GZ2','Station de Compression SC3-GZ2','2005-11-10','2007-10-15',NULL,1,10),</v>
      </c>
    </row>
    <row r="105" spans="1:9" ht="20.100000000000001" customHeight="1" x14ac:dyDescent="0.25">
      <c r="A105" s="10">
        <v>102</v>
      </c>
      <c r="B105" s="11" t="s">
        <v>198</v>
      </c>
      <c r="C105" s="9" t="s">
        <v>199</v>
      </c>
      <c r="D105" s="12">
        <v>38666</v>
      </c>
      <c r="E105" s="12">
        <v>39370</v>
      </c>
      <c r="F105" s="13" t="s">
        <v>20</v>
      </c>
      <c r="G105" s="13">
        <v>1</v>
      </c>
      <c r="H105" s="13">
        <v>10</v>
      </c>
      <c r="I105" s="9" t="str">
        <f t="shared" si="2"/>
        <v>(102,'SC3-GZ3','Station de Compression SC3-GZ3','2005-11-10','2007-10-15',NULL,1,10),</v>
      </c>
    </row>
    <row r="106" spans="1:9" ht="20.100000000000001" customHeight="1" x14ac:dyDescent="0.25">
      <c r="A106" s="14">
        <v>103</v>
      </c>
      <c r="B106" s="15" t="s">
        <v>200</v>
      </c>
      <c r="C106" s="16" t="s">
        <v>201</v>
      </c>
      <c r="D106" s="17">
        <v>38791</v>
      </c>
      <c r="E106" s="17">
        <v>39498</v>
      </c>
      <c r="F106" s="18" t="s">
        <v>20</v>
      </c>
      <c r="G106" s="18">
        <v>1</v>
      </c>
      <c r="H106" s="18">
        <v>10</v>
      </c>
      <c r="I106" s="16" t="str">
        <f t="shared" si="2"/>
        <v>(103,'SC4-GZ1','Station de Compression SC4-GZ1','2006-03-15','2008-02-20',NULL,1,10),</v>
      </c>
    </row>
    <row r="107" spans="1:9" ht="20.100000000000001" customHeight="1" x14ac:dyDescent="0.25">
      <c r="A107" s="10">
        <v>104</v>
      </c>
      <c r="B107" s="11" t="s">
        <v>202</v>
      </c>
      <c r="C107" s="9" t="s">
        <v>203</v>
      </c>
      <c r="D107" s="12">
        <v>38791</v>
      </c>
      <c r="E107" s="12">
        <v>39498</v>
      </c>
      <c r="F107" s="13" t="s">
        <v>20</v>
      </c>
      <c r="G107" s="13">
        <v>1</v>
      </c>
      <c r="H107" s="13">
        <v>10</v>
      </c>
      <c r="I107" s="9" t="str">
        <f t="shared" si="2"/>
        <v>(104,'SC4-GZ2','Station de Compression SC4-GZ2','2006-03-15','2008-02-20',NULL,1,10),</v>
      </c>
    </row>
    <row r="108" spans="1:9" ht="20.100000000000001" customHeight="1" x14ac:dyDescent="0.25">
      <c r="A108" s="10">
        <v>105</v>
      </c>
      <c r="B108" s="11" t="s">
        <v>204</v>
      </c>
      <c r="C108" s="9" t="s">
        <v>205</v>
      </c>
      <c r="D108" s="12">
        <v>38791</v>
      </c>
      <c r="E108" s="12">
        <v>39498</v>
      </c>
      <c r="F108" s="13" t="s">
        <v>20</v>
      </c>
      <c r="G108" s="13">
        <v>1</v>
      </c>
      <c r="H108" s="13">
        <v>10</v>
      </c>
      <c r="I108" s="9" t="str">
        <f t="shared" si="2"/>
        <v>(105,'SC4-GZ3','Station de Compression SC4-GZ3','2006-03-15','2008-02-20',NULL,1,10),</v>
      </c>
    </row>
    <row r="109" spans="1:9" ht="20.100000000000001" customHeight="1" x14ac:dyDescent="0.25">
      <c r="A109" s="14">
        <v>106</v>
      </c>
      <c r="B109" s="15" t="s">
        <v>206</v>
      </c>
      <c r="C109" s="16" t="s">
        <v>207</v>
      </c>
      <c r="D109" s="17">
        <v>39253</v>
      </c>
      <c r="E109" s="17">
        <v>39958</v>
      </c>
      <c r="F109" s="18" t="s">
        <v>20</v>
      </c>
      <c r="G109" s="18">
        <v>1</v>
      </c>
      <c r="H109" s="18">
        <v>10</v>
      </c>
      <c r="I109" s="16" t="str">
        <f t="shared" si="2"/>
        <v>(106,'SC5-GZ1','Station de Compression SC5-GZ1','2007-06-20','2009-05-25',NULL,1,10),</v>
      </c>
    </row>
    <row r="110" spans="1:9" ht="20.100000000000001" customHeight="1" x14ac:dyDescent="0.25">
      <c r="A110" s="10">
        <v>107</v>
      </c>
      <c r="B110" s="11" t="s">
        <v>208</v>
      </c>
      <c r="C110" s="9" t="s">
        <v>209</v>
      </c>
      <c r="D110" s="12">
        <v>39253</v>
      </c>
      <c r="E110" s="12">
        <v>39958</v>
      </c>
      <c r="F110" s="13" t="s">
        <v>20</v>
      </c>
      <c r="G110" s="13">
        <v>1</v>
      </c>
      <c r="H110" s="13">
        <v>10</v>
      </c>
      <c r="I110" s="9" t="str">
        <f t="shared" si="2"/>
        <v>(107,'SC5-GZ2','Station de Compression SC5-GZ2','2007-06-20','2009-05-25',NULL,1,10),</v>
      </c>
    </row>
    <row r="111" spans="1:9" ht="20.100000000000001" customHeight="1" x14ac:dyDescent="0.25">
      <c r="A111" s="10">
        <v>108</v>
      </c>
      <c r="B111" s="11" t="s">
        <v>210</v>
      </c>
      <c r="C111" s="9" t="s">
        <v>211</v>
      </c>
      <c r="D111" s="12">
        <v>39253</v>
      </c>
      <c r="E111" s="12">
        <v>39958</v>
      </c>
      <c r="F111" s="13" t="s">
        <v>20</v>
      </c>
      <c r="G111" s="13">
        <v>1</v>
      </c>
      <c r="H111" s="13">
        <v>10</v>
      </c>
      <c r="I111" s="9" t="str">
        <f t="shared" si="2"/>
        <v>(108,'SC5-GZ3','Station de Compression SC5-GZ3','2007-06-20','2009-05-25',NULL,1,10),</v>
      </c>
    </row>
    <row r="112" spans="1:9" ht="20.100000000000001" customHeight="1" x14ac:dyDescent="0.25">
      <c r="A112" s="3">
        <v>109</v>
      </c>
      <c r="B112" s="8" t="s">
        <v>212</v>
      </c>
      <c r="C112" s="5" t="s">
        <v>213</v>
      </c>
      <c r="D112" s="6">
        <v>38031</v>
      </c>
      <c r="E112" s="6">
        <v>38031</v>
      </c>
      <c r="F112" s="7" t="s">
        <v>20</v>
      </c>
      <c r="G112" s="7">
        <v>1</v>
      </c>
      <c r="H112" s="7">
        <v>10</v>
      </c>
      <c r="I112" s="5" t="str">
        <f t="shared" si="2"/>
        <v>(109,'SC3-GPDF','Station de Compression SC3-GPDF','2004-02-14','2004-02-14',NULL,1,10),</v>
      </c>
    </row>
    <row r="113" spans="1:9" ht="20.100000000000001" customHeight="1" x14ac:dyDescent="0.25">
      <c r="A113" s="3">
        <v>110</v>
      </c>
      <c r="B113" s="8" t="s">
        <v>214</v>
      </c>
      <c r="C113" s="5" t="s">
        <v>215</v>
      </c>
      <c r="D113" s="6">
        <v>40152</v>
      </c>
      <c r="E113" s="6">
        <v>40857</v>
      </c>
      <c r="F113" s="7" t="s">
        <v>20</v>
      </c>
      <c r="G113" s="7">
        <v>1</v>
      </c>
      <c r="H113" s="7">
        <v>10</v>
      </c>
      <c r="I113" s="5" t="str">
        <f t="shared" si="2"/>
        <v>(110,'SC1-GK1','Station de Compression SC1-GK1','2009-12-05','2011-11-10',NULL,1,10),</v>
      </c>
    </row>
    <row r="114" spans="1:9" ht="20.100000000000001" customHeight="1" x14ac:dyDescent="0.25">
      <c r="A114" s="3">
        <v>111</v>
      </c>
      <c r="B114" s="8" t="s">
        <v>216</v>
      </c>
      <c r="C114" s="5" t="s">
        <v>217</v>
      </c>
      <c r="D114" s="6">
        <v>40152</v>
      </c>
      <c r="E114" s="6">
        <v>40857</v>
      </c>
      <c r="F114" s="7" t="s">
        <v>20</v>
      </c>
      <c r="G114" s="7">
        <v>1</v>
      </c>
      <c r="H114" s="7">
        <v>10</v>
      </c>
      <c r="I114" s="5" t="str">
        <f t="shared" si="2"/>
        <v>(111,'SC2-GK1','Station de Compression SC2-GK1','2009-12-05','2011-11-10',NULL,1,10),</v>
      </c>
    </row>
    <row r="115" spans="1:9" ht="20.100000000000001" customHeight="1" x14ac:dyDescent="0.25">
      <c r="A115" s="3">
        <v>112</v>
      </c>
      <c r="B115" s="8" t="s">
        <v>218</v>
      </c>
      <c r="C115" s="5" t="s">
        <v>219</v>
      </c>
      <c r="D115" s="6">
        <v>40152</v>
      </c>
      <c r="E115" s="6">
        <v>40857</v>
      </c>
      <c r="F115" s="7" t="s">
        <v>20</v>
      </c>
      <c r="G115" s="7">
        <v>1</v>
      </c>
      <c r="H115" s="7">
        <v>10</v>
      </c>
      <c r="I115" s="5" t="str">
        <f t="shared" si="2"/>
        <v>(112,'SC3-GK1','Station de Compression SC3-GK1','2009-12-05','2011-11-10',NULL,1,10),</v>
      </c>
    </row>
    <row r="116" spans="1:9" ht="20.100000000000001" customHeight="1" x14ac:dyDescent="0.25">
      <c r="A116" s="3">
        <v>113</v>
      </c>
      <c r="B116" s="8" t="s">
        <v>220</v>
      </c>
      <c r="C116" s="5" t="s">
        <v>221</v>
      </c>
      <c r="D116" s="6">
        <v>40152</v>
      </c>
      <c r="E116" s="6">
        <v>40857</v>
      </c>
      <c r="F116" s="7" t="s">
        <v>20</v>
      </c>
      <c r="G116" s="7">
        <v>1</v>
      </c>
      <c r="H116" s="7">
        <v>10</v>
      </c>
      <c r="I116" s="5" t="str">
        <f t="shared" si="2"/>
        <v>(113,'SC4-GK1','Station de Compression SC4-GK1','2009-12-05','2011-11-10',NULL,1,10),</v>
      </c>
    </row>
    <row r="117" spans="1:9" ht="20.100000000000001" customHeight="1" x14ac:dyDescent="0.25">
      <c r="A117" s="3">
        <v>114</v>
      </c>
      <c r="B117" s="8" t="s">
        <v>222</v>
      </c>
      <c r="C117" s="5" t="s">
        <v>223</v>
      </c>
      <c r="D117" s="6">
        <v>40152</v>
      </c>
      <c r="E117" s="6">
        <v>40857</v>
      </c>
      <c r="F117" s="7" t="s">
        <v>20</v>
      </c>
      <c r="G117" s="7">
        <v>1</v>
      </c>
      <c r="H117" s="7">
        <v>10</v>
      </c>
      <c r="I117" s="5" t="str">
        <f t="shared" si="2"/>
        <v>(114,'SC5-GK1','Station de Compression SC5-GK1','2009-12-05','2011-11-10',NULL,1,10),</v>
      </c>
    </row>
    <row r="118" spans="1:9" ht="20.100000000000001" customHeight="1" x14ac:dyDescent="0.25">
      <c r="A118" s="14">
        <v>115</v>
      </c>
      <c r="B118" s="15" t="s">
        <v>2466</v>
      </c>
      <c r="C118" s="16" t="s">
        <v>2467</v>
      </c>
      <c r="D118" s="17">
        <v>35065</v>
      </c>
      <c r="E118" s="17">
        <v>40988</v>
      </c>
      <c r="F118" s="18" t="s">
        <v>20</v>
      </c>
      <c r="G118" s="18">
        <v>1</v>
      </c>
      <c r="H118" s="18">
        <v>10</v>
      </c>
      <c r="I118" s="16" t="str">
        <f t="shared" si="2"/>
        <v>(115,'SC2-GO2','Station de Compression SC2-GO2','1996-01-01','2012-03-20',NULL,1,10),</v>
      </c>
    </row>
    <row r="119" spans="1:9" ht="20.100000000000001" customHeight="1" x14ac:dyDescent="0.25">
      <c r="A119" s="3">
        <v>116</v>
      </c>
      <c r="B119" s="8" t="s">
        <v>2296</v>
      </c>
      <c r="C119" s="5" t="s">
        <v>2297</v>
      </c>
      <c r="D119" s="6">
        <v>38961</v>
      </c>
      <c r="E119" s="6">
        <v>38961</v>
      </c>
      <c r="F119" s="7" t="s">
        <v>20</v>
      </c>
      <c r="G119" s="7">
        <v>1</v>
      </c>
      <c r="H119" s="7">
        <v>10</v>
      </c>
      <c r="I119" s="5" t="str">
        <f t="shared" si="2"/>
        <v>(116,'SC3-GG1','Station de Compression SC3-GG1','2006-09-01','2006-09-01',NULL,1,10),</v>
      </c>
    </row>
    <row r="120" spans="1:9" ht="20.100000000000001" customHeight="1" x14ac:dyDescent="0.25">
      <c r="A120" s="3">
        <v>117</v>
      </c>
      <c r="B120" s="8" t="s">
        <v>2736</v>
      </c>
      <c r="C120" s="5" t="s">
        <v>224</v>
      </c>
      <c r="D120" s="6">
        <v>41192</v>
      </c>
      <c r="E120" s="6">
        <v>41897</v>
      </c>
      <c r="F120" s="7" t="s">
        <v>20</v>
      </c>
      <c r="G120" s="7">
        <v>1</v>
      </c>
      <c r="H120" s="7">
        <v>10</v>
      </c>
      <c r="I120" s="5" t="str">
        <f t="shared" si="2"/>
        <v>(117,'SC-HR-GR5','Station de Compression S01-GR5','2012-10-10','2014-09-15',NULL,1,10),</v>
      </c>
    </row>
    <row r="121" spans="1:9" ht="20.100000000000001" customHeight="1" x14ac:dyDescent="0.25">
      <c r="A121" s="10">
        <v>118</v>
      </c>
      <c r="B121" s="11" t="s">
        <v>2918</v>
      </c>
      <c r="C121" s="9" t="s">
        <v>225</v>
      </c>
      <c r="D121" s="12">
        <v>41323</v>
      </c>
      <c r="E121" s="12">
        <v>42026</v>
      </c>
      <c r="F121" s="13" t="s">
        <v>20</v>
      </c>
      <c r="G121" s="13">
        <v>1</v>
      </c>
      <c r="H121" s="13">
        <v>10</v>
      </c>
      <c r="I121" s="9" t="str">
        <f t="shared" si="2"/>
        <v>(118,'SC1-GR7','Station de Compression S01-GR7','2013-02-18','2015-01-22',NULL,1,10),</v>
      </c>
    </row>
    <row r="122" spans="1:9" ht="20.100000000000001" customHeight="1" x14ac:dyDescent="0.25">
      <c r="A122" s="39">
        <v>119</v>
      </c>
      <c r="B122" s="40" t="s">
        <v>226</v>
      </c>
      <c r="C122" s="52" t="s">
        <v>227</v>
      </c>
      <c r="D122" s="19">
        <v>41781</v>
      </c>
      <c r="E122" s="19">
        <v>42488</v>
      </c>
      <c r="F122" s="42" t="s">
        <v>20</v>
      </c>
      <c r="G122" s="42">
        <v>1</v>
      </c>
      <c r="H122" s="42">
        <v>10</v>
      </c>
      <c r="I122" s="52" t="str">
        <f t="shared" si="2"/>
        <v>(119,'SC-TFT','Station de Compression SC-TFT','2014-05-22','2016-04-28',NULL,1,10),</v>
      </c>
    </row>
    <row r="123" spans="1:9" ht="20.100000000000001" customHeight="1" x14ac:dyDescent="0.25">
      <c r="A123" s="39">
        <v>120</v>
      </c>
      <c r="B123" s="40" t="s">
        <v>228</v>
      </c>
      <c r="C123" s="52" t="s">
        <v>229</v>
      </c>
      <c r="D123" s="19">
        <v>42228</v>
      </c>
      <c r="E123" s="19">
        <v>42934</v>
      </c>
      <c r="F123" s="42" t="s">
        <v>20</v>
      </c>
      <c r="G123" s="42">
        <v>1</v>
      </c>
      <c r="H123" s="42">
        <v>10</v>
      </c>
      <c r="I123" s="52" t="str">
        <f t="shared" si="2"/>
        <v>(120,'SC1-GR2','Station de Compression SC1-GR2','2015-08-12','2017-07-18',NULL,1,10),</v>
      </c>
    </row>
    <row r="124" spans="1:9" ht="20.100000000000001" customHeight="1" x14ac:dyDescent="0.25">
      <c r="A124" s="39">
        <v>121</v>
      </c>
      <c r="B124" s="40" t="s">
        <v>230</v>
      </c>
      <c r="C124" s="52" t="s">
        <v>231</v>
      </c>
      <c r="D124" s="19">
        <v>42228</v>
      </c>
      <c r="E124" s="19">
        <v>42934</v>
      </c>
      <c r="F124" s="42" t="s">
        <v>20</v>
      </c>
      <c r="G124" s="42">
        <v>1</v>
      </c>
      <c r="H124" s="42">
        <v>10</v>
      </c>
      <c r="I124" s="52" t="str">
        <f t="shared" si="2"/>
        <v>(121,'SC2-GR2','Station de Compression SC2-GR2','2015-08-12','2017-07-18',NULL,1,10),</v>
      </c>
    </row>
    <row r="125" spans="1:9" ht="20.100000000000001" customHeight="1" x14ac:dyDescent="0.25">
      <c r="A125" s="39">
        <v>122</v>
      </c>
      <c r="B125" s="40" t="s">
        <v>232</v>
      </c>
      <c r="C125" s="52" t="s">
        <v>233</v>
      </c>
      <c r="D125" s="19">
        <v>42228</v>
      </c>
      <c r="E125" s="19">
        <v>42934</v>
      </c>
      <c r="F125" s="42" t="s">
        <v>20</v>
      </c>
      <c r="G125" s="42">
        <v>1</v>
      </c>
      <c r="H125" s="42">
        <v>10</v>
      </c>
      <c r="I125" s="52" t="str">
        <f t="shared" si="2"/>
        <v>(122,'SC3-GR2','Station de Compression SC3-GR2','2015-08-12','2017-07-18',NULL,1,10),</v>
      </c>
    </row>
    <row r="126" spans="1:9" ht="20.100000000000001" customHeight="1" x14ac:dyDescent="0.25">
      <c r="A126" s="39">
        <v>123</v>
      </c>
      <c r="B126" s="40" t="s">
        <v>234</v>
      </c>
      <c r="C126" s="52" t="s">
        <v>235</v>
      </c>
      <c r="D126" s="19">
        <v>42228</v>
      </c>
      <c r="E126" s="19">
        <v>42934</v>
      </c>
      <c r="F126" s="42" t="s">
        <v>20</v>
      </c>
      <c r="G126" s="42">
        <v>1</v>
      </c>
      <c r="H126" s="42">
        <v>10</v>
      </c>
      <c r="I126" s="52" t="str">
        <f t="shared" si="2"/>
        <v>(123,'SC4-GR2','Station de Compression SC4-GR2','2015-08-12','2017-07-18',NULL,1,10),</v>
      </c>
    </row>
    <row r="127" spans="1:9" ht="20.100000000000001" customHeight="1" x14ac:dyDescent="0.25">
      <c r="A127" s="3">
        <v>124</v>
      </c>
      <c r="B127" s="8" t="s">
        <v>236</v>
      </c>
      <c r="C127" s="5" t="s">
        <v>237</v>
      </c>
      <c r="D127" s="6">
        <v>22903</v>
      </c>
      <c r="E127" s="6">
        <v>23652</v>
      </c>
      <c r="F127" s="7" t="s">
        <v>20</v>
      </c>
      <c r="G127" s="7">
        <v>1</v>
      </c>
      <c r="H127" s="7">
        <v>4</v>
      </c>
      <c r="I127" s="5" t="str">
        <f t="shared" si="2"/>
        <v>(124,'GL1Z','Complexe GNL GL1Z','1962-09-14','1964-10-02',NULL,1,4),</v>
      </c>
    </row>
    <row r="128" spans="1:9" ht="20.100000000000001" customHeight="1" x14ac:dyDescent="0.25">
      <c r="A128" s="3">
        <v>125</v>
      </c>
      <c r="B128" s="8" t="s">
        <v>238</v>
      </c>
      <c r="C128" s="5" t="s">
        <v>239</v>
      </c>
      <c r="D128" s="6">
        <v>28564</v>
      </c>
      <c r="E128" s="6">
        <v>29849</v>
      </c>
      <c r="F128" s="7" t="s">
        <v>20</v>
      </c>
      <c r="G128" s="7">
        <v>1</v>
      </c>
      <c r="H128" s="7">
        <v>4</v>
      </c>
      <c r="I128" s="5" t="str">
        <f t="shared" si="2"/>
        <v>(125,'GL2Z','Complexe GNL GL2Z','1978-03-15','1981-09-20',NULL,1,4),</v>
      </c>
    </row>
    <row r="129" spans="1:9" ht="20.100000000000001" customHeight="1" x14ac:dyDescent="0.25">
      <c r="A129" s="3">
        <v>126</v>
      </c>
      <c r="B129" s="8" t="s">
        <v>240</v>
      </c>
      <c r="C129" s="5" t="s">
        <v>241</v>
      </c>
      <c r="D129" s="6">
        <v>40318</v>
      </c>
      <c r="E129" s="6">
        <v>41618</v>
      </c>
      <c r="F129" s="7" t="s">
        <v>20</v>
      </c>
      <c r="G129" s="7">
        <v>1</v>
      </c>
      <c r="H129" s="7">
        <v>4</v>
      </c>
      <c r="I129" s="5" t="str">
        <f t="shared" si="2"/>
        <v>(126,'GL3Z','Complexe GNL GL3Z','2010-05-20','2013-12-10',NULL,1,4),</v>
      </c>
    </row>
    <row r="130" spans="1:9" ht="20.100000000000001" customHeight="1" x14ac:dyDescent="0.25">
      <c r="A130" s="3">
        <v>127</v>
      </c>
      <c r="B130" s="8" t="s">
        <v>242</v>
      </c>
      <c r="C130" s="5" t="s">
        <v>243</v>
      </c>
      <c r="D130" s="6">
        <v>24473</v>
      </c>
      <c r="E130" s="6">
        <v>26495</v>
      </c>
      <c r="F130" s="7" t="s">
        <v>20</v>
      </c>
      <c r="G130" s="7">
        <v>1</v>
      </c>
      <c r="H130" s="7">
        <v>4</v>
      </c>
      <c r="I130" s="5" t="str">
        <f t="shared" si="2"/>
        <v>(127,'GL1K','Complexe GNL GL1K','1967-01-01','1972-07-15',NULL,1,4),</v>
      </c>
    </row>
    <row r="131" spans="1:9" ht="20.100000000000001" customHeight="1" x14ac:dyDescent="0.25">
      <c r="A131" s="3">
        <v>128</v>
      </c>
      <c r="B131" s="8" t="s">
        <v>244</v>
      </c>
      <c r="C131" s="5" t="s">
        <v>245</v>
      </c>
      <c r="D131" s="6">
        <v>25617</v>
      </c>
      <c r="E131" s="6">
        <v>27240</v>
      </c>
      <c r="F131" s="7" t="s">
        <v>20</v>
      </c>
      <c r="G131" s="7">
        <v>1</v>
      </c>
      <c r="H131" s="7">
        <v>4</v>
      </c>
      <c r="I131" s="5" t="str">
        <f t="shared" si="2"/>
        <v>(128,'GP1Z','Usine GPL GP1Z','1970-02-18','1974-07-30',NULL,1,4),</v>
      </c>
    </row>
    <row r="132" spans="1:9" ht="20.100000000000001" customHeight="1" x14ac:dyDescent="0.25">
      <c r="A132" s="3">
        <v>129</v>
      </c>
      <c r="B132" s="8" t="s">
        <v>246</v>
      </c>
      <c r="C132" s="5" t="s">
        <v>247</v>
      </c>
      <c r="D132" s="6">
        <v>27872</v>
      </c>
      <c r="E132" s="6">
        <v>29509</v>
      </c>
      <c r="F132" s="7" t="s">
        <v>20</v>
      </c>
      <c r="G132" s="7">
        <v>1</v>
      </c>
      <c r="H132" s="7">
        <v>4</v>
      </c>
      <c r="I132" s="5" t="str">
        <f t="shared" si="2"/>
        <v>(129,'GP2Z','Usine GPL GP2Z','1976-04-22','1980-10-15',NULL,1,4),</v>
      </c>
    </row>
    <row r="133" spans="1:9" ht="20.100000000000001" customHeight="1" x14ac:dyDescent="0.25">
      <c r="A133" s="3">
        <v>130</v>
      </c>
      <c r="B133" s="8" t="s">
        <v>248</v>
      </c>
      <c r="C133" s="5" t="s">
        <v>249</v>
      </c>
      <c r="D133" s="6">
        <v>22442</v>
      </c>
      <c r="E133" s="6">
        <v>23456</v>
      </c>
      <c r="F133" s="7" t="s">
        <v>20</v>
      </c>
      <c r="G133" s="7">
        <v>1</v>
      </c>
      <c r="H133" s="7">
        <v>5</v>
      </c>
      <c r="I133" s="5" t="str">
        <f t="shared" si="2"/>
        <v>(130,'RA1G','Raffinerie RA1G','1961-06-10','1964-03-20',NULL,1,5),</v>
      </c>
    </row>
    <row r="134" spans="1:9" ht="20.100000000000001" customHeight="1" x14ac:dyDescent="0.25">
      <c r="A134" s="3">
        <v>131</v>
      </c>
      <c r="B134" s="8" t="s">
        <v>250</v>
      </c>
      <c r="C134" s="5" t="s">
        <v>251</v>
      </c>
      <c r="D134" s="6">
        <v>26191</v>
      </c>
      <c r="E134" s="6">
        <v>27539</v>
      </c>
      <c r="F134" s="7" t="s">
        <v>20</v>
      </c>
      <c r="G134" s="7">
        <v>1</v>
      </c>
      <c r="H134" s="7">
        <v>5</v>
      </c>
      <c r="I134" s="5" t="str">
        <f t="shared" si="2"/>
        <v>(131,'RA1Z','Raffinerie RA1Z','1971-09-15','1975-05-25',NULL,1,5),</v>
      </c>
    </row>
    <row r="135" spans="1:9" ht="20.100000000000001" customHeight="1" x14ac:dyDescent="0.25">
      <c r="A135" s="3">
        <v>132</v>
      </c>
      <c r="B135" s="8" t="s">
        <v>252</v>
      </c>
      <c r="C135" s="5" t="s">
        <v>253</v>
      </c>
      <c r="D135" s="6">
        <v>35023</v>
      </c>
      <c r="E135" s="6">
        <v>36037</v>
      </c>
      <c r="F135" s="7" t="s">
        <v>20</v>
      </c>
      <c r="G135" s="7">
        <v>1</v>
      </c>
      <c r="H135" s="7">
        <v>5</v>
      </c>
      <c r="I135" s="5" t="str">
        <f t="shared" si="2"/>
        <v>(132,'RHM2','Raffinerie RHM2','1995-11-20','1998-08-30',NULL,1,5),</v>
      </c>
    </row>
    <row r="136" spans="1:9" ht="20.100000000000001" customHeight="1" x14ac:dyDescent="0.25">
      <c r="A136" s="3">
        <v>133</v>
      </c>
      <c r="B136" s="8" t="s">
        <v>254</v>
      </c>
      <c r="C136" s="5" t="s">
        <v>255</v>
      </c>
      <c r="D136" s="6">
        <v>28196</v>
      </c>
      <c r="E136" s="6">
        <v>29573</v>
      </c>
      <c r="F136" s="7" t="s">
        <v>20</v>
      </c>
      <c r="G136" s="7">
        <v>1</v>
      </c>
      <c r="H136" s="7">
        <v>5</v>
      </c>
      <c r="I136" s="5" t="str">
        <f t="shared" si="2"/>
        <v>(133,'RA1K','Raffinerie RA1K','1977-03-12','1980-12-18',NULL,1,5),</v>
      </c>
    </row>
    <row r="137" spans="1:9" ht="20.100000000000001" customHeight="1" x14ac:dyDescent="0.25">
      <c r="A137" s="3">
        <v>134</v>
      </c>
      <c r="B137" s="8" t="s">
        <v>256</v>
      </c>
      <c r="C137" s="5" t="s">
        <v>257</v>
      </c>
      <c r="D137" s="6">
        <v>28196</v>
      </c>
      <c r="E137" s="6">
        <v>29573</v>
      </c>
      <c r="F137" s="7" t="s">
        <v>20</v>
      </c>
      <c r="G137" s="7">
        <v>1</v>
      </c>
      <c r="H137" s="7">
        <v>5</v>
      </c>
      <c r="I137" s="5" t="str">
        <f t="shared" si="2"/>
        <v>(134,'RA2K','Raffinerie RA2K','1977-03-12','1980-12-18',NULL,1,5),</v>
      </c>
    </row>
    <row r="138" spans="1:9" ht="20.100000000000001" customHeight="1" x14ac:dyDescent="0.25">
      <c r="A138" s="3">
        <v>135</v>
      </c>
      <c r="B138" s="8" t="s">
        <v>258</v>
      </c>
      <c r="C138" s="5" t="s">
        <v>259</v>
      </c>
      <c r="D138" s="6">
        <v>24966</v>
      </c>
      <c r="E138" s="6">
        <v>26710</v>
      </c>
      <c r="F138" s="7" t="s">
        <v>20</v>
      </c>
      <c r="G138" s="7">
        <v>1</v>
      </c>
      <c r="H138" s="7">
        <v>5</v>
      </c>
      <c r="I138" s="5" t="str">
        <f t="shared" si="2"/>
        <v>(135,'RA1D','Raffinerie RA1D','1968-05-08','1973-02-15',NULL,1,5),</v>
      </c>
    </row>
    <row r="139" spans="1:9" ht="20.100000000000001" customHeight="1" x14ac:dyDescent="0.25">
      <c r="A139" s="3">
        <v>136</v>
      </c>
      <c r="B139" s="8" t="s">
        <v>260</v>
      </c>
      <c r="C139" s="5" t="s">
        <v>261</v>
      </c>
      <c r="D139" s="6">
        <v>29054</v>
      </c>
      <c r="E139" s="6">
        <v>30277</v>
      </c>
      <c r="F139" s="7" t="s">
        <v>20</v>
      </c>
      <c r="G139" s="7">
        <v>1</v>
      </c>
      <c r="H139" s="7">
        <v>4</v>
      </c>
      <c r="I139" s="5" t="str">
        <f t="shared" si="2"/>
        <v>(136,'CP1Z','Usine de Condensats CP1Z','1979-07-18','1982-11-22',NULL,1,4),</v>
      </c>
    </row>
    <row r="140" spans="1:9" ht="20.100000000000001" customHeight="1" x14ac:dyDescent="0.25">
      <c r="A140" s="3">
        <v>137</v>
      </c>
      <c r="B140" s="8" t="s">
        <v>262</v>
      </c>
      <c r="C140" s="5" t="s">
        <v>263</v>
      </c>
      <c r="D140" s="6">
        <v>29519</v>
      </c>
      <c r="E140" s="6">
        <v>30863</v>
      </c>
      <c r="F140" s="7" t="s">
        <v>20</v>
      </c>
      <c r="G140" s="7">
        <v>1</v>
      </c>
      <c r="H140" s="7">
        <v>4</v>
      </c>
      <c r="I140" s="5" t="str">
        <f t="shared" si="2"/>
        <v>(137,'CP2K','Usine de Condensats CP2K','1980-10-25','1984-06-30',NULL,1,4),</v>
      </c>
    </row>
    <row r="141" spans="1:9" ht="20.100000000000001" customHeight="1" x14ac:dyDescent="0.25">
      <c r="A141" s="3">
        <v>138</v>
      </c>
      <c r="B141" s="8" t="s">
        <v>264</v>
      </c>
      <c r="C141" s="5" t="s">
        <v>265</v>
      </c>
      <c r="D141" s="6">
        <v>25583</v>
      </c>
      <c r="E141" s="6">
        <v>27657</v>
      </c>
      <c r="F141" s="7" t="s">
        <v>20</v>
      </c>
      <c r="G141" s="7">
        <v>1</v>
      </c>
      <c r="H141" s="7">
        <v>5</v>
      </c>
      <c r="I141" s="5" t="str">
        <f t="shared" si="2"/>
        <v>(138,'SORFERT','Complexe Pétrochimique SORFERT','1970-01-15','1975-09-20',NULL,1,5),</v>
      </c>
    </row>
    <row r="142" spans="1:9" ht="20.100000000000001" customHeight="1" x14ac:dyDescent="0.25">
      <c r="A142" s="3">
        <v>139</v>
      </c>
      <c r="B142" s="8" t="s">
        <v>266</v>
      </c>
      <c r="C142" s="5" t="s">
        <v>267</v>
      </c>
      <c r="D142" s="6">
        <v>37721</v>
      </c>
      <c r="E142" s="6">
        <v>39767</v>
      </c>
      <c r="F142" s="7" t="s">
        <v>20</v>
      </c>
      <c r="G142" s="7">
        <v>1</v>
      </c>
      <c r="H142" s="7">
        <v>5</v>
      </c>
      <c r="I142" s="5" t="str">
        <f t="shared" si="2"/>
        <v>(139,'AOA','Complexe Pétrochimique AOA','2003-04-10','2008-11-15',NULL,1,5),</v>
      </c>
    </row>
    <row r="143" spans="1:9" ht="20.100000000000001" customHeight="1" x14ac:dyDescent="0.25">
      <c r="A143" s="3">
        <v>140</v>
      </c>
      <c r="B143" s="8" t="s">
        <v>268</v>
      </c>
      <c r="C143" s="5" t="s">
        <v>269</v>
      </c>
      <c r="D143" s="6">
        <v>35966</v>
      </c>
      <c r="E143" s="6">
        <v>37253</v>
      </c>
      <c r="F143" s="7" t="s">
        <v>20</v>
      </c>
      <c r="G143" s="7">
        <v>1</v>
      </c>
      <c r="H143" s="7">
        <v>2</v>
      </c>
      <c r="I143" s="5" t="str">
        <f t="shared" si="2"/>
        <v>(140,'CPF-OHD','Usine d\'Ourhoud','1998-06-20','2001-12-28',NULL,1,2),</v>
      </c>
    </row>
    <row r="144" spans="1:9" ht="20.100000000000001" customHeight="1" x14ac:dyDescent="0.25">
      <c r="A144" s="3">
        <v>141</v>
      </c>
      <c r="B144" s="8" t="s">
        <v>270</v>
      </c>
      <c r="C144" s="5" t="s">
        <v>271</v>
      </c>
      <c r="D144" s="6">
        <v>36784</v>
      </c>
      <c r="E144" s="6">
        <v>37863</v>
      </c>
      <c r="F144" s="7" t="s">
        <v>20</v>
      </c>
      <c r="G144" s="7">
        <v>1</v>
      </c>
      <c r="H144" s="7">
        <v>2</v>
      </c>
      <c r="I144" s="5" t="str">
        <f t="shared" ref="I144:I207" si="3">CONCATENATE("(",A144,",'",B144,"','",C144,"','",TEXT(D144,"aaaa-mm-jj"),"','",TEXT(E144,"aaaa-mm-jj"),"',",F144,",",G144,",",H144,"),")</f>
        <v>(141,'CPF-MNS','Unité de Traitement Central d\'In Amenas','2000-09-15','2003-08-30',NULL,1,2),</v>
      </c>
    </row>
    <row r="145" spans="1:9" ht="20.100000000000001" customHeight="1" x14ac:dyDescent="0.25">
      <c r="A145" s="3">
        <v>142</v>
      </c>
      <c r="B145" s="8" t="s">
        <v>272</v>
      </c>
      <c r="C145" s="5" t="s">
        <v>273</v>
      </c>
      <c r="D145" s="6">
        <v>37215</v>
      </c>
      <c r="E145" s="6">
        <v>38285</v>
      </c>
      <c r="F145" s="7" t="s">
        <v>20</v>
      </c>
      <c r="G145" s="7">
        <v>1</v>
      </c>
      <c r="H145" s="7">
        <v>2</v>
      </c>
      <c r="I145" s="5" t="str">
        <f t="shared" si="3"/>
        <v>(142,'CPF-BBK','Unité de Traitement Central de Berkine (El Merk)','2001-11-20','2004-10-25',NULL,1,2),</v>
      </c>
    </row>
    <row r="146" spans="1:9" ht="20.100000000000001" customHeight="1" x14ac:dyDescent="0.25">
      <c r="A146" s="3">
        <v>143</v>
      </c>
      <c r="B146" s="8" t="s">
        <v>274</v>
      </c>
      <c r="C146" s="5" t="s">
        <v>275</v>
      </c>
      <c r="D146" s="6">
        <v>28559</v>
      </c>
      <c r="E146" s="6">
        <v>30147</v>
      </c>
      <c r="F146" s="7" t="s">
        <v>20</v>
      </c>
      <c r="G146" s="7">
        <v>1</v>
      </c>
      <c r="H146" s="7">
        <v>2</v>
      </c>
      <c r="I146" s="5" t="str">
        <f t="shared" si="3"/>
        <v>(143,'GPC-HRM','Station Centrale de Hassi R\'Mel','1978-03-10','1982-07-15',NULL,1,2),</v>
      </c>
    </row>
    <row r="147" spans="1:9" ht="20.100000000000001" customHeight="1" x14ac:dyDescent="0.25">
      <c r="A147" s="3">
        <v>144</v>
      </c>
      <c r="B147" s="8" t="s">
        <v>276</v>
      </c>
      <c r="C147" s="5" t="s">
        <v>277</v>
      </c>
      <c r="D147" s="6">
        <v>36658</v>
      </c>
      <c r="E147" s="6">
        <v>37945</v>
      </c>
      <c r="F147" s="7" t="s">
        <v>20</v>
      </c>
      <c r="G147" s="7">
        <v>1</v>
      </c>
      <c r="H147" s="7">
        <v>2</v>
      </c>
      <c r="I147" s="5" t="str">
        <f t="shared" si="3"/>
        <v>(144,'GPC-OHT','Unité de Traitement Central d\'Ohanet - Train de Gaz','2000-05-12','2003-11-20',NULL,1,2),</v>
      </c>
    </row>
    <row r="148" spans="1:9" ht="20.100000000000001" customHeight="1" x14ac:dyDescent="0.25">
      <c r="A148" s="3">
        <v>145</v>
      </c>
      <c r="B148" s="8" t="s">
        <v>278</v>
      </c>
      <c r="C148" s="5" t="s">
        <v>279</v>
      </c>
      <c r="D148" s="6">
        <v>38217</v>
      </c>
      <c r="E148" s="6">
        <v>39258</v>
      </c>
      <c r="F148" s="7" t="s">
        <v>20</v>
      </c>
      <c r="G148" s="7">
        <v>1</v>
      </c>
      <c r="H148" s="7">
        <v>2</v>
      </c>
      <c r="I148" s="5" t="str">
        <f t="shared" si="3"/>
        <v>(145,'GPC-TFT','Unité de Traitement Central de Tin-Fouyé-Tabenkort','2004-08-18','2007-06-25',NULL,1,2),</v>
      </c>
    </row>
    <row r="149" spans="1:9" ht="20.100000000000001" customHeight="1" x14ac:dyDescent="0.25">
      <c r="A149" s="3">
        <v>146</v>
      </c>
      <c r="B149" s="8" t="s">
        <v>280</v>
      </c>
      <c r="C149" s="5" t="s">
        <v>281</v>
      </c>
      <c r="D149" s="6">
        <v>44635</v>
      </c>
      <c r="E149" s="6">
        <v>45889</v>
      </c>
      <c r="F149" s="7" t="s">
        <v>20</v>
      </c>
      <c r="G149" s="7">
        <v>1</v>
      </c>
      <c r="H149" s="7">
        <v>2</v>
      </c>
      <c r="I149" s="5" t="str">
        <f t="shared" si="3"/>
        <v>(146,'GPC-TSL','Complexe Gazier d\'Ain Tsila','2022-03-15','2025-08-20',NULL,1,2),</v>
      </c>
    </row>
    <row r="150" spans="1:9" ht="20.100000000000001" customHeight="1" x14ac:dyDescent="0.25">
      <c r="A150" s="3">
        <v>147</v>
      </c>
      <c r="B150" s="8" t="s">
        <v>282</v>
      </c>
      <c r="C150" s="5" t="s">
        <v>283</v>
      </c>
      <c r="D150" s="6">
        <v>40473</v>
      </c>
      <c r="E150" s="6">
        <v>41759</v>
      </c>
      <c r="F150" s="7" t="s">
        <v>20</v>
      </c>
      <c r="G150" s="7">
        <v>1</v>
      </c>
      <c r="H150" s="7">
        <v>2</v>
      </c>
      <c r="I150" s="5" t="str">
        <f t="shared" si="3"/>
        <v>(147,'GPC-RGN','Traitement du Gaz du Bassin de Reggane','2010-10-22','2014-04-30',NULL,1,2),</v>
      </c>
    </row>
    <row r="151" spans="1:9" ht="20.100000000000001" customHeight="1" x14ac:dyDescent="0.25">
      <c r="A151" s="3">
        <v>148</v>
      </c>
      <c r="B151" s="8" t="s">
        <v>284</v>
      </c>
      <c r="C151" s="5" t="s">
        <v>285</v>
      </c>
      <c r="D151" s="6">
        <v>37087</v>
      </c>
      <c r="E151" s="6">
        <v>38066</v>
      </c>
      <c r="F151" s="7" t="s">
        <v>20</v>
      </c>
      <c r="G151" s="7">
        <v>1</v>
      </c>
      <c r="H151" s="7">
        <v>2</v>
      </c>
      <c r="I151" s="5" t="str">
        <f t="shared" si="3"/>
        <v>(148,'CRP-OHT','Unité de Condensats d\'Ohanet','2001-07-15','2004-03-20',NULL,1,2),</v>
      </c>
    </row>
    <row r="152" spans="1:9" ht="20.100000000000001" customHeight="1" x14ac:dyDescent="0.25">
      <c r="A152" s="3">
        <v>149</v>
      </c>
      <c r="B152" s="8" t="s">
        <v>286</v>
      </c>
      <c r="C152" s="5" t="s">
        <v>287</v>
      </c>
      <c r="D152" s="6">
        <v>38615</v>
      </c>
      <c r="E152" s="6">
        <v>39596</v>
      </c>
      <c r="F152" s="7" t="s">
        <v>20</v>
      </c>
      <c r="G152" s="7">
        <v>1</v>
      </c>
      <c r="H152" s="7">
        <v>2</v>
      </c>
      <c r="I152" s="5" t="str">
        <f t="shared" si="3"/>
        <v>(149,'CRP-TFT','Unité de Condensats de Tin-Fouyé','2005-09-20','2008-05-28',NULL,1,2),</v>
      </c>
    </row>
    <row r="153" spans="1:9" ht="20.100000000000001" customHeight="1" x14ac:dyDescent="0.25">
      <c r="A153" s="3">
        <v>150</v>
      </c>
      <c r="B153" s="8" t="s">
        <v>288</v>
      </c>
      <c r="C153" s="5" t="s">
        <v>289</v>
      </c>
      <c r="D153" s="6">
        <v>44936</v>
      </c>
      <c r="E153" s="6">
        <v>45945</v>
      </c>
      <c r="F153" s="7" t="s">
        <v>20</v>
      </c>
      <c r="G153" s="7">
        <v>1</v>
      </c>
      <c r="H153" s="7">
        <v>2</v>
      </c>
      <c r="I153" s="5" t="str">
        <f t="shared" si="3"/>
        <v>(150,'CRP-TSL','Usine de récupération des Condensats d\'Ain Tsila','2023-01-10','2025-10-15',NULL,1,2),</v>
      </c>
    </row>
    <row r="154" spans="1:9" ht="20.100000000000001" customHeight="1" x14ac:dyDescent="0.25">
      <c r="A154" s="3">
        <v>151</v>
      </c>
      <c r="B154" s="8" t="s">
        <v>290</v>
      </c>
      <c r="C154" s="5" t="s">
        <v>291</v>
      </c>
      <c r="D154" s="6">
        <v>37565</v>
      </c>
      <c r="E154" s="6">
        <v>38545</v>
      </c>
      <c r="F154" s="7" t="s">
        <v>20</v>
      </c>
      <c r="G154" s="7">
        <v>1</v>
      </c>
      <c r="H154" s="7">
        <v>2</v>
      </c>
      <c r="I154" s="5" t="str">
        <f t="shared" si="3"/>
        <v>(151,'CRP-MRK','Unité de Condensats d\'El Merk','2002-11-05','2005-07-12',NULL,1,2),</v>
      </c>
    </row>
    <row r="155" spans="1:9" ht="20.100000000000001" customHeight="1" x14ac:dyDescent="0.25">
      <c r="A155" s="3">
        <v>152</v>
      </c>
      <c r="B155" s="8" t="s">
        <v>292</v>
      </c>
      <c r="C155" s="5" t="s">
        <v>293</v>
      </c>
      <c r="D155" s="6">
        <v>37060</v>
      </c>
      <c r="E155" s="6">
        <v>38042</v>
      </c>
      <c r="F155" s="7" t="s">
        <v>20</v>
      </c>
      <c r="G155" s="7">
        <v>1</v>
      </c>
      <c r="H155" s="7">
        <v>2</v>
      </c>
      <c r="I155" s="5" t="str">
        <f t="shared" si="3"/>
        <v>(152,'CRP-MNS','Usine de récupération des Condensats d\'In Amenas','2001-06-18','2004-02-25',NULL,1,2),</v>
      </c>
    </row>
    <row r="156" spans="1:9" ht="20.100000000000001" customHeight="1" x14ac:dyDescent="0.25">
      <c r="A156" s="3">
        <v>153</v>
      </c>
      <c r="B156" s="8" t="s">
        <v>294</v>
      </c>
      <c r="C156" s="5" t="s">
        <v>295</v>
      </c>
      <c r="D156" s="6">
        <v>30061</v>
      </c>
      <c r="E156" s="6">
        <v>31396</v>
      </c>
      <c r="F156" s="7" t="s">
        <v>20</v>
      </c>
      <c r="G156" s="7">
        <v>1</v>
      </c>
      <c r="H156" s="7">
        <v>2</v>
      </c>
      <c r="I156" s="5" t="str">
        <f t="shared" si="3"/>
        <v>(153,'LPG1-HRM','Unités GPL/Condensats de Hassi R\'Mel','1982-04-20','1985-12-15',NULL,1,2),</v>
      </c>
    </row>
    <row r="157" spans="1:9" ht="20.100000000000001" customHeight="1" x14ac:dyDescent="0.25">
      <c r="A157" s="3">
        <v>154</v>
      </c>
      <c r="B157" s="8" t="s">
        <v>296</v>
      </c>
      <c r="C157" s="5" t="s">
        <v>297</v>
      </c>
      <c r="D157" s="6">
        <v>33095</v>
      </c>
      <c r="E157" s="6">
        <v>34140</v>
      </c>
      <c r="F157" s="7" t="s">
        <v>20</v>
      </c>
      <c r="G157" s="7">
        <v>1</v>
      </c>
      <c r="H157" s="7">
        <v>2</v>
      </c>
      <c r="I157" s="5" t="str">
        <f t="shared" si="3"/>
        <v>(154,'LPG2-HRM','Complexe de récupération Centrale GPL de Hassi R\'Mel','1990-08-10','1993-06-20',NULL,1,2),</v>
      </c>
    </row>
    <row r="158" spans="1:9" ht="20.100000000000001" customHeight="1" x14ac:dyDescent="0.25">
      <c r="A158" s="3">
        <v>155</v>
      </c>
      <c r="B158" s="8" t="s">
        <v>298</v>
      </c>
      <c r="C158" s="5" t="s">
        <v>299</v>
      </c>
      <c r="D158" s="6">
        <v>35018</v>
      </c>
      <c r="E158" s="6">
        <v>36060</v>
      </c>
      <c r="F158" s="7" t="s">
        <v>20</v>
      </c>
      <c r="G158" s="7">
        <v>1</v>
      </c>
      <c r="H158" s="7">
        <v>2</v>
      </c>
      <c r="I158" s="5" t="str">
        <f t="shared" si="3"/>
        <v>(155,'LPGE-HRM','Complexe de récupération d\'Éthane de Hassi R\'Mel','1995-11-15','1998-09-22',NULL,1,2),</v>
      </c>
    </row>
    <row r="159" spans="1:9" ht="20.100000000000001" customHeight="1" x14ac:dyDescent="0.25">
      <c r="A159" s="3">
        <v>156</v>
      </c>
      <c r="B159" s="8" t="s">
        <v>300</v>
      </c>
      <c r="C159" s="5" t="s">
        <v>301</v>
      </c>
      <c r="D159" s="6">
        <v>38801</v>
      </c>
      <c r="E159" s="6">
        <v>39843</v>
      </c>
      <c r="F159" s="7" t="s">
        <v>20</v>
      </c>
      <c r="G159" s="7">
        <v>1</v>
      </c>
      <c r="H159" s="7">
        <v>2</v>
      </c>
      <c r="I159" s="5" t="str">
        <f t="shared" si="3"/>
        <v>(156,'LPG-TFT','Complexe de récupération GPL de Tin-Fouyé','2006-03-25','2009-01-30',NULL,1,2),</v>
      </c>
    </row>
    <row r="160" spans="1:9" ht="20.100000000000001" customHeight="1" x14ac:dyDescent="0.25">
      <c r="A160" s="3">
        <v>157</v>
      </c>
      <c r="B160" s="8" t="s">
        <v>302</v>
      </c>
      <c r="C160" s="5" t="s">
        <v>303</v>
      </c>
      <c r="D160" s="6">
        <v>45089</v>
      </c>
      <c r="E160" s="6">
        <v>46009</v>
      </c>
      <c r="F160" s="7" t="s">
        <v>20</v>
      </c>
      <c r="G160" s="7">
        <v>1</v>
      </c>
      <c r="H160" s="7">
        <v>2</v>
      </c>
      <c r="I160" s="5" t="str">
        <f t="shared" si="3"/>
        <v>(157,'LPG-TSL','Complexe de récupération GPL d\'Ain Tsila','2023-06-12','2025-12-18',NULL,1,2),</v>
      </c>
    </row>
    <row r="161" spans="1:9" ht="20.100000000000001" customHeight="1" x14ac:dyDescent="0.25">
      <c r="A161" s="3">
        <v>158</v>
      </c>
      <c r="B161" s="8" t="s">
        <v>304</v>
      </c>
      <c r="C161" s="5" t="s">
        <v>305</v>
      </c>
      <c r="D161" s="6">
        <v>23788</v>
      </c>
      <c r="E161" s="6">
        <v>24775</v>
      </c>
      <c r="F161" s="7" t="s">
        <v>20</v>
      </c>
      <c r="G161" s="7">
        <v>1</v>
      </c>
      <c r="H161" s="7">
        <v>10</v>
      </c>
      <c r="I161" s="5" t="str">
        <f t="shared" si="3"/>
        <v>(158,'OZ1','Pipeline OZ1','1965-02-15','1967-10-30',NULL,1,10),</v>
      </c>
    </row>
    <row r="162" spans="1:9" ht="20.100000000000001" customHeight="1" x14ac:dyDescent="0.25">
      <c r="A162" s="3">
        <v>159</v>
      </c>
      <c r="B162" s="8" t="s">
        <v>306</v>
      </c>
      <c r="C162" s="5" t="s">
        <v>307</v>
      </c>
      <c r="D162" s="7" t="s">
        <v>308</v>
      </c>
      <c r="E162" s="7" t="s">
        <v>308</v>
      </c>
      <c r="F162" s="7" t="s">
        <v>20</v>
      </c>
      <c r="G162" s="7">
        <v>1</v>
      </c>
      <c r="H162" s="7">
        <v>10</v>
      </c>
      <c r="I162" s="5" t="str">
        <f t="shared" si="3"/>
        <v>(159,'OZ2','Pipeline OZ2','2003-08-18','2003-08-18',NULL,1,10),</v>
      </c>
    </row>
    <row r="163" spans="1:9" ht="20.100000000000001" customHeight="1" x14ac:dyDescent="0.25">
      <c r="A163" s="3">
        <v>160</v>
      </c>
      <c r="B163" s="8" t="s">
        <v>309</v>
      </c>
      <c r="C163" s="5" t="s">
        <v>310</v>
      </c>
      <c r="D163" s="7" t="s">
        <v>311</v>
      </c>
      <c r="E163" s="7" t="s">
        <v>311</v>
      </c>
      <c r="F163" s="7" t="s">
        <v>20</v>
      </c>
      <c r="G163" s="7">
        <v>1</v>
      </c>
      <c r="H163" s="7">
        <v>10</v>
      </c>
      <c r="I163" s="5" t="str">
        <f t="shared" si="3"/>
        <v>(160,'OK1','Pipeline OK1','1972-01-01','1972-01-01',NULL,1,10),</v>
      </c>
    </row>
    <row r="164" spans="1:9" ht="20.100000000000001" customHeight="1" x14ac:dyDescent="0.25">
      <c r="A164" s="3">
        <v>161</v>
      </c>
      <c r="B164" s="8" t="s">
        <v>312</v>
      </c>
      <c r="C164" s="5" t="s">
        <v>313</v>
      </c>
      <c r="D164" s="6">
        <v>21064</v>
      </c>
      <c r="E164" s="6">
        <v>21889</v>
      </c>
      <c r="F164" s="7" t="s">
        <v>20</v>
      </c>
      <c r="G164" s="7">
        <v>1</v>
      </c>
      <c r="H164" s="7">
        <v>10</v>
      </c>
      <c r="I164" s="5" t="str">
        <f t="shared" si="3"/>
        <v>(161,'OB1','Pipeline OB1','1957-09-01','1959-12-05',NULL,1,10),</v>
      </c>
    </row>
    <row r="165" spans="1:9" ht="20.100000000000001" customHeight="1" x14ac:dyDescent="0.25">
      <c r="A165" s="3">
        <v>162</v>
      </c>
      <c r="B165" s="8" t="s">
        <v>314</v>
      </c>
      <c r="C165" s="5" t="s">
        <v>315</v>
      </c>
      <c r="D165" s="6">
        <v>35236</v>
      </c>
      <c r="E165" s="6">
        <v>36479</v>
      </c>
      <c r="F165" s="7" t="s">
        <v>20</v>
      </c>
      <c r="G165" s="7">
        <v>1</v>
      </c>
      <c r="H165" s="7">
        <v>10</v>
      </c>
      <c r="I165" s="5" t="str">
        <f t="shared" si="3"/>
        <v>(162,'ROB1-01','Pipeline ROB1-01','1996-06-20','1999-11-15',NULL,1,10),</v>
      </c>
    </row>
    <row r="166" spans="1:9" ht="20.100000000000001" customHeight="1" x14ac:dyDescent="0.25">
      <c r="A166" s="3">
        <v>163</v>
      </c>
      <c r="B166" s="8" t="s">
        <v>316</v>
      </c>
      <c r="C166" s="5" t="s">
        <v>317</v>
      </c>
      <c r="D166" s="6">
        <v>36595</v>
      </c>
      <c r="E166" s="6">
        <v>37855</v>
      </c>
      <c r="F166" s="7" t="s">
        <v>20</v>
      </c>
      <c r="G166" s="7">
        <v>1</v>
      </c>
      <c r="H166" s="7">
        <v>10</v>
      </c>
      <c r="I166" s="5" t="str">
        <f t="shared" si="3"/>
        <v>(163,'ROB1-02','Pipeline ROB1-02','2000-03-10','2003-08-22',NULL,1,10),</v>
      </c>
    </row>
    <row r="167" spans="1:9" ht="20.100000000000001" customHeight="1" x14ac:dyDescent="0.25">
      <c r="A167" s="3">
        <v>164</v>
      </c>
      <c r="B167" s="8" t="s">
        <v>318</v>
      </c>
      <c r="C167" s="5" t="s">
        <v>319</v>
      </c>
      <c r="D167" s="7" t="s">
        <v>320</v>
      </c>
      <c r="E167" s="7" t="s">
        <v>320</v>
      </c>
      <c r="F167" s="7" t="s">
        <v>20</v>
      </c>
      <c r="G167" s="7">
        <v>1</v>
      </c>
      <c r="H167" s="7">
        <v>10</v>
      </c>
      <c r="I167" s="5" t="str">
        <f t="shared" si="3"/>
        <v>(164,'OG1','Pipeline OG1','2005-07-04','2005-07-04',NULL,1,10),</v>
      </c>
    </row>
    <row r="168" spans="1:9" ht="20.100000000000001" customHeight="1" x14ac:dyDescent="0.25">
      <c r="A168" s="3">
        <v>165</v>
      </c>
      <c r="B168" s="8" t="s">
        <v>321</v>
      </c>
      <c r="C168" s="5" t="s">
        <v>322</v>
      </c>
      <c r="D168" s="6">
        <v>21337</v>
      </c>
      <c r="E168" s="6">
        <v>21930</v>
      </c>
      <c r="F168" s="7" t="s">
        <v>20</v>
      </c>
      <c r="G168" s="7">
        <v>1</v>
      </c>
      <c r="H168" s="7">
        <v>10</v>
      </c>
      <c r="I168" s="5" t="str">
        <f t="shared" si="3"/>
        <v>(165,'OT1','Pipeline OT1','1958-06-01','1960-01-15',NULL,1,10),</v>
      </c>
    </row>
    <row r="169" spans="1:9" ht="20.100000000000001" customHeight="1" x14ac:dyDescent="0.25">
      <c r="A169" s="3">
        <v>166</v>
      </c>
      <c r="B169" s="8" t="s">
        <v>323</v>
      </c>
      <c r="C169" s="5" t="s">
        <v>324</v>
      </c>
      <c r="D169" s="6" t="s">
        <v>325</v>
      </c>
      <c r="E169" s="6" t="s">
        <v>325</v>
      </c>
      <c r="F169" s="7" t="s">
        <v>20</v>
      </c>
      <c r="G169" s="7">
        <v>1</v>
      </c>
      <c r="H169" s="7">
        <v>10</v>
      </c>
      <c r="I169" s="5" t="str">
        <f t="shared" si="3"/>
        <v>(166,'OH1','Pipeline OH1','1982-01-01','1982-01-01',NULL,1,10),</v>
      </c>
    </row>
    <row r="170" spans="1:9" ht="20.100000000000001" customHeight="1" x14ac:dyDescent="0.25">
      <c r="A170" s="3">
        <v>167</v>
      </c>
      <c r="B170" s="4" t="s">
        <v>326</v>
      </c>
      <c r="C170" s="5" t="s">
        <v>327</v>
      </c>
      <c r="D170" s="6">
        <v>38582</v>
      </c>
      <c r="E170" s="6">
        <v>39624</v>
      </c>
      <c r="F170" s="7" t="s">
        <v>20</v>
      </c>
      <c r="G170" s="7">
        <v>1</v>
      </c>
      <c r="H170" s="7">
        <v>10</v>
      </c>
      <c r="I170" s="5" t="str">
        <f t="shared" si="3"/>
        <v>(167,'ROH1','Pipeline ROH1','2005-08-18','2008-06-25',NULL,1,10),</v>
      </c>
    </row>
    <row r="171" spans="1:9" ht="20.100000000000001" customHeight="1" x14ac:dyDescent="0.25">
      <c r="A171" s="3">
        <v>168</v>
      </c>
      <c r="B171" s="8" t="s">
        <v>328</v>
      </c>
      <c r="C171" s="5" t="s">
        <v>329</v>
      </c>
      <c r="D171" s="6" t="s">
        <v>330</v>
      </c>
      <c r="E171" s="6" t="s">
        <v>330</v>
      </c>
      <c r="F171" s="7" t="s">
        <v>20</v>
      </c>
      <c r="G171" s="7">
        <v>1</v>
      </c>
      <c r="H171" s="7">
        <v>10</v>
      </c>
      <c r="I171" s="5" t="str">
        <f t="shared" si="3"/>
        <v>(168,'OH2','Pipeline OH2','1972-04-10','1972-04-10',NULL,1,10),</v>
      </c>
    </row>
    <row r="172" spans="1:9" ht="20.100000000000001" customHeight="1" x14ac:dyDescent="0.25">
      <c r="A172" s="3">
        <v>169</v>
      </c>
      <c r="B172" s="8" t="s">
        <v>331</v>
      </c>
      <c r="C172" s="5" t="s">
        <v>332</v>
      </c>
      <c r="D172" s="6">
        <v>35476</v>
      </c>
      <c r="E172" s="6">
        <v>37026</v>
      </c>
      <c r="F172" s="7" t="s">
        <v>20</v>
      </c>
      <c r="G172" s="7">
        <v>1</v>
      </c>
      <c r="H172" s="7">
        <v>10</v>
      </c>
      <c r="I172" s="5" t="str">
        <f t="shared" si="3"/>
        <v>(169,'OH3','Pipeline OH3','1997-02-15','2001-05-15',NULL,1,10),</v>
      </c>
    </row>
    <row r="173" spans="1:9" ht="20.100000000000001" customHeight="1" x14ac:dyDescent="0.25">
      <c r="A173" s="3">
        <v>170</v>
      </c>
      <c r="B173" s="8" t="s">
        <v>333</v>
      </c>
      <c r="C173" s="5" t="s">
        <v>334</v>
      </c>
      <c r="D173" s="6" t="s">
        <v>335</v>
      </c>
      <c r="E173" s="6" t="s">
        <v>335</v>
      </c>
      <c r="F173" s="7" t="s">
        <v>20</v>
      </c>
      <c r="G173" s="7">
        <v>1</v>
      </c>
      <c r="H173" s="7">
        <v>10</v>
      </c>
      <c r="I173" s="5" t="str">
        <f t="shared" si="3"/>
        <v>(170,'OH4','Pipeline OH4','2006-01-01','2006-01-01',NULL,1,10),</v>
      </c>
    </row>
    <row r="174" spans="1:9" ht="20.100000000000001" customHeight="1" x14ac:dyDescent="0.25">
      <c r="A174" s="3">
        <v>171</v>
      </c>
      <c r="B174" s="8" t="s">
        <v>336</v>
      </c>
      <c r="C174" s="5" t="s">
        <v>337</v>
      </c>
      <c r="D174" s="6" t="s">
        <v>338</v>
      </c>
      <c r="E174" s="6" t="s">
        <v>338</v>
      </c>
      <c r="F174" s="7" t="s">
        <v>20</v>
      </c>
      <c r="G174" s="7">
        <v>1</v>
      </c>
      <c r="H174" s="7">
        <v>10</v>
      </c>
      <c r="I174" s="5" t="str">
        <f t="shared" si="3"/>
        <v>(171,'OD1','Pipeline OD1','1977-03-23','1977-03-23',NULL,1,10),</v>
      </c>
    </row>
    <row r="175" spans="1:9" ht="20.100000000000001" customHeight="1" x14ac:dyDescent="0.25">
      <c r="A175" s="3">
        <v>172</v>
      </c>
      <c r="B175" s="8" t="s">
        <v>339</v>
      </c>
      <c r="C175" s="5" t="s">
        <v>340</v>
      </c>
      <c r="D175" s="6">
        <v>38457</v>
      </c>
      <c r="E175" s="6">
        <v>39721</v>
      </c>
      <c r="F175" s="7" t="s">
        <v>20</v>
      </c>
      <c r="G175" s="7">
        <v>1</v>
      </c>
      <c r="H175" s="7">
        <v>10</v>
      </c>
      <c r="I175" s="5" t="str">
        <f t="shared" si="3"/>
        <v>(172,'ROD1','Pipeline ROD1','2005-04-15','2008-09-30',NULL,1,10),</v>
      </c>
    </row>
    <row r="176" spans="1:9" ht="20.100000000000001" customHeight="1" x14ac:dyDescent="0.25">
      <c r="A176" s="3">
        <v>173</v>
      </c>
      <c r="B176" s="8" t="s">
        <v>341</v>
      </c>
      <c r="C176" s="5" t="s">
        <v>342</v>
      </c>
      <c r="D176" s="6">
        <v>38970</v>
      </c>
      <c r="E176" s="6">
        <v>39921</v>
      </c>
      <c r="F176" s="7" t="s">
        <v>20</v>
      </c>
      <c r="G176" s="7">
        <v>1</v>
      </c>
      <c r="H176" s="7">
        <v>10</v>
      </c>
      <c r="I176" s="5" t="str">
        <f t="shared" si="3"/>
        <v>(173,'OD2','Pipeline OD2','2006-09-10','2009-04-18',NULL,1,10),</v>
      </c>
    </row>
    <row r="177" spans="1:9" ht="20.100000000000001" customHeight="1" x14ac:dyDescent="0.25">
      <c r="A177" s="3">
        <v>174</v>
      </c>
      <c r="B177" s="8" t="s">
        <v>343</v>
      </c>
      <c r="C177" s="5" t="s">
        <v>344</v>
      </c>
      <c r="D177" s="6">
        <v>39380</v>
      </c>
      <c r="E177" s="6">
        <v>40410</v>
      </c>
      <c r="F177" s="7" t="s">
        <v>20</v>
      </c>
      <c r="G177" s="7">
        <v>1</v>
      </c>
      <c r="H177" s="7">
        <v>10</v>
      </c>
      <c r="I177" s="5" t="str">
        <f t="shared" si="3"/>
        <v>(174,'OD3','Pipeline OD3','2007-10-25','2010-08-20',NULL,1,10),</v>
      </c>
    </row>
    <row r="178" spans="1:9" ht="20.100000000000001" customHeight="1" x14ac:dyDescent="0.25">
      <c r="A178" s="3">
        <v>175</v>
      </c>
      <c r="B178" s="8" t="s">
        <v>345</v>
      </c>
      <c r="C178" s="5" t="s">
        <v>346</v>
      </c>
      <c r="D178" s="6" t="s">
        <v>347</v>
      </c>
      <c r="E178" s="6" t="s">
        <v>347</v>
      </c>
      <c r="F178" s="7" t="s">
        <v>20</v>
      </c>
      <c r="G178" s="7">
        <v>1</v>
      </c>
      <c r="H178" s="7">
        <v>10</v>
      </c>
      <c r="I178" s="5" t="str">
        <f t="shared" si="3"/>
        <v>(175,'NZ1','Pipeline NZ1','1978-11-01','1978-11-01',NULL,1,10),</v>
      </c>
    </row>
    <row r="179" spans="1:9" ht="20.100000000000001" customHeight="1" x14ac:dyDescent="0.25">
      <c r="A179" s="3">
        <v>176</v>
      </c>
      <c r="B179" s="8" t="s">
        <v>348</v>
      </c>
      <c r="C179" s="5" t="s">
        <v>349</v>
      </c>
      <c r="D179" s="6" t="s">
        <v>350</v>
      </c>
      <c r="E179" s="6" t="s">
        <v>350</v>
      </c>
      <c r="F179" s="7" t="s">
        <v>20</v>
      </c>
      <c r="G179" s="7">
        <v>1</v>
      </c>
      <c r="H179" s="7">
        <v>10</v>
      </c>
      <c r="I179" s="5" t="str">
        <f t="shared" si="3"/>
        <v>(176,'NK1','Pipeline NK1','2009-08-04','2009-08-04',NULL,1,10),</v>
      </c>
    </row>
    <row r="180" spans="1:9" ht="20.100000000000001" customHeight="1" x14ac:dyDescent="0.25">
      <c r="A180" s="3">
        <v>177</v>
      </c>
      <c r="B180" s="8" t="s">
        <v>351</v>
      </c>
      <c r="C180" s="5" t="s">
        <v>352</v>
      </c>
      <c r="D180" s="6" t="s">
        <v>353</v>
      </c>
      <c r="E180" s="6" t="s">
        <v>353</v>
      </c>
      <c r="F180" s="7" t="s">
        <v>20</v>
      </c>
      <c r="G180" s="7">
        <v>1</v>
      </c>
      <c r="H180" s="7">
        <v>10</v>
      </c>
      <c r="I180" s="5" t="str">
        <f t="shared" si="3"/>
        <v>(177,'NH2','Pipeline NH2','1960-01-01','1960-01-01',NULL,1,10),</v>
      </c>
    </row>
    <row r="181" spans="1:9" ht="20.100000000000001" customHeight="1" x14ac:dyDescent="0.25">
      <c r="A181" s="3">
        <v>178</v>
      </c>
      <c r="B181" s="8" t="s">
        <v>354</v>
      </c>
      <c r="C181" s="5" t="s">
        <v>355</v>
      </c>
      <c r="D181" s="19">
        <v>37639</v>
      </c>
      <c r="E181" s="19">
        <v>38647</v>
      </c>
      <c r="F181" s="7" t="s">
        <v>20</v>
      </c>
      <c r="G181" s="7">
        <v>1</v>
      </c>
      <c r="H181" s="7">
        <v>10</v>
      </c>
      <c r="I181" s="5" t="str">
        <f t="shared" si="3"/>
        <v>(178,'LNZ1','Pipeline LNZ1','2003-01-18','2005-10-22',NULL,1,10),</v>
      </c>
    </row>
    <row r="182" spans="1:9" ht="20.100000000000001" customHeight="1" x14ac:dyDescent="0.25">
      <c r="A182" s="3">
        <v>179</v>
      </c>
      <c r="B182" s="8" t="s">
        <v>356</v>
      </c>
      <c r="C182" s="5" t="s">
        <v>357</v>
      </c>
      <c r="D182" s="6" t="s">
        <v>358</v>
      </c>
      <c r="E182" s="6" t="s">
        <v>358</v>
      </c>
      <c r="F182" s="7" t="s">
        <v>20</v>
      </c>
      <c r="G182" s="7">
        <v>1</v>
      </c>
      <c r="H182" s="7">
        <v>10</v>
      </c>
      <c r="I182" s="5" t="str">
        <f t="shared" si="3"/>
        <v>(179,'LZ1','Pipeline LZ1','1984-02-08','1984-02-08',NULL,1,10),</v>
      </c>
    </row>
    <row r="183" spans="1:9" ht="20.100000000000001" customHeight="1" x14ac:dyDescent="0.25">
      <c r="A183" s="3">
        <v>180</v>
      </c>
      <c r="B183" s="8" t="s">
        <v>359</v>
      </c>
      <c r="C183" s="5" t="s">
        <v>360</v>
      </c>
      <c r="D183" s="6" t="s">
        <v>361</v>
      </c>
      <c r="E183" s="6" t="s">
        <v>361</v>
      </c>
      <c r="F183" s="7" t="s">
        <v>20</v>
      </c>
      <c r="G183" s="7">
        <v>1</v>
      </c>
      <c r="H183" s="7">
        <v>10</v>
      </c>
      <c r="I183" s="5" t="str">
        <f t="shared" si="3"/>
        <v>(180,'LZ2','Pipeline LZ2','2010-11-01','2010-11-01',NULL,1,10),</v>
      </c>
    </row>
    <row r="184" spans="1:9" ht="20.100000000000001" customHeight="1" x14ac:dyDescent="0.25">
      <c r="A184" s="3">
        <v>181</v>
      </c>
      <c r="B184" s="8" t="s">
        <v>362</v>
      </c>
      <c r="C184" s="5" t="s">
        <v>363</v>
      </c>
      <c r="D184" s="6" t="s">
        <v>364</v>
      </c>
      <c r="E184" s="6" t="s">
        <v>364</v>
      </c>
      <c r="F184" s="7" t="s">
        <v>20</v>
      </c>
      <c r="G184" s="7">
        <v>1</v>
      </c>
      <c r="H184" s="7">
        <v>10</v>
      </c>
      <c r="I184" s="5" t="str">
        <f t="shared" si="3"/>
        <v>(181,'LR1','Pipeline LR1','1996-01-01','1996-01-01',NULL,1,10),</v>
      </c>
    </row>
    <row r="185" spans="1:9" ht="20.100000000000001" customHeight="1" x14ac:dyDescent="0.25">
      <c r="A185" s="3">
        <v>182</v>
      </c>
      <c r="B185" s="8" t="s">
        <v>365</v>
      </c>
      <c r="C185" s="5" t="s">
        <v>366</v>
      </c>
      <c r="D185" s="6" t="s">
        <v>367</v>
      </c>
      <c r="E185" s="7" t="s">
        <v>367</v>
      </c>
      <c r="F185" s="7" t="s">
        <v>20</v>
      </c>
      <c r="G185" s="7">
        <v>1</v>
      </c>
      <c r="H185" s="7">
        <v>10</v>
      </c>
      <c r="I185" s="5" t="str">
        <f t="shared" si="3"/>
        <v>(182,'DLR1','Pipeline DLR1','2004-10-04','2004-10-04',NULL,1,10),</v>
      </c>
    </row>
    <row r="186" spans="1:9" ht="20.100000000000001" customHeight="1" x14ac:dyDescent="0.25">
      <c r="A186" s="3">
        <v>183</v>
      </c>
      <c r="B186" s="8" t="s">
        <v>368</v>
      </c>
      <c r="C186" s="5" t="s">
        <v>369</v>
      </c>
      <c r="D186" s="6" t="s">
        <v>370</v>
      </c>
      <c r="E186" s="7" t="s">
        <v>370</v>
      </c>
      <c r="F186" s="7" t="s">
        <v>20</v>
      </c>
      <c r="G186" s="7">
        <v>1</v>
      </c>
      <c r="H186" s="7">
        <v>10</v>
      </c>
      <c r="I186" s="5" t="str">
        <f t="shared" si="3"/>
        <v>(183,'ELR1','Pipeline ELR1','2014-01-01','2014-01-01',NULL,1,10),</v>
      </c>
    </row>
    <row r="187" spans="1:9" ht="20.100000000000001" customHeight="1" x14ac:dyDescent="0.25">
      <c r="A187" s="3">
        <v>184</v>
      </c>
      <c r="B187" s="8" t="s">
        <v>371</v>
      </c>
      <c r="C187" s="5" t="s">
        <v>372</v>
      </c>
      <c r="D187" s="6">
        <v>21976</v>
      </c>
      <c r="E187" s="6">
        <v>22372</v>
      </c>
      <c r="F187" s="7" t="s">
        <v>20</v>
      </c>
      <c r="G187" s="7">
        <v>1</v>
      </c>
      <c r="H187" s="7">
        <v>10</v>
      </c>
      <c r="I187" s="5" t="str">
        <f t="shared" si="3"/>
        <v>(184,'GZ0','Pipeline GZ0','1960-03-01','1961-04-01',NULL,1,10),</v>
      </c>
    </row>
    <row r="188" spans="1:9" ht="20.100000000000001" customHeight="1" x14ac:dyDescent="0.25">
      <c r="A188" s="3">
        <v>185</v>
      </c>
      <c r="B188" s="8" t="s">
        <v>373</v>
      </c>
      <c r="C188" s="5" t="s">
        <v>374</v>
      </c>
      <c r="D188" s="6" t="s">
        <v>375</v>
      </c>
      <c r="E188" s="7" t="s">
        <v>375</v>
      </c>
      <c r="F188" s="7" t="s">
        <v>20</v>
      </c>
      <c r="G188" s="7">
        <v>1</v>
      </c>
      <c r="H188" s="7">
        <v>10</v>
      </c>
      <c r="I188" s="5" t="str">
        <f t="shared" si="3"/>
        <v>(185,'GZ0 Bis','Pipeline GZ0 Bis','2022-09-01','2022-09-01',NULL,1,10),</v>
      </c>
    </row>
    <row r="189" spans="1:9" ht="20.100000000000001" customHeight="1" x14ac:dyDescent="0.25">
      <c r="A189" s="3">
        <v>186</v>
      </c>
      <c r="B189" s="8" t="s">
        <v>376</v>
      </c>
      <c r="C189" s="5" t="s">
        <v>377</v>
      </c>
      <c r="D189" s="6" t="s">
        <v>378</v>
      </c>
      <c r="E189" s="7" t="s">
        <v>378</v>
      </c>
      <c r="F189" s="7" t="s">
        <v>20</v>
      </c>
      <c r="G189" s="7">
        <v>1</v>
      </c>
      <c r="H189" s="7">
        <v>10</v>
      </c>
      <c r="I189" s="5" t="str">
        <f t="shared" si="3"/>
        <v>(186,'GZ1','Pipeline GZ1','1976-01-01','1976-01-01',NULL,1,10),</v>
      </c>
    </row>
    <row r="190" spans="1:9" ht="20.100000000000001" customHeight="1" x14ac:dyDescent="0.25">
      <c r="A190" s="3">
        <v>187</v>
      </c>
      <c r="B190" s="8" t="s">
        <v>379</v>
      </c>
      <c r="C190" s="5" t="s">
        <v>380</v>
      </c>
      <c r="D190" s="6" t="s">
        <v>325</v>
      </c>
      <c r="E190" s="7" t="s">
        <v>325</v>
      </c>
      <c r="F190" s="7" t="s">
        <v>20</v>
      </c>
      <c r="G190" s="7">
        <v>1</v>
      </c>
      <c r="H190" s="7">
        <v>10</v>
      </c>
      <c r="I190" s="5" t="str">
        <f t="shared" si="3"/>
        <v>(187,'GZ2','Pipeline GZ2','1982-01-01','1982-01-01',NULL,1,10),</v>
      </c>
    </row>
    <row r="191" spans="1:9" ht="20.100000000000001" customHeight="1" x14ac:dyDescent="0.25">
      <c r="A191" s="3">
        <v>188</v>
      </c>
      <c r="B191" s="8" t="s">
        <v>381</v>
      </c>
      <c r="C191" s="5" t="s">
        <v>382</v>
      </c>
      <c r="D191" s="6">
        <v>37333</v>
      </c>
      <c r="E191" s="6">
        <v>38405</v>
      </c>
      <c r="F191" s="7" t="s">
        <v>20</v>
      </c>
      <c r="G191" s="7">
        <v>1</v>
      </c>
      <c r="H191" s="7">
        <v>10</v>
      </c>
      <c r="I191" s="5" t="str">
        <f t="shared" si="3"/>
        <v>(188,'RGZ2','Pipeline RGZ2','2002-03-18','2005-02-22',NULL,1,10),</v>
      </c>
    </row>
    <row r="192" spans="1:9" ht="20.100000000000001" customHeight="1" x14ac:dyDescent="0.25">
      <c r="A192" s="3">
        <v>189</v>
      </c>
      <c r="B192" s="8" t="s">
        <v>383</v>
      </c>
      <c r="C192" s="5" t="s">
        <v>384</v>
      </c>
      <c r="D192" s="6" t="s">
        <v>385</v>
      </c>
      <c r="E192" s="7" t="s">
        <v>385</v>
      </c>
      <c r="F192" s="7" t="s">
        <v>20</v>
      </c>
      <c r="G192" s="7">
        <v>1</v>
      </c>
      <c r="H192" s="7">
        <v>10</v>
      </c>
      <c r="I192" s="5" t="str">
        <f t="shared" si="3"/>
        <v>(189,'GZ3','Pipeline GZ3','1989-01-01','1989-01-01',NULL,1,10),</v>
      </c>
    </row>
    <row r="193" spans="1:9" ht="20.100000000000001" customHeight="1" x14ac:dyDescent="0.25">
      <c r="A193" s="3">
        <v>190</v>
      </c>
      <c r="B193" s="8" t="s">
        <v>386</v>
      </c>
      <c r="C193" s="5" t="s">
        <v>387</v>
      </c>
      <c r="D193" s="6" t="s">
        <v>388</v>
      </c>
      <c r="E193" s="7" t="s">
        <v>388</v>
      </c>
      <c r="F193" s="7" t="s">
        <v>20</v>
      </c>
      <c r="G193" s="7">
        <v>1</v>
      </c>
      <c r="H193" s="7">
        <v>10</v>
      </c>
      <c r="I193" s="5" t="str">
        <f t="shared" si="3"/>
        <v>(190,'RGZ3-01','Pipeline RGZ3-01','2018-01-01','2018-01-01',NULL,1,10),</v>
      </c>
    </row>
    <row r="194" spans="1:9" ht="20.100000000000001" customHeight="1" x14ac:dyDescent="0.25">
      <c r="A194" s="3">
        <v>191</v>
      </c>
      <c r="B194" s="8" t="s">
        <v>389</v>
      </c>
      <c r="C194" s="5" t="s">
        <v>390</v>
      </c>
      <c r="D194" s="6">
        <v>37753</v>
      </c>
      <c r="E194" s="6">
        <v>38949</v>
      </c>
      <c r="F194" s="7" t="s">
        <v>20</v>
      </c>
      <c r="G194" s="7">
        <v>1</v>
      </c>
      <c r="H194" s="7">
        <v>10</v>
      </c>
      <c r="I194" s="5" t="str">
        <f t="shared" si="3"/>
        <v>(191,'RGZ3-02','Pipeline RGZ3-02','2003-05-12','2006-08-20',NULL,1,10),</v>
      </c>
    </row>
    <row r="195" spans="1:9" ht="20.100000000000001" customHeight="1" x14ac:dyDescent="0.25">
      <c r="A195" s="3">
        <v>192</v>
      </c>
      <c r="B195" s="8" t="s">
        <v>391</v>
      </c>
      <c r="C195" s="5" t="s">
        <v>392</v>
      </c>
      <c r="D195" s="6" t="s">
        <v>393</v>
      </c>
      <c r="E195" s="6" t="s">
        <v>393</v>
      </c>
      <c r="F195" s="7" t="s">
        <v>20</v>
      </c>
      <c r="G195" s="7">
        <v>1</v>
      </c>
      <c r="H195" s="7">
        <v>10</v>
      </c>
      <c r="I195" s="5" t="str">
        <f t="shared" si="3"/>
        <v>(192,'GZ4-01','Pipeline GZ4-01','2010-04-16','2010-04-16',NULL,1,10),</v>
      </c>
    </row>
    <row r="196" spans="1:9" ht="20.100000000000001" customHeight="1" x14ac:dyDescent="0.25">
      <c r="A196" s="3">
        <v>193</v>
      </c>
      <c r="B196" s="8" t="s">
        <v>394</v>
      </c>
      <c r="C196" s="5" t="s">
        <v>395</v>
      </c>
      <c r="D196" s="6">
        <v>38006</v>
      </c>
      <c r="E196" s="6">
        <v>39018</v>
      </c>
      <c r="F196" s="7" t="s">
        <v>20</v>
      </c>
      <c r="G196" s="7">
        <v>1</v>
      </c>
      <c r="H196" s="7">
        <v>10</v>
      </c>
      <c r="I196" s="5" t="str">
        <f t="shared" si="3"/>
        <v>(193,'GZ4-02','Pipeline GZ4-02','2004-01-20','2006-10-28',NULL,1,10),</v>
      </c>
    </row>
    <row r="197" spans="1:9" ht="20.100000000000001" customHeight="1" x14ac:dyDescent="0.25">
      <c r="A197" s="3">
        <v>194</v>
      </c>
      <c r="B197" s="8" t="s">
        <v>396</v>
      </c>
      <c r="C197" s="5" t="s">
        <v>397</v>
      </c>
      <c r="D197" s="6">
        <v>38398</v>
      </c>
      <c r="E197" s="6">
        <v>39416</v>
      </c>
      <c r="F197" s="7" t="s">
        <v>20</v>
      </c>
      <c r="G197" s="7">
        <v>1</v>
      </c>
      <c r="H197" s="7">
        <v>10</v>
      </c>
      <c r="I197" s="5" t="str">
        <f t="shared" si="3"/>
        <v>(194,'GZ4-03','Pipeline GZ4-03','2005-02-15','2007-11-30',NULL,1,10),</v>
      </c>
    </row>
    <row r="198" spans="1:9" ht="20.100000000000001" customHeight="1" x14ac:dyDescent="0.25">
      <c r="A198" s="3">
        <v>195</v>
      </c>
      <c r="B198" s="8" t="s">
        <v>398</v>
      </c>
      <c r="C198" s="5" t="s">
        <v>399</v>
      </c>
      <c r="D198" s="6" t="s">
        <v>400</v>
      </c>
      <c r="E198" s="6" t="s">
        <v>401</v>
      </c>
      <c r="F198" s="7" t="s">
        <v>20</v>
      </c>
      <c r="G198" s="7">
        <v>1</v>
      </c>
      <c r="H198" s="7">
        <v>10</v>
      </c>
      <c r="I198" s="5" t="str">
        <f t="shared" si="3"/>
        <v>(195,'GK1','Pipeline GK1','1971-01-01','1978-01-01',NULL,1,10),</v>
      </c>
    </row>
    <row r="199" spans="1:9" ht="20.100000000000001" customHeight="1" x14ac:dyDescent="0.25">
      <c r="A199" s="3">
        <v>196</v>
      </c>
      <c r="B199" s="8" t="s">
        <v>402</v>
      </c>
      <c r="C199" s="5" t="s">
        <v>403</v>
      </c>
      <c r="D199" s="6" t="s">
        <v>404</v>
      </c>
      <c r="E199" s="6" t="s">
        <v>405</v>
      </c>
      <c r="F199" s="7" t="s">
        <v>20</v>
      </c>
      <c r="G199" s="7">
        <v>1</v>
      </c>
      <c r="H199" s="7">
        <v>10</v>
      </c>
      <c r="I199" s="5" t="str">
        <f t="shared" si="3"/>
        <v>(196,'GK2','Pipeline GK2','1998-01-01','2001-01-01',NULL,1,10),</v>
      </c>
    </row>
    <row r="200" spans="1:9" ht="20.100000000000001" customHeight="1" x14ac:dyDescent="0.25">
      <c r="A200" s="3">
        <v>197</v>
      </c>
      <c r="B200" s="8" t="s">
        <v>406</v>
      </c>
      <c r="C200" s="5" t="s">
        <v>407</v>
      </c>
      <c r="D200" s="6" t="s">
        <v>408</v>
      </c>
      <c r="E200" s="6" t="s">
        <v>408</v>
      </c>
      <c r="F200" s="7" t="s">
        <v>20</v>
      </c>
      <c r="G200" s="7">
        <v>1</v>
      </c>
      <c r="H200" s="7">
        <v>10</v>
      </c>
      <c r="I200" s="5" t="str">
        <f t="shared" si="3"/>
        <v>(197,'GK3-01','Pipeline GK3-01','2012-01-01','2012-01-01',NULL,1,10),</v>
      </c>
    </row>
    <row r="201" spans="1:9" ht="20.100000000000001" customHeight="1" x14ac:dyDescent="0.25">
      <c r="A201" s="3">
        <v>198</v>
      </c>
      <c r="B201" s="8" t="s">
        <v>409</v>
      </c>
      <c r="C201" s="5" t="s">
        <v>410</v>
      </c>
      <c r="D201" s="6">
        <v>37700</v>
      </c>
      <c r="E201" s="6">
        <v>38640</v>
      </c>
      <c r="F201" s="7" t="s">
        <v>20</v>
      </c>
      <c r="G201" s="7">
        <v>1</v>
      </c>
      <c r="H201" s="7">
        <v>10</v>
      </c>
      <c r="I201" s="5" t="str">
        <f t="shared" si="3"/>
        <v>(198,'GK3-02','Pipeline GK3-02','2003-03-20','2005-10-15',NULL,1,10),</v>
      </c>
    </row>
    <row r="202" spans="1:9" ht="20.100000000000001" customHeight="1" x14ac:dyDescent="0.25">
      <c r="A202" s="3">
        <v>199</v>
      </c>
      <c r="B202" s="8" t="s">
        <v>411</v>
      </c>
      <c r="C202" s="5" t="s">
        <v>412</v>
      </c>
      <c r="D202" s="6" t="s">
        <v>413</v>
      </c>
      <c r="E202" s="6" t="s">
        <v>413</v>
      </c>
      <c r="F202" s="7" t="s">
        <v>20</v>
      </c>
      <c r="G202" s="7">
        <v>1</v>
      </c>
      <c r="H202" s="7">
        <v>10</v>
      </c>
      <c r="I202" s="5" t="str">
        <f t="shared" si="3"/>
        <v>(199,'GG1','Pipeline GG1','1981-01-01','1981-01-01',NULL,1,10),</v>
      </c>
    </row>
    <row r="203" spans="1:9" ht="20.100000000000001" customHeight="1" x14ac:dyDescent="0.25">
      <c r="A203" s="3">
        <v>200</v>
      </c>
      <c r="B203" s="8" t="s">
        <v>414</v>
      </c>
      <c r="C203" s="5" t="s">
        <v>415</v>
      </c>
      <c r="D203" s="6" t="s">
        <v>416</v>
      </c>
      <c r="E203" s="6" t="s">
        <v>416</v>
      </c>
      <c r="F203" s="7" t="s">
        <v>20</v>
      </c>
      <c r="G203" s="7">
        <v>1</v>
      </c>
      <c r="H203" s="7">
        <v>10</v>
      </c>
      <c r="I203" s="5" t="str">
        <f t="shared" si="3"/>
        <v>(200,'RGG1','Pipeline RGG1','2019-01-01','2019-01-01',NULL,1,10),</v>
      </c>
    </row>
    <row r="204" spans="1:9" ht="20.100000000000001" customHeight="1" x14ac:dyDescent="0.25">
      <c r="A204" s="3">
        <v>201</v>
      </c>
      <c r="B204" s="8" t="s">
        <v>417</v>
      </c>
      <c r="C204" s="5" t="s">
        <v>418</v>
      </c>
      <c r="D204" s="6">
        <v>34222</v>
      </c>
      <c r="E204" s="6">
        <v>35389</v>
      </c>
      <c r="F204" s="7" t="s">
        <v>20</v>
      </c>
      <c r="G204" s="7">
        <v>1</v>
      </c>
      <c r="H204" s="7">
        <v>10</v>
      </c>
      <c r="I204" s="5" t="str">
        <f t="shared" si="3"/>
        <v>(201,'GM1','Pipeline GM1','1993-09-10','1996-11-20',NULL,1,10),</v>
      </c>
    </row>
    <row r="205" spans="1:9" ht="20.100000000000001" customHeight="1" x14ac:dyDescent="0.25">
      <c r="A205" s="3">
        <v>202</v>
      </c>
      <c r="B205" s="8" t="s">
        <v>419</v>
      </c>
      <c r="C205" s="5" t="s">
        <v>420</v>
      </c>
      <c r="D205" s="6" t="s">
        <v>421</v>
      </c>
      <c r="E205" s="6" t="s">
        <v>421</v>
      </c>
      <c r="F205" s="7" t="s">
        <v>20</v>
      </c>
      <c r="G205" s="7">
        <v>1</v>
      </c>
      <c r="H205" s="7">
        <v>10</v>
      </c>
      <c r="I205" s="5" t="str">
        <f t="shared" si="3"/>
        <v>(202,'GR1','Pipeline GR1','1986-01-01','1986-01-01',NULL,1,10),</v>
      </c>
    </row>
    <row r="206" spans="1:9" ht="20.100000000000001" customHeight="1" x14ac:dyDescent="0.25">
      <c r="A206" s="3">
        <v>203</v>
      </c>
      <c r="B206" s="8" t="s">
        <v>422</v>
      </c>
      <c r="C206" s="5" t="s">
        <v>423</v>
      </c>
      <c r="D206" s="6" t="s">
        <v>424</v>
      </c>
      <c r="E206" s="6" t="s">
        <v>424</v>
      </c>
      <c r="F206" s="7" t="s">
        <v>20</v>
      </c>
      <c r="G206" s="7">
        <v>1</v>
      </c>
      <c r="H206" s="7">
        <v>10</v>
      </c>
      <c r="I206" s="5" t="str">
        <f t="shared" si="3"/>
        <v>(203,'GR2','Pipeline GR2','1999-01-01','1999-01-01',NULL,1,10),</v>
      </c>
    </row>
    <row r="207" spans="1:9" ht="20.100000000000001" customHeight="1" x14ac:dyDescent="0.25">
      <c r="A207" s="3">
        <v>204</v>
      </c>
      <c r="B207" s="8" t="s">
        <v>425</v>
      </c>
      <c r="C207" s="5" t="s">
        <v>426</v>
      </c>
      <c r="D207" s="6">
        <v>38064</v>
      </c>
      <c r="E207" s="6">
        <v>39285</v>
      </c>
      <c r="F207" s="7" t="s">
        <v>20</v>
      </c>
      <c r="G207" s="7">
        <v>1</v>
      </c>
      <c r="H207" s="7">
        <v>10</v>
      </c>
      <c r="I207" s="5" t="str">
        <f t="shared" si="3"/>
        <v>(204,'GR3','Pipeline GR3','2004-03-18','2007-07-22',NULL,1,10),</v>
      </c>
    </row>
    <row r="208" spans="1:9" ht="20.100000000000001" customHeight="1" x14ac:dyDescent="0.25">
      <c r="A208" s="3">
        <v>205</v>
      </c>
      <c r="B208" s="8" t="s">
        <v>427</v>
      </c>
      <c r="C208" s="5" t="s">
        <v>428</v>
      </c>
      <c r="D208" s="6" t="s">
        <v>370</v>
      </c>
      <c r="E208" s="6" t="s">
        <v>370</v>
      </c>
      <c r="F208" s="7" t="s">
        <v>20</v>
      </c>
      <c r="G208" s="7">
        <v>1</v>
      </c>
      <c r="H208" s="7">
        <v>10</v>
      </c>
      <c r="I208" s="5" t="str">
        <f t="shared" ref="I208:I232" si="4">CONCATENATE("(",A208,",'",B208,"','",C208,"','",TEXT(D208,"aaaa-mm-jj"),"','",TEXT(E208,"aaaa-mm-jj"),"',",F208,",",G208,",",H208,"),")</f>
        <v>(205,'GR4','Pipeline GR4','2014-01-01','2014-01-01',NULL,1,10),</v>
      </c>
    </row>
    <row r="209" spans="1:9" ht="20.100000000000001" customHeight="1" x14ac:dyDescent="0.25">
      <c r="A209" s="3">
        <v>206</v>
      </c>
      <c r="B209" s="8" t="s">
        <v>429</v>
      </c>
      <c r="C209" s="5" t="s">
        <v>430</v>
      </c>
      <c r="D209" s="6" t="s">
        <v>431</v>
      </c>
      <c r="E209" s="6" t="s">
        <v>431</v>
      </c>
      <c r="F209" s="7" t="s">
        <v>20</v>
      </c>
      <c r="G209" s="7">
        <v>1</v>
      </c>
      <c r="H209" s="7">
        <v>10</v>
      </c>
      <c r="I209" s="5" t="str">
        <f t="shared" si="4"/>
        <v>(206,'GR5','Pipeline GR5','2017-06-01','2017-06-01',NULL,1,10),</v>
      </c>
    </row>
    <row r="210" spans="1:9" ht="20.100000000000001" customHeight="1" x14ac:dyDescent="0.25">
      <c r="A210" s="3">
        <v>207</v>
      </c>
      <c r="B210" s="8" t="s">
        <v>432</v>
      </c>
      <c r="C210" s="5" t="s">
        <v>433</v>
      </c>
      <c r="D210" s="6" t="s">
        <v>434</v>
      </c>
      <c r="E210" s="6" t="s">
        <v>434</v>
      </c>
      <c r="F210" s="7" t="s">
        <v>20</v>
      </c>
      <c r="G210" s="7">
        <v>1</v>
      </c>
      <c r="H210" s="7">
        <v>10</v>
      </c>
      <c r="I210" s="5" t="str">
        <f t="shared" si="4"/>
        <v>(207,'GR6','Pipeline GR6','2017-01-01','2017-01-01',NULL,1,10),</v>
      </c>
    </row>
    <row r="211" spans="1:9" ht="20.100000000000001" customHeight="1" x14ac:dyDescent="0.25">
      <c r="A211" s="3">
        <v>208</v>
      </c>
      <c r="B211" s="8" t="s">
        <v>435</v>
      </c>
      <c r="C211" s="5" t="s">
        <v>436</v>
      </c>
      <c r="D211" s="6" t="s">
        <v>437</v>
      </c>
      <c r="E211" s="6" t="s">
        <v>437</v>
      </c>
      <c r="F211" s="7" t="s">
        <v>20</v>
      </c>
      <c r="G211" s="7">
        <v>1</v>
      </c>
      <c r="H211" s="7">
        <v>10</v>
      </c>
      <c r="I211" s="5" t="str">
        <f t="shared" si="4"/>
        <v>(208,'GR7','Pipeline GR7','2019-12-01','2019-12-01',NULL,1,10),</v>
      </c>
    </row>
    <row r="212" spans="1:9" ht="20.100000000000001" customHeight="1" x14ac:dyDescent="0.25">
      <c r="A212" s="3">
        <v>209</v>
      </c>
      <c r="B212" s="8" t="s">
        <v>438</v>
      </c>
      <c r="C212" s="5" t="s">
        <v>439</v>
      </c>
      <c r="D212" s="6" t="s">
        <v>364</v>
      </c>
      <c r="E212" s="6" t="s">
        <v>364</v>
      </c>
      <c r="F212" s="7" t="s">
        <v>20</v>
      </c>
      <c r="G212" s="7">
        <v>1</v>
      </c>
      <c r="H212" s="7">
        <v>10</v>
      </c>
      <c r="I212" s="5" t="str">
        <f t="shared" si="4"/>
        <v>(209,'GPDF','Pipeline GPDF','1996-01-01','1996-01-01',NULL,1,10),</v>
      </c>
    </row>
    <row r="213" spans="1:9" ht="20.100000000000001" customHeight="1" x14ac:dyDescent="0.25">
      <c r="A213" s="3">
        <v>210</v>
      </c>
      <c r="B213" s="8" t="s">
        <v>440</v>
      </c>
      <c r="C213" s="5" t="s">
        <v>441</v>
      </c>
      <c r="D213" s="6" t="s">
        <v>442</v>
      </c>
      <c r="E213" s="6" t="s">
        <v>442</v>
      </c>
      <c r="F213" s="7" t="s">
        <v>20</v>
      </c>
      <c r="G213" s="7">
        <v>1</v>
      </c>
      <c r="H213" s="7">
        <v>10</v>
      </c>
      <c r="I213" s="5" t="str">
        <f t="shared" si="4"/>
        <v>(210,'EGPDF','Pipeline EGPDF','2021-01-01','2021-01-01',NULL,1,10),</v>
      </c>
    </row>
    <row r="214" spans="1:9" ht="20.100000000000001" customHeight="1" x14ac:dyDescent="0.25">
      <c r="A214" s="3">
        <v>211</v>
      </c>
      <c r="B214" s="8" t="s">
        <v>443</v>
      </c>
      <c r="C214" s="5" t="s">
        <v>444</v>
      </c>
      <c r="D214" s="6" t="s">
        <v>325</v>
      </c>
      <c r="E214" s="6" t="s">
        <v>325</v>
      </c>
      <c r="F214" s="7" t="s">
        <v>20</v>
      </c>
      <c r="G214" s="7">
        <v>1</v>
      </c>
      <c r="H214" s="7">
        <v>10</v>
      </c>
      <c r="I214" s="5" t="str">
        <f t="shared" si="4"/>
        <v>(211,'GO1','Pipeline GO1','1982-01-01','1982-01-01',NULL,1,10),</v>
      </c>
    </row>
    <row r="215" spans="1:9" ht="20.100000000000001" customHeight="1" x14ac:dyDescent="0.25">
      <c r="A215" s="3">
        <v>212</v>
      </c>
      <c r="B215" s="8" t="s">
        <v>445</v>
      </c>
      <c r="C215" s="5" t="s">
        <v>446</v>
      </c>
      <c r="D215" s="6" t="s">
        <v>447</v>
      </c>
      <c r="E215" s="7" t="s">
        <v>447</v>
      </c>
      <c r="F215" s="7" t="s">
        <v>20</v>
      </c>
      <c r="G215" s="7">
        <v>1</v>
      </c>
      <c r="H215" s="7">
        <v>10</v>
      </c>
      <c r="I215" s="5" t="str">
        <f t="shared" si="4"/>
        <v>(212,'GO2','Pipeline GO2','1987-01-01','1987-01-01',NULL,1,10),</v>
      </c>
    </row>
    <row r="216" spans="1:9" ht="20.100000000000001" customHeight="1" x14ac:dyDescent="0.25">
      <c r="A216" s="3">
        <v>213</v>
      </c>
      <c r="B216" s="8" t="s">
        <v>448</v>
      </c>
      <c r="C216" s="5" t="s">
        <v>449</v>
      </c>
      <c r="D216" s="6" t="s">
        <v>450</v>
      </c>
      <c r="E216" s="7" t="s">
        <v>451</v>
      </c>
      <c r="F216" s="7" t="s">
        <v>20</v>
      </c>
      <c r="G216" s="7">
        <v>1</v>
      </c>
      <c r="H216" s="7">
        <v>10</v>
      </c>
      <c r="I216" s="5" t="str">
        <f t="shared" si="4"/>
        <v>(213,'GO3','Pipeline GO3','2008-01-01','2010-01-01',NULL,1,10),</v>
      </c>
    </row>
    <row r="217" spans="1:9" ht="20.100000000000001" customHeight="1" x14ac:dyDescent="0.25">
      <c r="A217" s="3">
        <v>214</v>
      </c>
      <c r="B217" s="8" t="s">
        <v>452</v>
      </c>
      <c r="C217" s="5" t="s">
        <v>453</v>
      </c>
      <c r="D217" s="6">
        <v>24053</v>
      </c>
      <c r="E217" s="7" t="s">
        <v>20</v>
      </c>
      <c r="F217" s="7" t="s">
        <v>20</v>
      </c>
      <c r="G217" s="7">
        <v>1</v>
      </c>
      <c r="H217" s="7">
        <v>10</v>
      </c>
      <c r="I217" s="5" t="str">
        <f t="shared" si="4"/>
        <v>(214,'S01-OZ1','Segment 01-OZ1','1965-11-07','NULL',NULL,1,10),</v>
      </c>
    </row>
    <row r="218" spans="1:9" ht="20.100000000000001" customHeight="1" x14ac:dyDescent="0.25">
      <c r="A218" s="3">
        <v>215</v>
      </c>
      <c r="B218" s="8" t="s">
        <v>454</v>
      </c>
      <c r="C218" s="5" t="s">
        <v>455</v>
      </c>
      <c r="D218" s="6">
        <v>24053</v>
      </c>
      <c r="E218" s="7" t="s">
        <v>20</v>
      </c>
      <c r="F218" s="7" t="s">
        <v>20</v>
      </c>
      <c r="G218" s="7">
        <v>1</v>
      </c>
      <c r="H218" s="7">
        <v>10</v>
      </c>
      <c r="I218" s="5" t="str">
        <f t="shared" si="4"/>
        <v>(215,'S02-OZ1','Segment 02-OZ1','1965-11-07','NULL',NULL,1,10),</v>
      </c>
    </row>
    <row r="219" spans="1:9" ht="20.100000000000001" customHeight="1" x14ac:dyDescent="0.25">
      <c r="A219" s="3">
        <v>216</v>
      </c>
      <c r="B219" s="8" t="s">
        <v>456</v>
      </c>
      <c r="C219" s="5" t="s">
        <v>457</v>
      </c>
      <c r="D219" s="6">
        <v>24053</v>
      </c>
      <c r="E219" s="7" t="s">
        <v>20</v>
      </c>
      <c r="F219" s="7" t="s">
        <v>20</v>
      </c>
      <c r="G219" s="7">
        <v>1</v>
      </c>
      <c r="H219" s="7">
        <v>10</v>
      </c>
      <c r="I219" s="5" t="str">
        <f t="shared" si="4"/>
        <v>(216,'S03-OZ1','Segment 03-OZ1','1965-11-07','NULL',NULL,1,10),</v>
      </c>
    </row>
    <row r="220" spans="1:9" ht="20.100000000000001" customHeight="1" x14ac:dyDescent="0.25">
      <c r="A220" s="3">
        <v>217</v>
      </c>
      <c r="B220" s="8" t="s">
        <v>458</v>
      </c>
      <c r="C220" s="5" t="s">
        <v>459</v>
      </c>
      <c r="D220" s="6">
        <v>24053</v>
      </c>
      <c r="E220" s="7" t="s">
        <v>20</v>
      </c>
      <c r="F220" s="7" t="s">
        <v>20</v>
      </c>
      <c r="G220" s="7">
        <v>1</v>
      </c>
      <c r="H220" s="7">
        <v>10</v>
      </c>
      <c r="I220" s="5" t="str">
        <f t="shared" si="4"/>
        <v>(217,'S04-OZ1','Segment 04-OZ1','1965-11-07','NULL',NULL,1,10),</v>
      </c>
    </row>
    <row r="221" spans="1:9" ht="20.100000000000001" customHeight="1" x14ac:dyDescent="0.25">
      <c r="A221" s="3">
        <v>218</v>
      </c>
      <c r="B221" s="8" t="s">
        <v>460</v>
      </c>
      <c r="C221" s="5" t="s">
        <v>461</v>
      </c>
      <c r="D221" s="6">
        <v>24053</v>
      </c>
      <c r="E221" s="7" t="s">
        <v>20</v>
      </c>
      <c r="F221" s="7" t="s">
        <v>20</v>
      </c>
      <c r="G221" s="7">
        <v>1</v>
      </c>
      <c r="H221" s="7">
        <v>10</v>
      </c>
      <c r="I221" s="5" t="str">
        <f t="shared" si="4"/>
        <v>(218,'S05-OZ1','Segment 05-OZ1','1965-11-07','NULL',NULL,1,10),</v>
      </c>
    </row>
    <row r="222" spans="1:9" ht="20.100000000000001" customHeight="1" x14ac:dyDescent="0.25">
      <c r="A222" s="3">
        <v>219</v>
      </c>
      <c r="B222" s="8" t="s">
        <v>462</v>
      </c>
      <c r="C222" s="5" t="s">
        <v>463</v>
      </c>
      <c r="D222" s="6">
        <v>24053</v>
      </c>
      <c r="E222" s="7" t="s">
        <v>20</v>
      </c>
      <c r="F222" s="7" t="s">
        <v>20</v>
      </c>
      <c r="G222" s="7">
        <v>1</v>
      </c>
      <c r="H222" s="7">
        <v>10</v>
      </c>
      <c r="I222" s="5" t="str">
        <f t="shared" si="4"/>
        <v>(219,'S06-OZ1','Segment 06-OZ1','1965-11-07','NULL',NULL,1,10),</v>
      </c>
    </row>
    <row r="223" spans="1:9" ht="20.100000000000001" customHeight="1" x14ac:dyDescent="0.25">
      <c r="A223" s="3">
        <v>220</v>
      </c>
      <c r="B223" s="8" t="s">
        <v>464</v>
      </c>
      <c r="C223" s="5" t="s">
        <v>465</v>
      </c>
      <c r="D223" s="6">
        <v>24053</v>
      </c>
      <c r="E223" s="7" t="s">
        <v>20</v>
      </c>
      <c r="F223" s="7" t="s">
        <v>20</v>
      </c>
      <c r="G223" s="7">
        <v>1</v>
      </c>
      <c r="H223" s="7">
        <v>10</v>
      </c>
      <c r="I223" s="5" t="str">
        <f t="shared" si="4"/>
        <v>(220,'S07-OZ1','Segment 07-OZ1','1965-11-07','NULL',NULL,1,10),</v>
      </c>
    </row>
    <row r="224" spans="1:9" ht="20.100000000000001" customHeight="1" x14ac:dyDescent="0.25">
      <c r="A224" s="3">
        <v>221</v>
      </c>
      <c r="B224" s="8" t="s">
        <v>466</v>
      </c>
      <c r="C224" s="5" t="s">
        <v>467</v>
      </c>
      <c r="D224" s="6">
        <v>37851</v>
      </c>
      <c r="E224" s="7" t="s">
        <v>20</v>
      </c>
      <c r="F224" s="7" t="s">
        <v>20</v>
      </c>
      <c r="G224" s="7">
        <v>1</v>
      </c>
      <c r="H224" s="7">
        <v>10</v>
      </c>
      <c r="I224" s="5" t="str">
        <f t="shared" si="4"/>
        <v>(221,'S01-OZ2','Segment 01-OZ2','2003-08-18','NULL',NULL,1,10),</v>
      </c>
    </row>
    <row r="225" spans="1:9" ht="20.100000000000001" customHeight="1" x14ac:dyDescent="0.25">
      <c r="A225" s="3">
        <v>222</v>
      </c>
      <c r="B225" s="8" t="s">
        <v>468</v>
      </c>
      <c r="C225" s="5" t="s">
        <v>469</v>
      </c>
      <c r="D225" s="6">
        <v>37851</v>
      </c>
      <c r="E225" s="7" t="s">
        <v>20</v>
      </c>
      <c r="F225" s="7" t="s">
        <v>20</v>
      </c>
      <c r="G225" s="7">
        <v>1</v>
      </c>
      <c r="H225" s="7">
        <v>10</v>
      </c>
      <c r="I225" s="5" t="str">
        <f t="shared" si="4"/>
        <v>(222,'S02-OZ2','Segment 02-OZ2','2003-08-18','NULL',NULL,1,10),</v>
      </c>
    </row>
    <row r="226" spans="1:9" ht="20.100000000000001" customHeight="1" x14ac:dyDescent="0.25">
      <c r="A226" s="3">
        <v>223</v>
      </c>
      <c r="B226" s="8" t="s">
        <v>470</v>
      </c>
      <c r="C226" s="5" t="s">
        <v>471</v>
      </c>
      <c r="D226" s="6">
        <v>37851</v>
      </c>
      <c r="E226" s="7" t="s">
        <v>20</v>
      </c>
      <c r="F226" s="7" t="s">
        <v>20</v>
      </c>
      <c r="G226" s="7">
        <v>1</v>
      </c>
      <c r="H226" s="7">
        <v>10</v>
      </c>
      <c r="I226" s="5" t="str">
        <f t="shared" si="4"/>
        <v>(223,'S03-OZ2','Segment 03-OZ2','2003-08-18','NULL',NULL,1,10),</v>
      </c>
    </row>
    <row r="227" spans="1:9" ht="20.100000000000001" customHeight="1" x14ac:dyDescent="0.25">
      <c r="A227" s="3">
        <v>224</v>
      </c>
      <c r="B227" s="8" t="s">
        <v>472</v>
      </c>
      <c r="C227" s="5" t="s">
        <v>473</v>
      </c>
      <c r="D227" s="6">
        <v>37851</v>
      </c>
      <c r="E227" s="7" t="s">
        <v>20</v>
      </c>
      <c r="F227" s="7" t="s">
        <v>20</v>
      </c>
      <c r="G227" s="7">
        <v>1</v>
      </c>
      <c r="H227" s="7">
        <v>10</v>
      </c>
      <c r="I227" s="5" t="str">
        <f t="shared" si="4"/>
        <v>(224,'S04-OZ2','Segment 04-OZ2','2003-08-18','NULL',NULL,1,10),</v>
      </c>
    </row>
    <row r="228" spans="1:9" ht="20.100000000000001" customHeight="1" x14ac:dyDescent="0.25">
      <c r="A228" s="3">
        <v>225</v>
      </c>
      <c r="B228" s="8" t="s">
        <v>474</v>
      </c>
      <c r="C228" s="5" t="s">
        <v>475</v>
      </c>
      <c r="D228" s="6">
        <v>37851</v>
      </c>
      <c r="E228" s="7" t="s">
        <v>20</v>
      </c>
      <c r="F228" s="7" t="s">
        <v>20</v>
      </c>
      <c r="G228" s="7">
        <v>1</v>
      </c>
      <c r="H228" s="7">
        <v>10</v>
      </c>
      <c r="I228" s="5" t="str">
        <f t="shared" si="4"/>
        <v>(225,'S05-OZ2','Segment 05-OZ2','2003-08-18','NULL',NULL,1,10),</v>
      </c>
    </row>
    <row r="229" spans="1:9" ht="20.100000000000001" customHeight="1" x14ac:dyDescent="0.25">
      <c r="A229" s="3">
        <v>226</v>
      </c>
      <c r="B229" s="8" t="s">
        <v>476</v>
      </c>
      <c r="C229" s="5" t="s">
        <v>477</v>
      </c>
      <c r="D229" s="6">
        <v>37851</v>
      </c>
      <c r="E229" s="7" t="s">
        <v>20</v>
      </c>
      <c r="F229" s="7" t="s">
        <v>20</v>
      </c>
      <c r="G229" s="7">
        <v>1</v>
      </c>
      <c r="H229" s="7">
        <v>10</v>
      </c>
      <c r="I229" s="5" t="str">
        <f t="shared" si="4"/>
        <v>(226,'S06-OZ2','Segment 06-OZ2','2003-08-18','NULL',NULL,1,10),</v>
      </c>
    </row>
    <row r="230" spans="1:9" ht="20.100000000000001" customHeight="1" x14ac:dyDescent="0.25">
      <c r="A230" s="3">
        <v>227</v>
      </c>
      <c r="B230" s="8" t="s">
        <v>478</v>
      </c>
      <c r="C230" s="5" t="s">
        <v>479</v>
      </c>
      <c r="D230" s="6">
        <v>37851</v>
      </c>
      <c r="E230" s="7" t="s">
        <v>20</v>
      </c>
      <c r="F230" s="7" t="s">
        <v>20</v>
      </c>
      <c r="G230" s="7">
        <v>1</v>
      </c>
      <c r="H230" s="7">
        <v>10</v>
      </c>
      <c r="I230" s="5" t="str">
        <f t="shared" si="4"/>
        <v>(227,'S07-OZ2','Segment 07-OZ2','2003-08-18','NULL',NULL,1,10),</v>
      </c>
    </row>
    <row r="231" spans="1:9" ht="20.100000000000001" customHeight="1" x14ac:dyDescent="0.25">
      <c r="A231" s="3"/>
      <c r="B231" s="8"/>
      <c r="C231" s="5"/>
      <c r="D231" s="6"/>
      <c r="E231" s="7" t="s">
        <v>20</v>
      </c>
      <c r="F231" s="7" t="s">
        <v>20</v>
      </c>
      <c r="G231" s="7">
        <v>1</v>
      </c>
      <c r="H231" s="7">
        <v>10</v>
      </c>
      <c r="I231" s="5" t="str">
        <f t="shared" si="4"/>
        <v>(,'','','1900-01-00','NULL',NULL,1,10),</v>
      </c>
    </row>
    <row r="232" spans="1:9" ht="20.100000000000001" customHeight="1" x14ac:dyDescent="0.25">
      <c r="A232" s="3"/>
      <c r="B232" s="8"/>
      <c r="C232" s="5"/>
      <c r="D232" s="6"/>
      <c r="E232" s="7" t="s">
        <v>20</v>
      </c>
      <c r="F232" s="7" t="s">
        <v>20</v>
      </c>
      <c r="G232" s="7">
        <v>1</v>
      </c>
      <c r="H232" s="7">
        <v>10</v>
      </c>
      <c r="I232" s="5" t="str">
        <f t="shared" si="4"/>
        <v>(,'','','1900-01-00','NULL',NULL,1,10),</v>
      </c>
    </row>
  </sheetData>
  <autoFilter ref="A2:H17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H59"/>
  <sheetViews>
    <sheetView topLeftCell="A37" workbookViewId="0">
      <selection activeCell="B43" sqref="B43:B44"/>
    </sheetView>
  </sheetViews>
  <sheetFormatPr baseColWidth="10" defaultColWidth="10.85546875" defaultRowHeight="15.75" x14ac:dyDescent="0.25"/>
  <cols>
    <col min="1" max="1" width="5.5703125" style="2" customWidth="1"/>
    <col min="2" max="2" width="10.5703125" style="2" customWidth="1"/>
    <col min="3" max="3" width="12.7109375" style="2" customWidth="1"/>
    <col min="4" max="7" width="12.7109375" style="2" hidden="1" customWidth="1"/>
    <col min="8" max="8" width="19.7109375" style="2" customWidth="1"/>
    <col min="9" max="9" width="12.7109375" style="2" customWidth="1"/>
    <col min="10" max="10" width="36" style="2" customWidth="1"/>
    <col min="11" max="30" width="12.7109375" style="2" customWidth="1"/>
    <col min="31" max="31" width="21.42578125" style="2" customWidth="1"/>
    <col min="32" max="32" width="12.7109375" style="2" customWidth="1"/>
    <col min="33" max="33" width="117.42578125" style="2" bestFit="1" customWidth="1"/>
    <col min="34" max="16384" width="10.85546875" style="2"/>
  </cols>
  <sheetData>
    <row r="1" spans="1:34" ht="20.100000000000001" customHeight="1" x14ac:dyDescent="0.25">
      <c r="A1" s="1" t="s">
        <v>0</v>
      </c>
      <c r="B1" s="20" t="s">
        <v>1</v>
      </c>
      <c r="C1" s="1" t="s">
        <v>480</v>
      </c>
      <c r="D1" s="1" t="s">
        <v>6</v>
      </c>
      <c r="E1" s="1" t="s">
        <v>481</v>
      </c>
      <c r="F1" s="1" t="s">
        <v>482</v>
      </c>
      <c r="G1" s="1" t="s">
        <v>483</v>
      </c>
      <c r="H1" s="1" t="s">
        <v>484</v>
      </c>
      <c r="I1" s="1" t="s">
        <v>485</v>
      </c>
      <c r="J1" s="1" t="s">
        <v>486</v>
      </c>
      <c r="K1" s="1" t="s">
        <v>487</v>
      </c>
      <c r="L1" s="1" t="s">
        <v>488</v>
      </c>
      <c r="M1" s="1" t="s">
        <v>489</v>
      </c>
      <c r="N1" s="1" t="s">
        <v>490</v>
      </c>
      <c r="O1" s="1" t="s">
        <v>491</v>
      </c>
      <c r="P1" s="1" t="s">
        <v>492</v>
      </c>
      <c r="Q1" s="1" t="s">
        <v>493</v>
      </c>
      <c r="R1" s="1" t="s">
        <v>494</v>
      </c>
      <c r="S1" s="1" t="s">
        <v>495</v>
      </c>
      <c r="T1" s="1" t="s">
        <v>496</v>
      </c>
      <c r="U1" s="1" t="s">
        <v>497</v>
      </c>
      <c r="V1" s="1" t="s">
        <v>498</v>
      </c>
      <c r="W1" s="1" t="s">
        <v>499</v>
      </c>
      <c r="X1" s="1" t="s">
        <v>500</v>
      </c>
      <c r="Y1" s="1" t="s">
        <v>501</v>
      </c>
      <c r="Z1" s="1" t="s">
        <v>502</v>
      </c>
      <c r="AA1" s="1" t="s">
        <v>503</v>
      </c>
      <c r="AB1" s="1" t="s">
        <v>504</v>
      </c>
      <c r="AC1" s="1" t="s">
        <v>505</v>
      </c>
      <c r="AD1" s="1" t="s">
        <v>506</v>
      </c>
      <c r="AE1" s="1" t="s">
        <v>507</v>
      </c>
      <c r="AF1" s="1" t="s">
        <v>508</v>
      </c>
    </row>
    <row r="2" spans="1:34" ht="20.100000000000001" customHeight="1" x14ac:dyDescent="0.25">
      <c r="A2" s="1" t="s">
        <v>9</v>
      </c>
      <c r="B2" s="20" t="s">
        <v>10</v>
      </c>
      <c r="C2" s="20" t="s">
        <v>12</v>
      </c>
      <c r="D2" s="20" t="s">
        <v>15</v>
      </c>
      <c r="E2" s="1"/>
      <c r="F2" s="1" t="s">
        <v>16</v>
      </c>
      <c r="G2" s="1" t="s">
        <v>509</v>
      </c>
      <c r="H2" s="1" t="s">
        <v>510</v>
      </c>
      <c r="I2" s="1" t="s">
        <v>511</v>
      </c>
      <c r="J2" s="1" t="s">
        <v>512</v>
      </c>
      <c r="K2" s="1" t="s">
        <v>513</v>
      </c>
      <c r="L2" s="1" t="s">
        <v>514</v>
      </c>
      <c r="M2" s="1" t="s">
        <v>515</v>
      </c>
      <c r="N2" s="1" t="s">
        <v>516</v>
      </c>
      <c r="O2" s="1" t="s">
        <v>517</v>
      </c>
      <c r="P2" s="1" t="s">
        <v>518</v>
      </c>
      <c r="Q2" s="1" t="s">
        <v>519</v>
      </c>
      <c r="R2" s="1"/>
      <c r="S2" s="1" t="s">
        <v>520</v>
      </c>
      <c r="T2" s="1"/>
      <c r="U2" s="1" t="s">
        <v>521</v>
      </c>
      <c r="V2" s="1"/>
      <c r="W2" s="1" t="s">
        <v>522</v>
      </c>
      <c r="X2" s="1"/>
      <c r="Y2" s="1" t="s">
        <v>523</v>
      </c>
      <c r="Z2" s="1"/>
      <c r="AA2" s="1" t="s">
        <v>524</v>
      </c>
      <c r="AB2" s="1"/>
      <c r="AC2" s="1" t="s">
        <v>525</v>
      </c>
      <c r="AD2" s="1" t="s">
        <v>509</v>
      </c>
      <c r="AE2" s="1"/>
      <c r="AF2" s="1" t="s">
        <v>526</v>
      </c>
      <c r="AG2" s="21" t="s">
        <v>527</v>
      </c>
    </row>
    <row r="3" spans="1:34" ht="20.100000000000001" customHeight="1" x14ac:dyDescent="0.25">
      <c r="A3" s="3">
        <v>156</v>
      </c>
      <c r="B3" s="22" t="s">
        <v>304</v>
      </c>
      <c r="C3" s="6">
        <v>24053</v>
      </c>
      <c r="D3" s="23">
        <v>1</v>
      </c>
      <c r="E3" s="7" t="s">
        <v>528</v>
      </c>
      <c r="F3" s="7">
        <v>11</v>
      </c>
      <c r="G3" s="7">
        <v>12</v>
      </c>
      <c r="H3" s="24">
        <v>28</v>
      </c>
      <c r="I3" s="25" t="s">
        <v>529</v>
      </c>
      <c r="J3" s="7" t="s">
        <v>530</v>
      </c>
      <c r="K3" s="7">
        <v>4.5699999999999998E-2</v>
      </c>
      <c r="L3" s="7">
        <v>63</v>
      </c>
      <c r="M3" s="7">
        <v>54</v>
      </c>
      <c r="N3" s="7">
        <v>0</v>
      </c>
      <c r="O3" s="7">
        <v>0</v>
      </c>
      <c r="P3" s="7">
        <v>21</v>
      </c>
      <c r="Q3" s="7">
        <v>11</v>
      </c>
      <c r="R3" s="7" t="s">
        <v>531</v>
      </c>
      <c r="S3" s="7">
        <v>3</v>
      </c>
      <c r="T3" s="7" t="s">
        <v>532</v>
      </c>
      <c r="U3" s="7">
        <v>14</v>
      </c>
      <c r="V3" s="7" t="s">
        <v>20</v>
      </c>
      <c r="W3" s="7" t="s">
        <v>20</v>
      </c>
      <c r="X3" s="7" t="s">
        <v>533</v>
      </c>
      <c r="Y3" s="7">
        <v>1</v>
      </c>
      <c r="Z3" s="26" t="s">
        <v>31</v>
      </c>
      <c r="AA3" s="27">
        <v>7</v>
      </c>
      <c r="AB3" s="26" t="s">
        <v>534</v>
      </c>
      <c r="AC3" s="27">
        <v>21</v>
      </c>
      <c r="AD3" s="7">
        <v>12</v>
      </c>
      <c r="AE3" s="7" t="s">
        <v>535</v>
      </c>
      <c r="AF3" s="7"/>
      <c r="AG3" s="28" t="str">
        <f>CONCATENATE("(",A3,"*'",H3,"'*",I3,"*'",J3,"'*'",K3,"'*",L3,"*",M3,"*",N3,"*",O3,"*",P3,"*",Q3,"*",S3,"*",U3,"*",W3,"*",Y3,"*",AA3,"*",AC3,"*",AD3,")*")</f>
        <v>(156*'28'*801.478*'6.35 / 7.14 / 7.92 / 8.74 / 9.52 /  11.91 / 12.70'*'0,0457'*63*54*0*0*21*11*3*14*NULL*1*7*21*12)*</v>
      </c>
      <c r="AH3" s="29"/>
    </row>
    <row r="4" spans="1:34" ht="20.100000000000001" customHeight="1" x14ac:dyDescent="0.25">
      <c r="A4" s="3">
        <v>157</v>
      </c>
      <c r="B4" s="22" t="s">
        <v>306</v>
      </c>
      <c r="C4" s="6">
        <v>37851</v>
      </c>
      <c r="D4" s="23">
        <v>1</v>
      </c>
      <c r="E4" s="7" t="s">
        <v>528</v>
      </c>
      <c r="F4" s="7">
        <v>11</v>
      </c>
      <c r="G4" s="7">
        <v>12</v>
      </c>
      <c r="H4" s="24">
        <v>34</v>
      </c>
      <c r="I4" s="25">
        <v>821</v>
      </c>
      <c r="J4" s="7" t="s">
        <v>536</v>
      </c>
      <c r="K4" s="7">
        <v>4.5699999999999998E-2</v>
      </c>
      <c r="L4" s="7">
        <v>70</v>
      </c>
      <c r="M4" s="7">
        <v>70</v>
      </c>
      <c r="N4" s="7">
        <v>0</v>
      </c>
      <c r="O4" s="7">
        <v>0</v>
      </c>
      <c r="P4" s="7">
        <v>34</v>
      </c>
      <c r="Q4" s="7">
        <v>34</v>
      </c>
      <c r="R4" s="7" t="s">
        <v>537</v>
      </c>
      <c r="S4" s="7">
        <v>4</v>
      </c>
      <c r="T4" s="7" t="s">
        <v>538</v>
      </c>
      <c r="U4" s="7">
        <v>11</v>
      </c>
      <c r="V4" s="7" t="s">
        <v>20</v>
      </c>
      <c r="W4" s="7" t="s">
        <v>20</v>
      </c>
      <c r="X4" s="7" t="s">
        <v>533</v>
      </c>
      <c r="Y4" s="7">
        <v>1</v>
      </c>
      <c r="Z4" s="26" t="s">
        <v>31</v>
      </c>
      <c r="AA4" s="7">
        <v>7</v>
      </c>
      <c r="AB4" s="26" t="s">
        <v>534</v>
      </c>
      <c r="AC4" s="7">
        <v>21</v>
      </c>
      <c r="AD4" s="7">
        <v>12</v>
      </c>
      <c r="AE4" s="30" t="s">
        <v>539</v>
      </c>
      <c r="AF4" s="30"/>
      <c r="AG4" s="28" t="str">
        <f t="shared" ref="AG4:AG11" si="0">CONCATENATE("(",A4,"*'",H4,"'*",I4,"*'",J4,"'*'",K4,"'*",L4,"*",M4,"*",N4,"*",O4,"*",P4,"*",Q4,"*",S4,"*",U4,"*",W4,"*",Y4,"*",AA4,"*",AC4,"*",AD4,")*")</f>
        <v>(157*'34'*821*'7.92 - 17.48'*'0,0457'*70*70*0*0*34*34*4*11*NULL*1*7*21*12)*</v>
      </c>
    </row>
    <row r="5" spans="1:34" ht="20.100000000000001" customHeight="1" x14ac:dyDescent="0.25">
      <c r="A5" s="3">
        <v>158</v>
      </c>
      <c r="B5" s="22" t="s">
        <v>309</v>
      </c>
      <c r="C5" s="6">
        <v>26299</v>
      </c>
      <c r="D5" s="23">
        <v>1</v>
      </c>
      <c r="E5" s="7" t="s">
        <v>540</v>
      </c>
      <c r="F5" s="7">
        <v>13</v>
      </c>
      <c r="G5" s="7">
        <v>12</v>
      </c>
      <c r="H5" s="24">
        <v>34</v>
      </c>
      <c r="I5" s="25">
        <v>646</v>
      </c>
      <c r="J5" s="30" t="s">
        <v>541</v>
      </c>
      <c r="K5" s="7">
        <v>4.5699999999999998E-2</v>
      </c>
      <c r="L5" s="7">
        <v>75</v>
      </c>
      <c r="M5" s="7">
        <v>75</v>
      </c>
      <c r="N5" s="7">
        <v>0</v>
      </c>
      <c r="O5" s="7">
        <v>0</v>
      </c>
      <c r="P5" s="7">
        <v>30</v>
      </c>
      <c r="Q5" s="7">
        <v>30</v>
      </c>
      <c r="R5" s="7" t="s">
        <v>542</v>
      </c>
      <c r="S5" s="7">
        <v>3</v>
      </c>
      <c r="T5" s="30" t="s">
        <v>543</v>
      </c>
      <c r="U5" s="7">
        <v>14</v>
      </c>
      <c r="V5" s="7" t="s">
        <v>20</v>
      </c>
      <c r="W5" s="7" t="s">
        <v>20</v>
      </c>
      <c r="X5" s="7" t="s">
        <v>309</v>
      </c>
      <c r="Y5" s="7">
        <v>2</v>
      </c>
      <c r="Z5" s="26" t="s">
        <v>31</v>
      </c>
      <c r="AA5" s="7">
        <v>7</v>
      </c>
      <c r="AB5" s="26" t="s">
        <v>544</v>
      </c>
      <c r="AC5" s="7">
        <v>34</v>
      </c>
      <c r="AD5" s="7">
        <v>12</v>
      </c>
      <c r="AE5" s="7" t="s">
        <v>545</v>
      </c>
      <c r="AF5" s="7"/>
      <c r="AG5" s="28" t="str">
        <f t="shared" si="0"/>
        <v>(158*'34'*646*'7,92 / 8,74 / 9,52 / 10,31 / 11,13 / 11,91 / 12,70 / 14,27 / 15,88 / 17,48 / 22,22'*'0,0457'*75*75*0*0*30*30*3*14*NULL*2*7*34*12)*</v>
      </c>
    </row>
    <row r="6" spans="1:34" ht="20.100000000000001" customHeight="1" x14ac:dyDescent="0.25">
      <c r="A6" s="3">
        <v>159</v>
      </c>
      <c r="B6" s="22" t="s">
        <v>312</v>
      </c>
      <c r="C6" s="6">
        <v>21864</v>
      </c>
      <c r="D6" s="23">
        <v>1</v>
      </c>
      <c r="E6" s="7" t="s">
        <v>546</v>
      </c>
      <c r="F6" s="7">
        <v>15</v>
      </c>
      <c r="G6" s="7">
        <v>12</v>
      </c>
      <c r="H6" s="24" t="s">
        <v>547</v>
      </c>
      <c r="I6" s="25">
        <v>672</v>
      </c>
      <c r="J6" s="7" t="s">
        <v>548</v>
      </c>
      <c r="K6" s="7">
        <v>1.4999999999999999E-2</v>
      </c>
      <c r="L6" s="7">
        <v>83</v>
      </c>
      <c r="M6" s="7">
        <v>0</v>
      </c>
      <c r="N6" s="7">
        <v>0</v>
      </c>
      <c r="O6" s="7">
        <v>0</v>
      </c>
      <c r="P6" s="7">
        <v>14</v>
      </c>
      <c r="Q6" s="7" t="s">
        <v>549</v>
      </c>
      <c r="R6" s="7" t="s">
        <v>550</v>
      </c>
      <c r="S6" s="7">
        <v>2</v>
      </c>
      <c r="T6" s="7" t="s">
        <v>551</v>
      </c>
      <c r="U6" s="7">
        <v>14</v>
      </c>
      <c r="V6" s="7" t="s">
        <v>20</v>
      </c>
      <c r="W6" s="7" t="s">
        <v>20</v>
      </c>
      <c r="X6" s="7" t="s">
        <v>552</v>
      </c>
      <c r="Y6" s="7">
        <v>3</v>
      </c>
      <c r="Z6" s="26" t="s">
        <v>31</v>
      </c>
      <c r="AA6" s="7">
        <v>7</v>
      </c>
      <c r="AB6" s="26" t="s">
        <v>553</v>
      </c>
      <c r="AC6" s="7">
        <v>22</v>
      </c>
      <c r="AD6" s="7">
        <v>12</v>
      </c>
      <c r="AE6" s="7" t="s">
        <v>554</v>
      </c>
      <c r="AF6" s="7"/>
      <c r="AG6" s="28" t="str">
        <f t="shared" si="0"/>
        <v>(159*'24 / 22'*672*'2,7 / 9,52 / 9,0 / 8,73 / 7,92 / 7,13 / 6,35'*'0,015'*83*0*0*0*14*11.4*2*14*NULL*3*7*22*12)*</v>
      </c>
    </row>
    <row r="7" spans="1:34" ht="20.100000000000001" customHeight="1" x14ac:dyDescent="0.25">
      <c r="A7" s="3">
        <v>160</v>
      </c>
      <c r="B7" s="22" t="s">
        <v>314</v>
      </c>
      <c r="C7" s="6">
        <v>44738</v>
      </c>
      <c r="D7" s="23">
        <v>1</v>
      </c>
      <c r="E7" s="7" t="s">
        <v>546</v>
      </c>
      <c r="F7" s="7">
        <v>15</v>
      </c>
      <c r="G7" s="7">
        <v>12</v>
      </c>
      <c r="H7" s="24" t="s">
        <v>547</v>
      </c>
      <c r="I7" s="25">
        <v>174</v>
      </c>
      <c r="J7" s="7" t="s">
        <v>555</v>
      </c>
      <c r="K7" s="7">
        <v>4.5999999999999999E-2</v>
      </c>
      <c r="L7" s="7">
        <v>83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 t="s">
        <v>537</v>
      </c>
      <c r="S7" s="7">
        <v>4</v>
      </c>
      <c r="T7" s="7" t="s">
        <v>556</v>
      </c>
      <c r="U7" s="7">
        <v>10</v>
      </c>
      <c r="V7" s="7" t="s">
        <v>20</v>
      </c>
      <c r="W7" s="7" t="s">
        <v>20</v>
      </c>
      <c r="X7" s="7" t="s">
        <v>552</v>
      </c>
      <c r="Y7" s="7">
        <v>3</v>
      </c>
      <c r="Z7" s="26" t="s">
        <v>557</v>
      </c>
      <c r="AA7" s="7">
        <v>10</v>
      </c>
      <c r="AB7" s="26" t="s">
        <v>553</v>
      </c>
      <c r="AC7" s="7">
        <v>22</v>
      </c>
      <c r="AD7" s="7">
        <v>12</v>
      </c>
      <c r="AE7" s="7"/>
      <c r="AF7" s="7"/>
      <c r="AG7" s="28" t="str">
        <f t="shared" si="0"/>
        <v>(160*'24 / 22'*174*'8,74 / 9,53 / 11,3 / 12,7'*'0,046'*83*0*0*0*0*0*4*10*NULL*3*10*22*12)*</v>
      </c>
    </row>
    <row r="8" spans="1:34" ht="20.100000000000001" customHeight="1" x14ac:dyDescent="0.25">
      <c r="A8" s="3">
        <v>161</v>
      </c>
      <c r="B8" s="22" t="s">
        <v>316</v>
      </c>
      <c r="C8" s="6">
        <v>46388</v>
      </c>
      <c r="D8" s="23">
        <v>1</v>
      </c>
      <c r="E8" s="7" t="s">
        <v>546</v>
      </c>
      <c r="F8" s="7">
        <v>15</v>
      </c>
      <c r="G8" s="7">
        <v>12</v>
      </c>
      <c r="H8" s="24">
        <v>24</v>
      </c>
      <c r="I8" s="25">
        <v>504</v>
      </c>
      <c r="J8" s="7" t="s">
        <v>558</v>
      </c>
      <c r="K8" s="7">
        <v>4.5999999999999999E-2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 t="s">
        <v>537</v>
      </c>
      <c r="S8" s="7">
        <v>4</v>
      </c>
      <c r="T8" s="7" t="s">
        <v>559</v>
      </c>
      <c r="U8" s="7">
        <v>21</v>
      </c>
      <c r="V8" s="7" t="s">
        <v>20</v>
      </c>
      <c r="W8" s="7" t="s">
        <v>20</v>
      </c>
      <c r="X8" s="7" t="s">
        <v>552</v>
      </c>
      <c r="Y8" s="7">
        <v>3</v>
      </c>
      <c r="Z8" s="26" t="s">
        <v>31</v>
      </c>
      <c r="AA8" s="7">
        <v>7</v>
      </c>
      <c r="AB8" s="26" t="s">
        <v>560</v>
      </c>
      <c r="AC8" s="7">
        <v>11</v>
      </c>
      <c r="AD8" s="7">
        <v>12</v>
      </c>
      <c r="AE8" s="7"/>
      <c r="AF8" s="7"/>
      <c r="AG8" s="28" t="str">
        <f t="shared" si="0"/>
        <v>(161*'24'*504*'12,7 / 11,13 / 9,53 / 7,9'*'0,046'*0*0*0*0*0*0*4*21*NULL*3*7*11*12)*</v>
      </c>
    </row>
    <row r="9" spans="1:34" ht="20.100000000000001" customHeight="1" x14ac:dyDescent="0.25">
      <c r="A9" s="3">
        <v>162</v>
      </c>
      <c r="B9" s="22" t="s">
        <v>318</v>
      </c>
      <c r="C9" s="6">
        <v>38537</v>
      </c>
      <c r="D9" s="23">
        <v>1</v>
      </c>
      <c r="E9" s="7" t="s">
        <v>546</v>
      </c>
      <c r="F9" s="7">
        <v>15</v>
      </c>
      <c r="G9" s="7">
        <v>12</v>
      </c>
      <c r="H9" s="24">
        <v>20</v>
      </c>
      <c r="I9" s="25" t="s">
        <v>561</v>
      </c>
      <c r="J9" s="7" t="s">
        <v>562</v>
      </c>
      <c r="K9" s="7">
        <v>4.5699999999999998E-2</v>
      </c>
      <c r="L9" s="7">
        <v>72</v>
      </c>
      <c r="M9" s="7">
        <v>72</v>
      </c>
      <c r="N9" s="7">
        <v>0</v>
      </c>
      <c r="O9" s="7">
        <v>0</v>
      </c>
      <c r="P9" s="7">
        <v>4</v>
      </c>
      <c r="Q9" s="7">
        <v>4</v>
      </c>
      <c r="R9" s="7" t="s">
        <v>537</v>
      </c>
      <c r="S9" s="7">
        <v>4</v>
      </c>
      <c r="T9" s="7" t="s">
        <v>538</v>
      </c>
      <c r="U9" s="7">
        <v>11</v>
      </c>
      <c r="V9" s="7" t="s">
        <v>20</v>
      </c>
      <c r="W9" s="7" t="s">
        <v>20</v>
      </c>
      <c r="X9" s="7" t="s">
        <v>552</v>
      </c>
      <c r="Y9" s="7">
        <v>3</v>
      </c>
      <c r="Z9" s="26" t="s">
        <v>563</v>
      </c>
      <c r="AA9" s="7">
        <v>13</v>
      </c>
      <c r="AB9" s="26" t="s">
        <v>564</v>
      </c>
      <c r="AC9" s="13">
        <v>128</v>
      </c>
      <c r="AD9" s="7">
        <v>12</v>
      </c>
      <c r="AE9" s="7" t="s">
        <v>565</v>
      </c>
      <c r="AF9" s="7"/>
      <c r="AG9" s="28" t="str">
        <f t="shared" si="0"/>
        <v>(162*'20'*144.74*'8,74 / 10,31'*'0,0457'*72*72*0*0*4*4*4*11*NULL*3*13*128*12)*</v>
      </c>
    </row>
    <row r="10" spans="1:34" ht="20.100000000000001" customHeight="1" x14ac:dyDescent="0.25">
      <c r="A10" s="3">
        <v>163</v>
      </c>
      <c r="B10" s="22" t="s">
        <v>321</v>
      </c>
      <c r="C10" s="6">
        <v>21916</v>
      </c>
      <c r="D10" s="23">
        <v>1</v>
      </c>
      <c r="E10" s="7" t="s">
        <v>566</v>
      </c>
      <c r="F10" s="7">
        <v>14</v>
      </c>
      <c r="G10" s="7">
        <v>12</v>
      </c>
      <c r="H10" s="24">
        <v>24</v>
      </c>
      <c r="I10" s="25">
        <v>265</v>
      </c>
      <c r="J10" s="7" t="s">
        <v>567</v>
      </c>
      <c r="K10" s="7">
        <v>1.4999999999999999E-2</v>
      </c>
      <c r="L10" s="7">
        <v>70</v>
      </c>
      <c r="M10" s="7">
        <v>70</v>
      </c>
      <c r="N10" s="7">
        <v>0</v>
      </c>
      <c r="O10" s="7">
        <v>0</v>
      </c>
      <c r="P10" s="7" t="s">
        <v>568</v>
      </c>
      <c r="Q10" s="7" t="s">
        <v>569</v>
      </c>
      <c r="R10" s="7" t="s">
        <v>531</v>
      </c>
      <c r="S10" s="7">
        <v>3</v>
      </c>
      <c r="T10" s="7" t="s">
        <v>570</v>
      </c>
      <c r="U10" s="7">
        <v>14</v>
      </c>
      <c r="V10" s="7" t="s">
        <v>571</v>
      </c>
      <c r="W10" s="7">
        <v>17</v>
      </c>
      <c r="X10" s="7" t="s">
        <v>321</v>
      </c>
      <c r="Y10" s="7">
        <v>4</v>
      </c>
      <c r="Z10" s="26" t="s">
        <v>572</v>
      </c>
      <c r="AA10" s="7">
        <v>29</v>
      </c>
      <c r="AB10" s="26" t="s">
        <v>573</v>
      </c>
      <c r="AC10" s="7">
        <v>1</v>
      </c>
      <c r="AD10" s="7">
        <v>12</v>
      </c>
      <c r="AE10" s="7" t="s">
        <v>574</v>
      </c>
      <c r="AF10" s="7"/>
      <c r="AG10" s="28" t="str">
        <f t="shared" si="0"/>
        <v>(163*'24'*265*'7,94 / 8,74 / 10,31'*'0,015'*70*70*0*0*13.9*7.8*3*14*17*4*29*1*12)*</v>
      </c>
    </row>
    <row r="11" spans="1:34" ht="20.100000000000001" customHeight="1" x14ac:dyDescent="0.25">
      <c r="A11" s="3">
        <v>164</v>
      </c>
      <c r="B11" s="22" t="s">
        <v>323</v>
      </c>
      <c r="C11" s="6">
        <v>29952</v>
      </c>
      <c r="D11" s="23">
        <v>1</v>
      </c>
      <c r="E11" s="7" t="s">
        <v>566</v>
      </c>
      <c r="F11" s="7">
        <v>14</v>
      </c>
      <c r="G11" s="7">
        <v>12</v>
      </c>
      <c r="H11" s="24">
        <v>30</v>
      </c>
      <c r="I11" s="25">
        <v>630</v>
      </c>
      <c r="J11" s="7" t="s">
        <v>575</v>
      </c>
      <c r="K11" s="7">
        <v>0.06</v>
      </c>
      <c r="L11" s="7">
        <v>67</v>
      </c>
      <c r="M11" s="7">
        <v>49</v>
      </c>
      <c r="N11" s="7" t="s">
        <v>576</v>
      </c>
      <c r="O11" s="7">
        <v>0</v>
      </c>
      <c r="P11" s="7">
        <v>18</v>
      </c>
      <c r="Q11" s="7" t="s">
        <v>577</v>
      </c>
      <c r="R11" s="7" t="s">
        <v>531</v>
      </c>
      <c r="S11" s="7">
        <v>3</v>
      </c>
      <c r="T11" s="7" t="s">
        <v>578</v>
      </c>
      <c r="U11" s="7">
        <v>14</v>
      </c>
      <c r="V11" s="7" t="s">
        <v>571</v>
      </c>
      <c r="W11" s="7">
        <v>17</v>
      </c>
      <c r="X11" s="7" t="s">
        <v>323</v>
      </c>
      <c r="Y11" s="7">
        <v>5</v>
      </c>
      <c r="Z11" s="26" t="s">
        <v>572</v>
      </c>
      <c r="AA11" s="7">
        <v>29</v>
      </c>
      <c r="AB11" s="26" t="s">
        <v>31</v>
      </c>
      <c r="AC11" s="7">
        <v>7</v>
      </c>
      <c r="AD11" s="7">
        <v>12</v>
      </c>
      <c r="AE11" s="7" t="s">
        <v>579</v>
      </c>
      <c r="AF11" s="7"/>
      <c r="AG11" s="28" t="str">
        <f t="shared" si="0"/>
        <v>(164*'30'*630*'7,14 / 7,92'*'0,06'*67*49*1.4*0*18*8.9*3*14*17*5*29*7*12)*</v>
      </c>
    </row>
    <row r="12" spans="1:34" ht="20.100000000000001" customHeight="1" x14ac:dyDescent="0.25">
      <c r="A12" s="3">
        <v>165</v>
      </c>
      <c r="B12" s="31" t="s">
        <v>326</v>
      </c>
      <c r="C12" s="6">
        <v>38353</v>
      </c>
      <c r="D12" s="23">
        <v>1</v>
      </c>
      <c r="E12" s="7" t="s">
        <v>566</v>
      </c>
      <c r="F12" s="7">
        <v>14</v>
      </c>
      <c r="G12" s="7">
        <v>12</v>
      </c>
      <c r="H12" s="24">
        <v>30</v>
      </c>
      <c r="I12" s="25" t="s">
        <v>580</v>
      </c>
      <c r="J12" s="7" t="s">
        <v>581</v>
      </c>
      <c r="K12" s="7">
        <v>4.5699999999999998E-2</v>
      </c>
      <c r="L12" s="7">
        <v>49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 t="s">
        <v>537</v>
      </c>
      <c r="S12" s="7">
        <v>4</v>
      </c>
      <c r="T12" s="7" t="s">
        <v>582</v>
      </c>
      <c r="U12" s="7">
        <v>11</v>
      </c>
      <c r="V12" s="7" t="s">
        <v>20</v>
      </c>
      <c r="W12" s="7" t="s">
        <v>20</v>
      </c>
      <c r="X12" s="7" t="s">
        <v>323</v>
      </c>
      <c r="Y12" s="7">
        <v>5</v>
      </c>
      <c r="Z12" s="26" t="s">
        <v>583</v>
      </c>
      <c r="AA12" s="13" t="s">
        <v>583</v>
      </c>
      <c r="AB12" s="26" t="s">
        <v>584</v>
      </c>
      <c r="AC12" s="13" t="s">
        <v>584</v>
      </c>
      <c r="AD12" s="7"/>
      <c r="AE12" s="7"/>
      <c r="AF12" s="7"/>
      <c r="AG12" s="28" t="str">
        <f t="shared" ref="AG12:AG54" si="1">CONCATENATE("(",A12,"*'",H12,"'*",I12,"*'",J12,"'*'",K12,"'*",L12,"*",M12,"*",N12,"*",O12,"*",P12,"*",Q12,"*",S12,"*",U12,"*",W12,"*",Y12,"*",AA12,"*",AC12,")*")</f>
        <v>(165*'30'*44.5*'10.31'*'0,0457'*49*0*0*0*0*0*4*11*NULL*5*TFT*Nezla)*</v>
      </c>
    </row>
    <row r="13" spans="1:34" ht="20.100000000000001" customHeight="1" x14ac:dyDescent="0.25">
      <c r="A13" s="3">
        <v>166</v>
      </c>
      <c r="B13" s="22" t="s">
        <v>328</v>
      </c>
      <c r="C13" s="6">
        <v>26399</v>
      </c>
      <c r="D13" s="23">
        <v>1</v>
      </c>
      <c r="E13" s="7" t="s">
        <v>585</v>
      </c>
      <c r="F13" s="7">
        <v>12</v>
      </c>
      <c r="G13" s="7">
        <v>12</v>
      </c>
      <c r="H13" s="24">
        <v>26</v>
      </c>
      <c r="I13" s="25">
        <v>108.372</v>
      </c>
      <c r="J13" s="7" t="s">
        <v>586</v>
      </c>
      <c r="K13" s="7">
        <v>4.5699999999999998E-2</v>
      </c>
      <c r="L13" s="7">
        <v>40</v>
      </c>
      <c r="M13" s="7">
        <v>40</v>
      </c>
      <c r="N13" s="7">
        <v>0</v>
      </c>
      <c r="O13" s="7">
        <v>0</v>
      </c>
      <c r="P13" s="7">
        <v>12</v>
      </c>
      <c r="Q13" s="7">
        <v>12</v>
      </c>
      <c r="R13" s="7" t="s">
        <v>531</v>
      </c>
      <c r="S13" s="7">
        <v>3</v>
      </c>
      <c r="T13" s="7" t="s">
        <v>578</v>
      </c>
      <c r="U13" s="7">
        <v>14</v>
      </c>
      <c r="V13" s="7" t="s">
        <v>20</v>
      </c>
      <c r="W13" s="7" t="s">
        <v>20</v>
      </c>
      <c r="X13" s="7" t="s">
        <v>587</v>
      </c>
      <c r="Y13" s="7">
        <v>6</v>
      </c>
      <c r="Z13" s="26" t="s">
        <v>588</v>
      </c>
      <c r="AA13" s="7">
        <v>15</v>
      </c>
      <c r="AB13" s="26" t="s">
        <v>31</v>
      </c>
      <c r="AC13" s="7">
        <v>7</v>
      </c>
      <c r="AD13" s="7">
        <v>12</v>
      </c>
      <c r="AE13" s="7" t="s">
        <v>589</v>
      </c>
      <c r="AF13" s="7"/>
      <c r="AG13" s="28" t="str">
        <f t="shared" ref="AG13:AG33" si="2">CONCATENATE("(",A13,"*'",H13,"'*",I13,"*'",J13,"'*'",K13,"'*",L13,"*",M13,"*",N13,"*",O13,"*",P13,"*",Q13,"*",S13,"*",U13,"*",W13,"*",Y13,"*",AA13,"*",AC13,"*",AD13,")*")</f>
        <v>(166*'26'*108,372*'7,14 / 8,74'*'0,0457'*40*40*0*0*12*12*3*14*NULL*6*15*7*12)*</v>
      </c>
    </row>
    <row r="14" spans="1:34" ht="20.100000000000001" customHeight="1" x14ac:dyDescent="0.25">
      <c r="A14" s="3">
        <v>167</v>
      </c>
      <c r="B14" s="22" t="s">
        <v>331</v>
      </c>
      <c r="C14" s="6">
        <v>36161</v>
      </c>
      <c r="D14" s="23">
        <v>1</v>
      </c>
      <c r="E14" s="7" t="s">
        <v>585</v>
      </c>
      <c r="F14" s="7">
        <v>12</v>
      </c>
      <c r="G14" s="7">
        <v>12</v>
      </c>
      <c r="H14" s="24">
        <v>30</v>
      </c>
      <c r="I14" s="25">
        <v>292</v>
      </c>
      <c r="J14" s="7" t="s">
        <v>590</v>
      </c>
      <c r="K14" s="7">
        <v>4.5699999999999998E-2</v>
      </c>
      <c r="L14" s="7">
        <v>70</v>
      </c>
      <c r="M14" s="7">
        <v>70</v>
      </c>
      <c r="N14" s="7">
        <v>0</v>
      </c>
      <c r="O14" s="7">
        <v>0</v>
      </c>
      <c r="P14" s="7">
        <v>30</v>
      </c>
      <c r="Q14" s="7">
        <v>30</v>
      </c>
      <c r="R14" s="7" t="s">
        <v>531</v>
      </c>
      <c r="S14" s="7">
        <v>3</v>
      </c>
      <c r="T14" s="7" t="s">
        <v>591</v>
      </c>
      <c r="U14" s="7">
        <v>11</v>
      </c>
      <c r="V14" s="7" t="s">
        <v>20</v>
      </c>
      <c r="W14" s="7" t="s">
        <v>20</v>
      </c>
      <c r="X14" s="7" t="s">
        <v>592</v>
      </c>
      <c r="Y14" s="7">
        <v>7</v>
      </c>
      <c r="Z14" s="26" t="s">
        <v>593</v>
      </c>
      <c r="AA14" s="7">
        <v>27</v>
      </c>
      <c r="AB14" s="26" t="s">
        <v>31</v>
      </c>
      <c r="AC14" s="7">
        <v>7</v>
      </c>
      <c r="AD14" s="7">
        <v>12</v>
      </c>
      <c r="AE14" s="30" t="s">
        <v>594</v>
      </c>
      <c r="AF14" s="30"/>
      <c r="AG14" s="28" t="str">
        <f t="shared" si="2"/>
        <v>(167*'30'*292*'10,31 - 12,7'*'0,0457'*70*70*0*0*30*30*3*11*NULL*7*27*7*12)*</v>
      </c>
    </row>
    <row r="15" spans="1:34" ht="20.100000000000001" customHeight="1" x14ac:dyDescent="0.25">
      <c r="A15" s="3">
        <v>168</v>
      </c>
      <c r="B15" s="22" t="s">
        <v>333</v>
      </c>
      <c r="C15" s="6">
        <v>38718</v>
      </c>
      <c r="D15" s="23">
        <v>1</v>
      </c>
      <c r="E15" s="7" t="s">
        <v>585</v>
      </c>
      <c r="F15" s="7">
        <v>12</v>
      </c>
      <c r="G15" s="7">
        <v>12</v>
      </c>
      <c r="H15" s="24">
        <v>30</v>
      </c>
      <c r="I15" s="25">
        <v>292</v>
      </c>
      <c r="J15" s="7" t="s">
        <v>590</v>
      </c>
      <c r="K15" s="7">
        <v>4.5699999999999998E-2</v>
      </c>
      <c r="L15" s="7">
        <v>70</v>
      </c>
      <c r="M15" s="7">
        <v>70</v>
      </c>
      <c r="N15" s="7">
        <v>0</v>
      </c>
      <c r="O15" s="7">
        <v>0</v>
      </c>
      <c r="P15" s="7">
        <v>30</v>
      </c>
      <c r="Q15" s="7">
        <v>30</v>
      </c>
      <c r="R15" s="7" t="s">
        <v>537</v>
      </c>
      <c r="S15" s="7">
        <v>4</v>
      </c>
      <c r="T15" s="7" t="s">
        <v>591</v>
      </c>
      <c r="U15" s="7">
        <v>11</v>
      </c>
      <c r="V15" s="7" t="s">
        <v>20</v>
      </c>
      <c r="W15" s="7" t="s">
        <v>20</v>
      </c>
      <c r="X15" s="7" t="s">
        <v>592</v>
      </c>
      <c r="Y15" s="7">
        <v>7</v>
      </c>
      <c r="Z15" s="26" t="s">
        <v>593</v>
      </c>
      <c r="AA15" s="7">
        <v>27</v>
      </c>
      <c r="AB15" s="26" t="s">
        <v>31</v>
      </c>
      <c r="AC15" s="7">
        <v>7</v>
      </c>
      <c r="AD15" s="7">
        <v>12</v>
      </c>
      <c r="AE15" s="30" t="s">
        <v>594</v>
      </c>
      <c r="AF15" s="30"/>
      <c r="AG15" s="28" t="str">
        <f t="shared" si="2"/>
        <v>(168*'30'*292*'10,31 - 12,7'*'0,0457'*70*70*0*0*30*30*4*11*NULL*7*27*7*12)*</v>
      </c>
    </row>
    <row r="16" spans="1:34" ht="20.100000000000001" customHeight="1" x14ac:dyDescent="0.25">
      <c r="A16" s="3">
        <v>169</v>
      </c>
      <c r="B16" s="22" t="s">
        <v>336</v>
      </c>
      <c r="C16" s="6">
        <v>28207</v>
      </c>
      <c r="D16" s="23">
        <v>1</v>
      </c>
      <c r="E16" s="7" t="s">
        <v>585</v>
      </c>
      <c r="F16" s="7">
        <v>12</v>
      </c>
      <c r="G16" s="7">
        <v>12</v>
      </c>
      <c r="H16" s="24">
        <v>20</v>
      </c>
      <c r="I16" s="25">
        <v>272.35000000000002</v>
      </c>
      <c r="J16" s="7" t="s">
        <v>595</v>
      </c>
      <c r="K16" s="7">
        <v>4.5699999999999998E-2</v>
      </c>
      <c r="L16" s="7">
        <v>72</v>
      </c>
      <c r="M16" s="7">
        <v>12</v>
      </c>
      <c r="N16" s="7">
        <v>0</v>
      </c>
      <c r="O16" s="7">
        <v>0</v>
      </c>
      <c r="P16" s="7">
        <v>5</v>
      </c>
      <c r="Q16" s="7">
        <v>2</v>
      </c>
      <c r="R16" s="7" t="s">
        <v>531</v>
      </c>
      <c r="S16" s="7">
        <v>3</v>
      </c>
      <c r="T16" s="7" t="s">
        <v>20</v>
      </c>
      <c r="U16" s="7" t="s">
        <v>20</v>
      </c>
      <c r="V16" s="7" t="s">
        <v>20</v>
      </c>
      <c r="W16" s="7" t="s">
        <v>20</v>
      </c>
      <c r="X16" s="7" t="s">
        <v>587</v>
      </c>
      <c r="Y16" s="7">
        <v>6</v>
      </c>
      <c r="Z16" s="26" t="s">
        <v>596</v>
      </c>
      <c r="AA16" s="7">
        <v>25</v>
      </c>
      <c r="AB16" s="26" t="s">
        <v>597</v>
      </c>
      <c r="AC16" s="7">
        <v>15</v>
      </c>
      <c r="AD16" s="7">
        <v>12</v>
      </c>
      <c r="AE16" s="7" t="s">
        <v>598</v>
      </c>
      <c r="AF16" s="7"/>
      <c r="AG16" s="28" t="str">
        <f t="shared" si="2"/>
        <v>(169*'20'*272,35*'6,35 - 8,74'*'0,0457'*72*12*0*0*5*2*3*NULL*NULL*6*25*15*12)*</v>
      </c>
    </row>
    <row r="17" spans="1:33" ht="20.100000000000001" customHeight="1" x14ac:dyDescent="0.25">
      <c r="A17" s="3">
        <v>170</v>
      </c>
      <c r="B17" s="22" t="s">
        <v>339</v>
      </c>
      <c r="C17" s="6">
        <v>45778</v>
      </c>
      <c r="D17" s="23">
        <v>1</v>
      </c>
      <c r="E17" s="7" t="s">
        <v>585</v>
      </c>
      <c r="F17" s="7">
        <v>12</v>
      </c>
      <c r="G17" s="7">
        <v>12</v>
      </c>
      <c r="H17" s="24">
        <v>16</v>
      </c>
      <c r="I17" s="25">
        <v>271</v>
      </c>
      <c r="J17" s="7">
        <v>6.35</v>
      </c>
      <c r="K17" s="7">
        <v>4.5999999999999999E-2</v>
      </c>
      <c r="L17" s="7">
        <v>40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 t="s">
        <v>537</v>
      </c>
      <c r="S17" s="7">
        <v>4</v>
      </c>
      <c r="T17" s="7" t="s">
        <v>20</v>
      </c>
      <c r="U17" s="7" t="s">
        <v>20</v>
      </c>
      <c r="V17" s="7" t="s">
        <v>20</v>
      </c>
      <c r="W17" s="7" t="s">
        <v>20</v>
      </c>
      <c r="X17" s="7" t="s">
        <v>587</v>
      </c>
      <c r="Y17" s="7">
        <v>6</v>
      </c>
      <c r="Z17" s="26" t="s">
        <v>596</v>
      </c>
      <c r="AA17" s="7">
        <v>25</v>
      </c>
      <c r="AB17" s="26" t="s">
        <v>597</v>
      </c>
      <c r="AC17" s="7">
        <v>15</v>
      </c>
      <c r="AD17" s="7">
        <v>12</v>
      </c>
      <c r="AE17" s="7"/>
      <c r="AF17" s="7"/>
      <c r="AG17" s="28" t="str">
        <f t="shared" si="2"/>
        <v>(170*'16'*271*'6,35'*'0,046'*40*0*0*0*0*0*4*NULL*NULL*6*25*15*12)*</v>
      </c>
    </row>
    <row r="18" spans="1:33" ht="20.100000000000001" customHeight="1" x14ac:dyDescent="0.25">
      <c r="A18" s="3">
        <v>171</v>
      </c>
      <c r="B18" s="22" t="s">
        <v>341</v>
      </c>
      <c r="C18" s="6">
        <v>35431</v>
      </c>
      <c r="D18" s="23">
        <v>1</v>
      </c>
      <c r="E18" s="7" t="s">
        <v>599</v>
      </c>
      <c r="F18" s="7">
        <v>2</v>
      </c>
      <c r="G18" s="7">
        <v>2</v>
      </c>
      <c r="H18" s="24">
        <v>20</v>
      </c>
      <c r="I18" s="25">
        <v>230</v>
      </c>
      <c r="J18" s="7"/>
      <c r="K18" s="7">
        <v>4.5699999999999998E-2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 t="s">
        <v>537</v>
      </c>
      <c r="S18" s="7">
        <v>4</v>
      </c>
      <c r="T18" s="7" t="s">
        <v>20</v>
      </c>
      <c r="U18" s="7" t="s">
        <v>20</v>
      </c>
      <c r="V18" s="7" t="s">
        <v>20</v>
      </c>
      <c r="W18" s="7" t="s">
        <v>20</v>
      </c>
      <c r="X18" s="7" t="s">
        <v>587</v>
      </c>
      <c r="Y18" s="7">
        <v>6</v>
      </c>
      <c r="Z18" s="26" t="s">
        <v>83</v>
      </c>
      <c r="AA18" s="7">
        <v>32</v>
      </c>
      <c r="AB18" s="26" t="s">
        <v>49</v>
      </c>
      <c r="AC18" s="7">
        <v>15</v>
      </c>
      <c r="AD18" s="7">
        <v>12</v>
      </c>
      <c r="AE18" s="7"/>
      <c r="AF18" s="7"/>
      <c r="AG18" s="28" t="str">
        <f t="shared" si="2"/>
        <v>(171*'20'*230*''*'0,0457'*0*0*0*0*0*0*4*NULL*NULL*6*32*15*12)*</v>
      </c>
    </row>
    <row r="19" spans="1:33" ht="20.100000000000001" customHeight="1" x14ac:dyDescent="0.25">
      <c r="A19" s="3">
        <v>172</v>
      </c>
      <c r="B19" s="22" t="s">
        <v>343</v>
      </c>
      <c r="C19" s="6">
        <v>36505</v>
      </c>
      <c r="D19" s="23">
        <v>1</v>
      </c>
      <c r="E19" s="7" t="s">
        <v>585</v>
      </c>
      <c r="F19" s="7">
        <v>12</v>
      </c>
      <c r="G19" s="7">
        <v>12</v>
      </c>
      <c r="H19" s="24">
        <v>20</v>
      </c>
      <c r="I19" s="25">
        <v>33</v>
      </c>
      <c r="J19" s="7" t="s">
        <v>600</v>
      </c>
      <c r="K19" s="7">
        <v>4.5999999999999999E-2</v>
      </c>
      <c r="L19" s="7">
        <v>55</v>
      </c>
      <c r="M19" s="7">
        <v>55</v>
      </c>
      <c r="N19" s="7">
        <v>0</v>
      </c>
      <c r="O19" s="7">
        <v>0</v>
      </c>
      <c r="P19" s="7">
        <v>5</v>
      </c>
      <c r="Q19" s="7">
        <v>5</v>
      </c>
      <c r="R19" s="7" t="s">
        <v>531</v>
      </c>
      <c r="S19" s="7">
        <v>3</v>
      </c>
      <c r="T19" s="7" t="s">
        <v>20</v>
      </c>
      <c r="U19" s="7" t="s">
        <v>20</v>
      </c>
      <c r="V19" s="7" t="s">
        <v>20</v>
      </c>
      <c r="W19" s="7" t="s">
        <v>20</v>
      </c>
      <c r="X19" s="7" t="s">
        <v>587</v>
      </c>
      <c r="Y19" s="7">
        <v>6</v>
      </c>
      <c r="Z19" s="26" t="s">
        <v>601</v>
      </c>
      <c r="AA19" s="7">
        <v>33</v>
      </c>
      <c r="AB19" s="26" t="s">
        <v>597</v>
      </c>
      <c r="AC19" s="7">
        <v>15</v>
      </c>
      <c r="AD19" s="7">
        <v>12</v>
      </c>
      <c r="AE19" s="7" t="s">
        <v>602</v>
      </c>
      <c r="AF19" s="7"/>
      <c r="AG19" s="28" t="str">
        <f t="shared" si="2"/>
        <v>(172*'20'*33*'7,14 - 8,74'*'0,046'*55*55*0*0*5*5*3*NULL*NULL*6*33*15*12)*</v>
      </c>
    </row>
    <row r="20" spans="1:33" ht="20.100000000000001" customHeight="1" x14ac:dyDescent="0.25">
      <c r="A20" s="3">
        <v>173</v>
      </c>
      <c r="B20" s="22" t="s">
        <v>345</v>
      </c>
      <c r="C20" s="6">
        <v>28795</v>
      </c>
      <c r="D20" s="23">
        <v>1</v>
      </c>
      <c r="E20" s="7" t="s">
        <v>528</v>
      </c>
      <c r="F20" s="7">
        <v>11</v>
      </c>
      <c r="G20" s="7">
        <v>12</v>
      </c>
      <c r="H20" s="24">
        <v>28</v>
      </c>
      <c r="I20" s="25">
        <v>507</v>
      </c>
      <c r="J20" s="7" t="s">
        <v>603</v>
      </c>
      <c r="K20" s="7">
        <v>4.5699999999999998E-2</v>
      </c>
      <c r="L20" s="7">
        <v>66</v>
      </c>
      <c r="M20" s="7">
        <v>66</v>
      </c>
      <c r="N20" s="7">
        <v>0</v>
      </c>
      <c r="O20" s="7">
        <v>0</v>
      </c>
      <c r="P20" s="7">
        <v>21</v>
      </c>
      <c r="Q20" s="7">
        <v>13.6</v>
      </c>
      <c r="R20" s="7" t="s">
        <v>531</v>
      </c>
      <c r="S20" s="7">
        <v>3</v>
      </c>
      <c r="T20" s="7" t="s">
        <v>578</v>
      </c>
      <c r="U20" s="7">
        <v>14</v>
      </c>
      <c r="V20" s="7" t="s">
        <v>20</v>
      </c>
      <c r="W20" s="7" t="s">
        <v>20</v>
      </c>
      <c r="X20" s="7" t="s">
        <v>345</v>
      </c>
      <c r="Y20" s="7">
        <v>8</v>
      </c>
      <c r="Z20" s="26" t="s">
        <v>33</v>
      </c>
      <c r="AA20" s="7">
        <v>8</v>
      </c>
      <c r="AB20" s="26" t="s">
        <v>534</v>
      </c>
      <c r="AC20" s="7">
        <v>21</v>
      </c>
      <c r="AD20" s="7">
        <v>12</v>
      </c>
      <c r="AE20" s="30" t="s">
        <v>604</v>
      </c>
      <c r="AF20" s="30"/>
      <c r="AG20" s="28" t="str">
        <f t="shared" si="2"/>
        <v>(173*'28'*507*'6,35 / 7,14 / 7,22 / 8,74 / 9,25 / 12,7 / 14,27'*'0,0457'*66*66*0*0*21*13,6*3*14*NULL*8*8*21*12)*</v>
      </c>
    </row>
    <row r="21" spans="1:33" ht="20.100000000000001" customHeight="1" x14ac:dyDescent="0.25">
      <c r="A21" s="3">
        <v>174</v>
      </c>
      <c r="B21" s="22" t="s">
        <v>348</v>
      </c>
      <c r="C21" s="6">
        <v>40029</v>
      </c>
      <c r="D21" s="23">
        <v>1</v>
      </c>
      <c r="E21" s="7" t="s">
        <v>540</v>
      </c>
      <c r="F21" s="7">
        <v>13</v>
      </c>
      <c r="G21" s="7">
        <v>12</v>
      </c>
      <c r="H21" s="24">
        <v>30</v>
      </c>
      <c r="I21" s="25">
        <v>646</v>
      </c>
      <c r="J21" s="7" t="s">
        <v>605</v>
      </c>
      <c r="K21" s="7">
        <v>4.5699999999999998E-2</v>
      </c>
      <c r="L21" s="7">
        <v>82.9</v>
      </c>
      <c r="M21" s="7">
        <v>82.9</v>
      </c>
      <c r="N21" s="7">
        <v>0</v>
      </c>
      <c r="O21" s="7">
        <v>0</v>
      </c>
      <c r="P21" s="7">
        <v>11.41</v>
      </c>
      <c r="Q21" s="7">
        <v>11.41</v>
      </c>
      <c r="R21" s="7" t="s">
        <v>537</v>
      </c>
      <c r="S21" s="7">
        <v>4</v>
      </c>
      <c r="T21" s="7" t="s">
        <v>538</v>
      </c>
      <c r="U21" s="7">
        <v>11</v>
      </c>
      <c r="V21" s="7" t="s">
        <v>20</v>
      </c>
      <c r="W21" s="7" t="s">
        <v>20</v>
      </c>
      <c r="X21" s="7" t="s">
        <v>348</v>
      </c>
      <c r="Y21" s="7">
        <v>9</v>
      </c>
      <c r="Z21" s="26" t="s">
        <v>33</v>
      </c>
      <c r="AA21" s="7">
        <v>8</v>
      </c>
      <c r="AB21" s="26" t="s">
        <v>544</v>
      </c>
      <c r="AC21" s="7">
        <v>34</v>
      </c>
      <c r="AD21" s="7">
        <v>12</v>
      </c>
      <c r="AE21" s="7" t="s">
        <v>606</v>
      </c>
      <c r="AF21" s="7"/>
      <c r="AG21" s="28" t="str">
        <f t="shared" si="2"/>
        <v>(174*'30'*646*'7,92/ 8,74/ 9,53/ 10,31/ 11,91/ 14,27'*'0,0457'*82,9*82,9*0*0*11,41*11,41*4*11*NULL*9*8*34*12)*</v>
      </c>
    </row>
    <row r="22" spans="1:33" ht="20.100000000000001" customHeight="1" x14ac:dyDescent="0.25">
      <c r="A22" s="3">
        <v>175</v>
      </c>
      <c r="B22" s="22" t="s">
        <v>351</v>
      </c>
      <c r="C22" s="6">
        <v>21916</v>
      </c>
      <c r="D22" s="23">
        <v>1</v>
      </c>
      <c r="E22" s="7" t="s">
        <v>566</v>
      </c>
      <c r="F22" s="7">
        <v>14</v>
      </c>
      <c r="G22" s="7">
        <v>12</v>
      </c>
      <c r="H22" s="24" t="s">
        <v>607</v>
      </c>
      <c r="I22" s="25">
        <v>565</v>
      </c>
      <c r="J22" s="7" t="s">
        <v>586</v>
      </c>
      <c r="K22" s="7">
        <v>4.5699999999999998E-2</v>
      </c>
      <c r="L22" s="7">
        <v>49</v>
      </c>
      <c r="M22" s="7">
        <v>11</v>
      </c>
      <c r="N22" s="7">
        <v>0</v>
      </c>
      <c r="O22" s="7">
        <v>0</v>
      </c>
      <c r="P22" s="7">
        <v>7.9</v>
      </c>
      <c r="Q22" s="7">
        <v>7.9</v>
      </c>
      <c r="R22" s="7" t="s">
        <v>531</v>
      </c>
      <c r="S22" s="7">
        <v>3</v>
      </c>
      <c r="T22" s="7" t="s">
        <v>578</v>
      </c>
      <c r="U22" s="7">
        <v>14</v>
      </c>
      <c r="V22" s="7" t="s">
        <v>571</v>
      </c>
      <c r="W22" s="7">
        <v>17</v>
      </c>
      <c r="X22" s="7" t="s">
        <v>351</v>
      </c>
      <c r="Y22" s="7">
        <v>10</v>
      </c>
      <c r="Z22" s="26" t="s">
        <v>608</v>
      </c>
      <c r="AA22" s="7">
        <v>29</v>
      </c>
      <c r="AB22" s="26" t="s">
        <v>31</v>
      </c>
      <c r="AC22" s="7">
        <v>7</v>
      </c>
      <c r="AD22" s="7">
        <v>12</v>
      </c>
      <c r="AE22" s="7" t="s">
        <v>609</v>
      </c>
      <c r="AF22" s="7"/>
      <c r="AG22" s="28" t="str">
        <f t="shared" si="2"/>
        <v>(175*'24/30'*565*'7,14 / 8,74'*'0,0457'*49*11*0*0*7,9*7,9*3*14*17*10*29*7*12)*</v>
      </c>
    </row>
    <row r="23" spans="1:33" ht="20.100000000000001" customHeight="1" x14ac:dyDescent="0.25">
      <c r="A23" s="3">
        <v>176</v>
      </c>
      <c r="B23" s="22" t="s">
        <v>610</v>
      </c>
      <c r="C23" s="6"/>
      <c r="D23" s="23">
        <v>1</v>
      </c>
      <c r="E23" s="7" t="s">
        <v>528</v>
      </c>
      <c r="F23" s="7">
        <v>11</v>
      </c>
      <c r="G23" s="7">
        <v>12</v>
      </c>
      <c r="H23" s="32">
        <v>16</v>
      </c>
      <c r="I23" s="25"/>
      <c r="J23" s="7"/>
      <c r="K23" s="7">
        <v>4.5699999999999998E-2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 t="s">
        <v>531</v>
      </c>
      <c r="S23" s="7">
        <v>3</v>
      </c>
      <c r="T23" s="7" t="s">
        <v>20</v>
      </c>
      <c r="U23" s="7" t="s">
        <v>20</v>
      </c>
      <c r="V23" s="7" t="s">
        <v>20</v>
      </c>
      <c r="W23" s="7" t="s">
        <v>20</v>
      </c>
      <c r="X23" s="7" t="s">
        <v>611</v>
      </c>
      <c r="Y23" s="7">
        <v>11</v>
      </c>
      <c r="Z23" s="26" t="s">
        <v>33</v>
      </c>
      <c r="AA23" s="7">
        <v>8</v>
      </c>
      <c r="AB23" s="26" t="s">
        <v>534</v>
      </c>
      <c r="AC23" s="7">
        <v>21</v>
      </c>
      <c r="AD23" s="7">
        <v>12</v>
      </c>
      <c r="AE23" s="7"/>
      <c r="AF23" s="7"/>
      <c r="AG23" s="28" t="str">
        <f t="shared" si="2"/>
        <v>(176*'16'**''*'0,0457'*0*0*0*0*0*0*3*NULL*NULL*11*8*21*12)*</v>
      </c>
    </row>
    <row r="24" spans="1:33" ht="20.100000000000001" customHeight="1" x14ac:dyDescent="0.25">
      <c r="A24" s="3">
        <v>177</v>
      </c>
      <c r="B24" s="22" t="s">
        <v>356</v>
      </c>
      <c r="C24" s="6">
        <v>30720</v>
      </c>
      <c r="D24" s="23">
        <v>1</v>
      </c>
      <c r="E24" s="7" t="s">
        <v>528</v>
      </c>
      <c r="F24" s="7">
        <v>11</v>
      </c>
      <c r="G24" s="7">
        <v>12</v>
      </c>
      <c r="H24" s="24">
        <v>24</v>
      </c>
      <c r="I24" s="25">
        <v>503.46</v>
      </c>
      <c r="J24" s="7" t="s">
        <v>612</v>
      </c>
      <c r="K24" s="7">
        <v>0.05</v>
      </c>
      <c r="L24" s="7">
        <v>84</v>
      </c>
      <c r="M24" s="7">
        <v>84</v>
      </c>
      <c r="N24" s="7">
        <v>0</v>
      </c>
      <c r="O24" s="7">
        <v>0</v>
      </c>
      <c r="P24" s="7">
        <v>9</v>
      </c>
      <c r="Q24" s="7">
        <v>9</v>
      </c>
      <c r="R24" s="7" t="s">
        <v>542</v>
      </c>
      <c r="S24" s="7">
        <v>3</v>
      </c>
      <c r="T24" s="7" t="s">
        <v>578</v>
      </c>
      <c r="U24" s="7">
        <v>14</v>
      </c>
      <c r="V24" s="7" t="s">
        <v>20</v>
      </c>
      <c r="W24" s="7" t="s">
        <v>20</v>
      </c>
      <c r="X24" s="7" t="s">
        <v>611</v>
      </c>
      <c r="Y24" s="7">
        <v>11</v>
      </c>
      <c r="Z24" s="26" t="s">
        <v>33</v>
      </c>
      <c r="AA24" s="7">
        <v>8</v>
      </c>
      <c r="AB24" s="26" t="s">
        <v>534</v>
      </c>
      <c r="AC24" s="7">
        <v>21</v>
      </c>
      <c r="AD24" s="7">
        <v>12</v>
      </c>
      <c r="AE24" s="7" t="s">
        <v>613</v>
      </c>
      <c r="AF24" s="7"/>
      <c r="AG24" s="28" t="str">
        <f t="shared" si="2"/>
        <v>(177*'24'*503,46*'9,52 / 11,91 '*'0,05'*84*84*0*0*9*9*3*14*NULL*11*8*21*12)*</v>
      </c>
    </row>
    <row r="25" spans="1:33" ht="20.100000000000001" customHeight="1" x14ac:dyDescent="0.25">
      <c r="A25" s="3">
        <v>178</v>
      </c>
      <c r="B25" s="22" t="s">
        <v>359</v>
      </c>
      <c r="C25" s="6">
        <v>39814</v>
      </c>
      <c r="D25" s="23">
        <v>1</v>
      </c>
      <c r="E25" s="7" t="s">
        <v>528</v>
      </c>
      <c r="F25" s="7">
        <v>11</v>
      </c>
      <c r="G25" s="7">
        <v>12</v>
      </c>
      <c r="H25" s="24">
        <v>24</v>
      </c>
      <c r="I25" s="25">
        <v>495</v>
      </c>
      <c r="J25" s="30" t="s">
        <v>614</v>
      </c>
      <c r="K25" s="7">
        <v>0.05</v>
      </c>
      <c r="L25" s="7">
        <v>114.1</v>
      </c>
      <c r="M25" s="7">
        <v>114.1</v>
      </c>
      <c r="N25" s="7">
        <v>0</v>
      </c>
      <c r="O25" s="7">
        <v>0</v>
      </c>
      <c r="P25" s="7">
        <v>6</v>
      </c>
      <c r="Q25" s="7">
        <v>6</v>
      </c>
      <c r="R25" s="7" t="s">
        <v>615</v>
      </c>
      <c r="S25" s="7">
        <v>4</v>
      </c>
      <c r="T25" s="7" t="s">
        <v>538</v>
      </c>
      <c r="U25" s="7">
        <v>11</v>
      </c>
      <c r="V25" s="7" t="s">
        <v>20</v>
      </c>
      <c r="W25" s="7" t="s">
        <v>20</v>
      </c>
      <c r="X25" s="7" t="s">
        <v>611</v>
      </c>
      <c r="Y25" s="7">
        <v>11</v>
      </c>
      <c r="Z25" s="26" t="s">
        <v>33</v>
      </c>
      <c r="AA25" s="7">
        <v>8</v>
      </c>
      <c r="AB25" s="26" t="s">
        <v>534</v>
      </c>
      <c r="AC25" s="7">
        <v>21</v>
      </c>
      <c r="AD25" s="7">
        <v>12</v>
      </c>
      <c r="AE25" s="7" t="s">
        <v>616</v>
      </c>
      <c r="AF25" s="7"/>
      <c r="AG25" s="28" t="str">
        <f t="shared" si="2"/>
        <v>(178*'24'*495*'8,74 / 9,52 / 10,31 / 12,70 / 14,27 / 15,88 / 19,05 / 17,5'*'0,05'*114,1*114,1*0*0*6*6*4*11*NULL*11*8*21*12)*</v>
      </c>
    </row>
    <row r="26" spans="1:33" ht="20.100000000000001" customHeight="1" x14ac:dyDescent="0.25">
      <c r="A26" s="3">
        <v>179</v>
      </c>
      <c r="B26" s="22" t="s">
        <v>362</v>
      </c>
      <c r="C26" s="6">
        <v>35065</v>
      </c>
      <c r="D26" s="23">
        <v>1</v>
      </c>
      <c r="E26" s="7" t="s">
        <v>585</v>
      </c>
      <c r="F26" s="7">
        <v>12</v>
      </c>
      <c r="G26" s="7">
        <v>12</v>
      </c>
      <c r="H26" s="24" t="s">
        <v>617</v>
      </c>
      <c r="I26" s="25">
        <v>989</v>
      </c>
      <c r="J26" s="7" t="s">
        <v>612</v>
      </c>
      <c r="K26" s="7">
        <v>0.05</v>
      </c>
      <c r="L26" s="7">
        <v>91.7</v>
      </c>
      <c r="M26" s="7">
        <v>91.7</v>
      </c>
      <c r="N26" s="7">
        <v>0</v>
      </c>
      <c r="O26" s="7">
        <v>0</v>
      </c>
      <c r="P26" s="7">
        <v>6.5</v>
      </c>
      <c r="Q26" s="7">
        <v>5.7</v>
      </c>
      <c r="R26" s="7" t="s">
        <v>537</v>
      </c>
      <c r="S26" s="7">
        <v>4</v>
      </c>
      <c r="T26" s="7" t="s">
        <v>538</v>
      </c>
      <c r="U26" s="7">
        <v>11</v>
      </c>
      <c r="V26" s="7" t="s">
        <v>20</v>
      </c>
      <c r="W26" s="7" t="s">
        <v>20</v>
      </c>
      <c r="X26" s="7" t="s">
        <v>618</v>
      </c>
      <c r="Y26" s="7">
        <v>12</v>
      </c>
      <c r="Z26" s="26" t="s">
        <v>619</v>
      </c>
      <c r="AA26" s="7">
        <v>20</v>
      </c>
      <c r="AB26" s="26" t="s">
        <v>33</v>
      </c>
      <c r="AC26" s="7">
        <v>8</v>
      </c>
      <c r="AD26" s="7">
        <v>12</v>
      </c>
      <c r="AE26" s="7" t="s">
        <v>620</v>
      </c>
      <c r="AF26" s="7"/>
      <c r="AG26" s="28" t="str">
        <f t="shared" si="2"/>
        <v>(179*'10 / 12 / 14 / 16 / 20 / 24'*989*'9,52 / 11,91 '*'0,05'*91,7*91,7*0*0*6,5*5,7*4*11*NULL*12*20*8*12)*</v>
      </c>
    </row>
    <row r="27" spans="1:33" ht="20.100000000000001" customHeight="1" x14ac:dyDescent="0.25">
      <c r="A27" s="3">
        <v>179</v>
      </c>
      <c r="B27" s="33" t="s">
        <v>621</v>
      </c>
      <c r="C27" s="6"/>
      <c r="D27" s="23">
        <v>1</v>
      </c>
      <c r="E27" s="7" t="s">
        <v>528</v>
      </c>
      <c r="F27" s="7">
        <v>11</v>
      </c>
      <c r="G27" s="7">
        <v>12</v>
      </c>
      <c r="H27" s="32">
        <v>12</v>
      </c>
      <c r="I27" s="25"/>
      <c r="J27" s="7" t="s">
        <v>622</v>
      </c>
      <c r="K27" s="7">
        <v>0.05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 t="s">
        <v>537</v>
      </c>
      <c r="S27" s="7">
        <v>4</v>
      </c>
      <c r="T27" s="7" t="s">
        <v>20</v>
      </c>
      <c r="U27" s="7" t="s">
        <v>20</v>
      </c>
      <c r="V27" s="7" t="s">
        <v>20</v>
      </c>
      <c r="W27" s="7" t="s">
        <v>20</v>
      </c>
      <c r="X27" s="7" t="s">
        <v>618</v>
      </c>
      <c r="Y27" s="7">
        <v>12</v>
      </c>
      <c r="Z27" s="26" t="s">
        <v>33</v>
      </c>
      <c r="AA27" s="7">
        <v>8</v>
      </c>
      <c r="AB27" s="26" t="s">
        <v>534</v>
      </c>
      <c r="AC27" s="7">
        <v>21</v>
      </c>
      <c r="AD27" s="7">
        <v>12</v>
      </c>
      <c r="AE27" s="7"/>
      <c r="AF27" s="7"/>
      <c r="AG27" s="28" t="str">
        <f t="shared" si="2"/>
        <v>(179*'12'**'11,91 / 12,7 / 14,25 / 19,05'*'0,05'*0*0*0*0*0*0*4*NULL*NULL*12*8*21*12)*</v>
      </c>
    </row>
    <row r="28" spans="1:33" ht="20.100000000000001" customHeight="1" x14ac:dyDescent="0.25">
      <c r="A28" s="3">
        <v>180</v>
      </c>
      <c r="B28" s="22" t="s">
        <v>365</v>
      </c>
      <c r="C28" s="6">
        <v>38264</v>
      </c>
      <c r="D28" s="23">
        <v>1</v>
      </c>
      <c r="E28" s="7" t="s">
        <v>585</v>
      </c>
      <c r="F28" s="7">
        <v>12</v>
      </c>
      <c r="G28" s="7">
        <v>12</v>
      </c>
      <c r="H28" s="24">
        <v>16</v>
      </c>
      <c r="I28" s="25">
        <v>404</v>
      </c>
      <c r="J28" s="7" t="s">
        <v>623</v>
      </c>
      <c r="K28" s="7">
        <v>4.5999999999999999E-2</v>
      </c>
      <c r="L28" s="7">
        <v>89.2</v>
      </c>
      <c r="M28" s="7">
        <v>89.2</v>
      </c>
      <c r="N28" s="7">
        <v>0</v>
      </c>
      <c r="O28" s="7">
        <v>0</v>
      </c>
      <c r="P28" s="7">
        <v>3.26</v>
      </c>
      <c r="Q28" s="7">
        <v>3.26</v>
      </c>
      <c r="R28" s="7" t="s">
        <v>537</v>
      </c>
      <c r="S28" s="7">
        <v>4</v>
      </c>
      <c r="T28" s="7" t="s">
        <v>538</v>
      </c>
      <c r="U28" s="7">
        <v>11</v>
      </c>
      <c r="V28" s="7" t="s">
        <v>20</v>
      </c>
      <c r="W28" s="7" t="s">
        <v>20</v>
      </c>
      <c r="X28" s="7" t="s">
        <v>618</v>
      </c>
      <c r="Y28" s="7">
        <v>12</v>
      </c>
      <c r="Z28" s="26" t="s">
        <v>624</v>
      </c>
      <c r="AA28" s="7">
        <v>16</v>
      </c>
      <c r="AB28" s="26" t="s">
        <v>625</v>
      </c>
      <c r="AC28" s="7">
        <v>26</v>
      </c>
      <c r="AD28" s="7">
        <v>12</v>
      </c>
      <c r="AE28" s="7" t="s">
        <v>626</v>
      </c>
      <c r="AF28" s="7"/>
      <c r="AG28" s="28" t="str">
        <f t="shared" si="2"/>
        <v>(180*'16'*404*'7,92 / 11,13'*'0,046'*89,2*89,2*0*0*3,26*3,26*4*11*NULL*12*16*26*12)*</v>
      </c>
    </row>
    <row r="29" spans="1:33" ht="20.100000000000001" customHeight="1" x14ac:dyDescent="0.25">
      <c r="A29" s="3">
        <v>181</v>
      </c>
      <c r="B29" s="22" t="s">
        <v>368</v>
      </c>
      <c r="C29" s="6">
        <v>41640</v>
      </c>
      <c r="D29" s="23">
        <v>1</v>
      </c>
      <c r="E29" s="7" t="s">
        <v>585</v>
      </c>
      <c r="F29" s="7">
        <v>12</v>
      </c>
      <c r="G29" s="7">
        <v>12</v>
      </c>
      <c r="H29" s="24">
        <v>24</v>
      </c>
      <c r="I29" s="25">
        <v>336</v>
      </c>
      <c r="J29" s="7" t="s">
        <v>627</v>
      </c>
      <c r="K29" s="7">
        <v>4.5999999999999999E-2</v>
      </c>
      <c r="L29" s="7">
        <v>77</v>
      </c>
      <c r="M29" s="7">
        <v>77</v>
      </c>
      <c r="N29" s="7">
        <v>0</v>
      </c>
      <c r="O29" s="7">
        <v>0</v>
      </c>
      <c r="P29" s="7">
        <v>4.5</v>
      </c>
      <c r="Q29" s="7">
        <v>4.5</v>
      </c>
      <c r="R29" s="7" t="s">
        <v>537</v>
      </c>
      <c r="S29" s="7">
        <v>4</v>
      </c>
      <c r="T29" s="7" t="s">
        <v>559</v>
      </c>
      <c r="U29" s="7">
        <v>21</v>
      </c>
      <c r="V29" s="7" t="s">
        <v>20</v>
      </c>
      <c r="W29" s="7" t="s">
        <v>20</v>
      </c>
      <c r="X29" s="7" t="s">
        <v>618</v>
      </c>
      <c r="Y29" s="7">
        <v>12</v>
      </c>
      <c r="Z29" s="26" t="s">
        <v>628</v>
      </c>
      <c r="AA29" s="7">
        <v>14</v>
      </c>
      <c r="AB29" s="26" t="s">
        <v>33</v>
      </c>
      <c r="AC29" s="7">
        <v>8</v>
      </c>
      <c r="AD29" s="7">
        <v>12</v>
      </c>
      <c r="AE29" s="7" t="s">
        <v>629</v>
      </c>
      <c r="AF29" s="7"/>
      <c r="AG29" s="28" t="str">
        <f t="shared" si="2"/>
        <v>(181*'24'*336*'14,3 / 9,52 / 11,13 / 15,88 / 10,31'*'0,046'*77*77*0*0*4,5*4,5*4*21*NULL*12*14*8*12)*</v>
      </c>
    </row>
    <row r="30" spans="1:33" ht="20.100000000000001" customHeight="1" x14ac:dyDescent="0.25">
      <c r="A30" s="3">
        <v>182</v>
      </c>
      <c r="B30" s="22" t="s">
        <v>371</v>
      </c>
      <c r="C30" s="6">
        <v>22282</v>
      </c>
      <c r="D30" s="23">
        <v>1</v>
      </c>
      <c r="E30" s="7" t="s">
        <v>528</v>
      </c>
      <c r="F30" s="7">
        <v>11</v>
      </c>
      <c r="G30" s="7">
        <v>16</v>
      </c>
      <c r="H30" s="24" t="s">
        <v>630</v>
      </c>
      <c r="I30" s="25">
        <v>509</v>
      </c>
      <c r="J30" s="7" t="s">
        <v>631</v>
      </c>
      <c r="K30" s="7">
        <v>1.4999999999999999E-2</v>
      </c>
      <c r="L30" s="7">
        <v>65</v>
      </c>
      <c r="M30" s="7">
        <v>0</v>
      </c>
      <c r="N30" s="7">
        <v>0</v>
      </c>
      <c r="O30" s="7">
        <v>0</v>
      </c>
      <c r="P30" s="7">
        <v>3.56</v>
      </c>
      <c r="Q30" s="7">
        <v>0</v>
      </c>
      <c r="R30" s="7" t="s">
        <v>542</v>
      </c>
      <c r="S30" s="7">
        <v>3</v>
      </c>
      <c r="T30" s="7" t="s">
        <v>632</v>
      </c>
      <c r="U30" s="7">
        <v>14</v>
      </c>
      <c r="V30" s="7" t="s">
        <v>633</v>
      </c>
      <c r="W30" s="7">
        <v>17</v>
      </c>
      <c r="X30" s="7" t="s">
        <v>371</v>
      </c>
      <c r="Y30" s="7">
        <v>13</v>
      </c>
      <c r="Z30" s="26" t="s">
        <v>33</v>
      </c>
      <c r="AA30" s="7">
        <v>8</v>
      </c>
      <c r="AB30" s="26" t="s">
        <v>534</v>
      </c>
      <c r="AC30" s="7">
        <v>21</v>
      </c>
      <c r="AD30" s="7">
        <v>16</v>
      </c>
      <c r="AE30" s="7" t="s">
        <v>634</v>
      </c>
      <c r="AF30" s="7"/>
      <c r="AG30" s="28" t="str">
        <f t="shared" si="2"/>
        <v>(182*'20 / 24'*509*'8,74 - 12,7 - 10,31 - 15,9'*'0,015'*65*0*0*0*3,56*0*3*14*17*13*8*21*16)*</v>
      </c>
    </row>
    <row r="31" spans="1:33" ht="20.100000000000001" customHeight="1" x14ac:dyDescent="0.25">
      <c r="A31" s="3">
        <v>183</v>
      </c>
      <c r="B31" s="22" t="s">
        <v>373</v>
      </c>
      <c r="C31" s="6">
        <v>44805</v>
      </c>
      <c r="D31" s="23">
        <v>1</v>
      </c>
      <c r="E31" s="7" t="s">
        <v>528</v>
      </c>
      <c r="F31" s="7">
        <v>11</v>
      </c>
      <c r="G31" s="7">
        <v>16</v>
      </c>
      <c r="H31" s="24">
        <v>20</v>
      </c>
      <c r="I31" s="25">
        <v>3.6</v>
      </c>
      <c r="J31" s="7">
        <v>11.13</v>
      </c>
      <c r="K31" s="7">
        <v>1.4999999999999999E-2</v>
      </c>
      <c r="L31" s="7">
        <v>70</v>
      </c>
      <c r="M31" s="7">
        <v>70</v>
      </c>
      <c r="N31" s="7">
        <v>0</v>
      </c>
      <c r="O31" s="7">
        <v>0</v>
      </c>
      <c r="P31" s="7">
        <v>0</v>
      </c>
      <c r="Q31" s="7">
        <v>0</v>
      </c>
      <c r="R31" s="7" t="s">
        <v>537</v>
      </c>
      <c r="S31" s="7">
        <v>4</v>
      </c>
      <c r="T31" s="7" t="s">
        <v>559</v>
      </c>
      <c r="U31" s="7">
        <v>21</v>
      </c>
      <c r="V31" s="7" t="s">
        <v>633</v>
      </c>
      <c r="W31" s="7">
        <v>17</v>
      </c>
      <c r="X31" s="7" t="s">
        <v>635</v>
      </c>
      <c r="Y31" s="7">
        <v>14</v>
      </c>
      <c r="Z31" s="26" t="s">
        <v>534</v>
      </c>
      <c r="AA31" s="7">
        <v>21</v>
      </c>
      <c r="AB31" s="26" t="s">
        <v>636</v>
      </c>
      <c r="AC31" s="13">
        <v>122</v>
      </c>
      <c r="AD31" s="7">
        <v>16</v>
      </c>
      <c r="AE31" s="7"/>
      <c r="AF31" s="7"/>
      <c r="AG31" s="28" t="str">
        <f t="shared" si="2"/>
        <v>(183*'20'*3,6*'11,13'*'0,015'*70*70*0*0*0*0*4*21*17*14*21*122*16)*</v>
      </c>
    </row>
    <row r="32" spans="1:33" ht="20.100000000000001" customHeight="1" x14ac:dyDescent="0.25">
      <c r="A32" s="3">
        <v>184</v>
      </c>
      <c r="B32" s="22" t="s">
        <v>376</v>
      </c>
      <c r="C32" s="6">
        <v>27760</v>
      </c>
      <c r="D32" s="23">
        <v>1</v>
      </c>
      <c r="E32" s="7" t="s">
        <v>528</v>
      </c>
      <c r="F32" s="7">
        <v>11</v>
      </c>
      <c r="G32" s="7">
        <v>16</v>
      </c>
      <c r="H32" s="24">
        <v>40</v>
      </c>
      <c r="I32" s="25">
        <v>507</v>
      </c>
      <c r="J32" s="7" t="s">
        <v>637</v>
      </c>
      <c r="K32" s="7">
        <v>1.4999999999999999E-2</v>
      </c>
      <c r="L32" s="7">
        <v>69.8</v>
      </c>
      <c r="M32" s="7">
        <v>69.8</v>
      </c>
      <c r="N32" s="7">
        <v>0</v>
      </c>
      <c r="O32" s="7">
        <v>0</v>
      </c>
      <c r="P32" s="7">
        <v>13.679</v>
      </c>
      <c r="Q32" s="7">
        <v>13.679</v>
      </c>
      <c r="R32" s="7" t="s">
        <v>542</v>
      </c>
      <c r="S32" s="7">
        <v>3</v>
      </c>
      <c r="T32" s="7" t="s">
        <v>632</v>
      </c>
      <c r="U32" s="7">
        <v>14</v>
      </c>
      <c r="V32" s="7" t="s">
        <v>633</v>
      </c>
      <c r="W32" s="7">
        <v>17</v>
      </c>
      <c r="X32" s="7" t="s">
        <v>635</v>
      </c>
      <c r="Y32" s="7">
        <v>14</v>
      </c>
      <c r="Z32" s="26" t="s">
        <v>33</v>
      </c>
      <c r="AA32" s="7">
        <v>8</v>
      </c>
      <c r="AB32" s="26" t="s">
        <v>534</v>
      </c>
      <c r="AC32" s="7">
        <v>21</v>
      </c>
      <c r="AD32" s="7">
        <v>16</v>
      </c>
      <c r="AE32" s="7" t="s">
        <v>638</v>
      </c>
      <c r="AF32" s="7"/>
      <c r="AG32" s="28" t="str">
        <f t="shared" si="2"/>
        <v>(184*'40'*507*'11,13 - 12,7 - 19,05'*'0,015'*69,8*69,8*0*0*13,679*13,679*3*14*17*14*8*21*16)*</v>
      </c>
    </row>
    <row r="33" spans="1:33" ht="20.100000000000001" customHeight="1" x14ac:dyDescent="0.25">
      <c r="A33" s="3">
        <v>185</v>
      </c>
      <c r="B33" s="22" t="s">
        <v>379</v>
      </c>
      <c r="C33" s="6">
        <v>29952</v>
      </c>
      <c r="D33" s="23">
        <v>1</v>
      </c>
      <c r="E33" s="7" t="s">
        <v>528</v>
      </c>
      <c r="F33" s="7">
        <v>11</v>
      </c>
      <c r="G33" s="7">
        <v>16</v>
      </c>
      <c r="H33" s="24">
        <v>40</v>
      </c>
      <c r="I33" s="25">
        <v>511</v>
      </c>
      <c r="J33" s="7" t="s">
        <v>637</v>
      </c>
      <c r="K33" s="7">
        <v>1.4999999999999999E-2</v>
      </c>
      <c r="L33" s="7">
        <v>67</v>
      </c>
      <c r="M33" s="7">
        <v>67</v>
      </c>
      <c r="N33" s="7">
        <v>0</v>
      </c>
      <c r="O33" s="7">
        <v>0</v>
      </c>
      <c r="P33" s="7">
        <v>12.507</v>
      </c>
      <c r="Q33" s="7">
        <v>12.507</v>
      </c>
      <c r="R33" s="7" t="s">
        <v>542</v>
      </c>
      <c r="S33" s="7">
        <v>3</v>
      </c>
      <c r="T33" s="7" t="s">
        <v>632</v>
      </c>
      <c r="U33" s="7">
        <v>14</v>
      </c>
      <c r="V33" s="7" t="s">
        <v>633</v>
      </c>
      <c r="W33" s="7">
        <v>17</v>
      </c>
      <c r="X33" s="7" t="s">
        <v>635</v>
      </c>
      <c r="Y33" s="7">
        <v>14</v>
      </c>
      <c r="Z33" s="26" t="s">
        <v>33</v>
      </c>
      <c r="AA33" s="7">
        <v>8</v>
      </c>
      <c r="AB33" s="26" t="s">
        <v>534</v>
      </c>
      <c r="AC33" s="7">
        <v>21</v>
      </c>
      <c r="AD33" s="7">
        <v>16</v>
      </c>
      <c r="AE33" s="7" t="s">
        <v>639</v>
      </c>
      <c r="AF33" s="7"/>
      <c r="AG33" s="28" t="str">
        <f t="shared" si="2"/>
        <v>(185*'40'*511*'11,13 - 12,7 - 19,05'*'0,015'*67*67*0*0*12,507*12,507*3*14*17*14*8*21*16)*</v>
      </c>
    </row>
    <row r="34" spans="1:33" ht="20.100000000000001" customHeight="1" x14ac:dyDescent="0.25">
      <c r="A34" s="3">
        <v>186</v>
      </c>
      <c r="B34" s="22" t="s">
        <v>381</v>
      </c>
      <c r="C34" s="6"/>
      <c r="D34" s="23">
        <v>1</v>
      </c>
      <c r="E34" s="7" t="s">
        <v>528</v>
      </c>
      <c r="F34" s="7">
        <v>11</v>
      </c>
      <c r="G34" s="7">
        <v>16</v>
      </c>
      <c r="H34" s="24">
        <v>40</v>
      </c>
      <c r="I34" s="25">
        <v>221</v>
      </c>
      <c r="J34" s="7" t="s">
        <v>622</v>
      </c>
      <c r="K34" s="7">
        <v>1.4999999999999999E-2</v>
      </c>
      <c r="L34" s="7">
        <v>67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 t="s">
        <v>537</v>
      </c>
      <c r="S34" s="7">
        <v>4</v>
      </c>
      <c r="T34" s="7" t="s">
        <v>20</v>
      </c>
      <c r="U34" s="7" t="s">
        <v>20</v>
      </c>
      <c r="V34" s="7" t="s">
        <v>20</v>
      </c>
      <c r="W34" s="7" t="s">
        <v>20</v>
      </c>
      <c r="X34" s="7" t="s">
        <v>635</v>
      </c>
      <c r="Y34" s="7">
        <v>14</v>
      </c>
      <c r="Z34" s="26"/>
      <c r="AA34" s="13"/>
      <c r="AB34" s="26"/>
      <c r="AC34" s="13"/>
      <c r="AD34" s="7"/>
      <c r="AE34" s="7"/>
      <c r="AF34" s="7"/>
      <c r="AG34" s="28" t="str">
        <f t="shared" si="1"/>
        <v>(186*'40'*221*'11,91 / 12,7 / 14,25 / 19,05'*'0,015'*67*0*0*0*0*0*4*NULL*NULL*14**)*</v>
      </c>
    </row>
    <row r="35" spans="1:33" ht="20.100000000000001" customHeight="1" x14ac:dyDescent="0.25">
      <c r="A35" s="3">
        <v>187</v>
      </c>
      <c r="B35" s="22" t="s">
        <v>383</v>
      </c>
      <c r="C35" s="6">
        <v>32509</v>
      </c>
      <c r="D35" s="23">
        <v>1</v>
      </c>
      <c r="E35" s="7" t="s">
        <v>528</v>
      </c>
      <c r="F35" s="7">
        <v>11</v>
      </c>
      <c r="G35" s="7">
        <v>16</v>
      </c>
      <c r="H35" s="24">
        <v>42</v>
      </c>
      <c r="I35" s="25">
        <v>517</v>
      </c>
      <c r="J35" s="7" t="s">
        <v>640</v>
      </c>
      <c r="K35" s="7">
        <v>1.4999999999999999E-2</v>
      </c>
      <c r="L35" s="7">
        <v>65</v>
      </c>
      <c r="M35" s="7">
        <v>65</v>
      </c>
      <c r="N35" s="7">
        <v>0</v>
      </c>
      <c r="O35" s="7">
        <v>0</v>
      </c>
      <c r="P35" s="7">
        <v>14.462</v>
      </c>
      <c r="Q35" s="7">
        <v>14.462</v>
      </c>
      <c r="R35" s="7" t="s">
        <v>641</v>
      </c>
      <c r="S35" s="7">
        <v>4</v>
      </c>
      <c r="T35" s="7" t="s">
        <v>642</v>
      </c>
      <c r="U35" s="7">
        <v>14</v>
      </c>
      <c r="V35" s="7" t="s">
        <v>633</v>
      </c>
      <c r="W35" s="7">
        <v>17</v>
      </c>
      <c r="X35" s="7" t="s">
        <v>635</v>
      </c>
      <c r="Y35" s="7">
        <v>14</v>
      </c>
      <c r="Z35" s="26" t="s">
        <v>33</v>
      </c>
      <c r="AA35" s="7">
        <v>8</v>
      </c>
      <c r="AB35" s="26" t="s">
        <v>534</v>
      </c>
      <c r="AC35" s="7">
        <v>21</v>
      </c>
      <c r="AD35" s="7">
        <v>16</v>
      </c>
      <c r="AE35" s="7" t="s">
        <v>643</v>
      </c>
      <c r="AF35" s="7"/>
      <c r="AG35" s="28" t="str">
        <f>CONCATENATE("(",A35,"*'",H35,"'*",I35,"*'",J35,"'*'",K35,"'*",L35,"*",M35,"*",N35,"*",O35,"*",P35,"*",Q35,"*",S35,"*",U35,"*",W35,"*",Y35,"*",AA35,"*",AC35,"*",AD35,")*")</f>
        <v>(187*'42'*517*'11,13 / 12,7 / 14,3 / 0,6 '*'0,015'*65*65*0*0*14,462*14,462*4*14*17*14*8*21*16)*</v>
      </c>
    </row>
    <row r="36" spans="1:33" ht="20.100000000000001" customHeight="1" x14ac:dyDescent="0.25">
      <c r="A36" s="3">
        <v>188</v>
      </c>
      <c r="B36" s="22" t="s">
        <v>386</v>
      </c>
      <c r="C36" s="6"/>
      <c r="D36" s="23">
        <v>1</v>
      </c>
      <c r="E36" s="7" t="s">
        <v>528</v>
      </c>
      <c r="F36" s="7">
        <v>11</v>
      </c>
      <c r="G36" s="7">
        <v>16</v>
      </c>
      <c r="H36" s="24"/>
      <c r="I36" s="25"/>
      <c r="J36" s="24" t="s">
        <v>644</v>
      </c>
      <c r="K36" s="7">
        <v>1.4999999999999999E-2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 t="s">
        <v>537</v>
      </c>
      <c r="S36" s="7">
        <v>4</v>
      </c>
      <c r="T36" s="7" t="s">
        <v>20</v>
      </c>
      <c r="U36" s="7" t="s">
        <v>20</v>
      </c>
      <c r="V36" s="7" t="s">
        <v>20</v>
      </c>
      <c r="W36" s="7" t="s">
        <v>20</v>
      </c>
      <c r="X36" s="7" t="s">
        <v>635</v>
      </c>
      <c r="Y36" s="7">
        <v>14</v>
      </c>
      <c r="Z36" s="26"/>
      <c r="AA36" s="13"/>
      <c r="AB36" s="26"/>
      <c r="AC36" s="13"/>
      <c r="AD36" s="7"/>
      <c r="AE36" s="7"/>
      <c r="AF36" s="7"/>
      <c r="AG36" s="28" t="str">
        <f t="shared" si="1"/>
        <v>(188*''**'11,91 - 22,22'*'0,015'*0*0*0*0*0*0*4*NULL*NULL*14**)*</v>
      </c>
    </row>
    <row r="37" spans="1:33" ht="20.100000000000001" customHeight="1" x14ac:dyDescent="0.25">
      <c r="A37" s="3">
        <v>189</v>
      </c>
      <c r="B37" s="33" t="s">
        <v>389</v>
      </c>
      <c r="C37" s="6"/>
      <c r="D37" s="23">
        <v>1</v>
      </c>
      <c r="E37" s="7" t="s">
        <v>528</v>
      </c>
      <c r="F37" s="7">
        <v>11</v>
      </c>
      <c r="G37" s="7">
        <v>16</v>
      </c>
      <c r="H37" s="24"/>
      <c r="I37" s="25"/>
      <c r="J37" s="24" t="s">
        <v>644</v>
      </c>
      <c r="K37" s="7">
        <v>1.4999999999999999E-2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 t="s">
        <v>537</v>
      </c>
      <c r="S37" s="7">
        <v>4</v>
      </c>
      <c r="T37" s="7" t="s">
        <v>20</v>
      </c>
      <c r="U37" s="7" t="s">
        <v>20</v>
      </c>
      <c r="V37" s="7" t="s">
        <v>20</v>
      </c>
      <c r="W37" s="7" t="s">
        <v>20</v>
      </c>
      <c r="X37" s="7" t="s">
        <v>635</v>
      </c>
      <c r="Y37" s="7">
        <v>14</v>
      </c>
      <c r="Z37" s="26"/>
      <c r="AA37" s="13"/>
      <c r="AB37" s="26"/>
      <c r="AC37" s="13"/>
      <c r="AD37" s="7"/>
      <c r="AE37" s="7"/>
      <c r="AF37" s="7"/>
      <c r="AG37" s="28" t="str">
        <f t="shared" si="1"/>
        <v>(189*''**'11,91 - 22,22'*'0,015'*0*0*0*0*0*0*4*NULL*NULL*14**)*</v>
      </c>
    </row>
    <row r="38" spans="1:33" ht="20.100000000000001" customHeight="1" x14ac:dyDescent="0.25">
      <c r="A38" s="3">
        <v>190</v>
      </c>
      <c r="B38" s="22" t="s">
        <v>646</v>
      </c>
      <c r="C38" s="6">
        <v>39841</v>
      </c>
      <c r="D38" s="23">
        <v>1</v>
      </c>
      <c r="E38" s="7" t="s">
        <v>528</v>
      </c>
      <c r="F38" s="7">
        <v>11</v>
      </c>
      <c r="G38" s="7">
        <v>16</v>
      </c>
      <c r="H38" s="24">
        <v>48</v>
      </c>
      <c r="I38" s="25">
        <v>513.17200000000003</v>
      </c>
      <c r="J38" s="24" t="s">
        <v>644</v>
      </c>
      <c r="K38" s="7">
        <v>1.4999999999999999E-2</v>
      </c>
      <c r="L38" s="7">
        <v>70</v>
      </c>
      <c r="M38" s="7">
        <v>70</v>
      </c>
      <c r="N38" s="7">
        <v>0</v>
      </c>
      <c r="O38" s="7">
        <v>0</v>
      </c>
      <c r="P38" s="7">
        <v>0</v>
      </c>
      <c r="Q38" s="7">
        <v>0</v>
      </c>
      <c r="R38" s="7" t="s">
        <v>645</v>
      </c>
      <c r="S38" s="7">
        <v>6</v>
      </c>
      <c r="T38" s="7" t="s">
        <v>538</v>
      </c>
      <c r="U38" s="7">
        <v>11</v>
      </c>
      <c r="V38" s="7" t="s">
        <v>20</v>
      </c>
      <c r="W38" s="7" t="s">
        <v>20</v>
      </c>
      <c r="X38" s="7" t="s">
        <v>646</v>
      </c>
      <c r="Y38" s="7">
        <v>15</v>
      </c>
      <c r="Z38" s="26" t="s">
        <v>33</v>
      </c>
      <c r="AA38" s="7">
        <v>8</v>
      </c>
      <c r="AB38" s="26" t="s">
        <v>534</v>
      </c>
      <c r="AC38" s="7">
        <v>21</v>
      </c>
      <c r="AD38" s="7">
        <v>16</v>
      </c>
      <c r="AE38" s="7" t="s">
        <v>647</v>
      </c>
      <c r="AF38" s="7"/>
      <c r="AG38" s="28" t="str">
        <f>CONCATENATE("(",A38,"*'",H38,"'*",I38,"*'",J38,"'*'",K38,"'*",L38,"*",M38,"*",N38,"*",O38,"*",P38,"*",Q38,"*",S38,"*",U38,"*",W38,"*",Y38,"*",AA38,"*",AC38,"*",AD38,")*")</f>
        <v>(190*'48'*513,172*'11,91 - 22,22'*'0,015'*70*70*0*0*0*0*6*11*NULL*15*8*21*16)*</v>
      </c>
    </row>
    <row r="39" spans="1:33" ht="20.100000000000001" customHeight="1" x14ac:dyDescent="0.25">
      <c r="A39" s="3">
        <v>191</v>
      </c>
      <c r="B39" s="22" t="s">
        <v>1009</v>
      </c>
      <c r="C39" s="6">
        <v>40284</v>
      </c>
      <c r="D39" s="23">
        <v>1</v>
      </c>
      <c r="E39" s="7" t="s">
        <v>528</v>
      </c>
      <c r="F39" s="7">
        <v>11</v>
      </c>
      <c r="G39" s="7">
        <v>16</v>
      </c>
      <c r="H39" s="24">
        <v>48</v>
      </c>
      <c r="I39" s="25">
        <v>120.37</v>
      </c>
      <c r="J39" s="24" t="s">
        <v>644</v>
      </c>
      <c r="K39" s="7">
        <v>1.4999999999999999E-2</v>
      </c>
      <c r="L39" s="7">
        <v>70</v>
      </c>
      <c r="M39" s="7">
        <v>45</v>
      </c>
      <c r="N39" s="7">
        <v>0</v>
      </c>
      <c r="O39" s="7">
        <v>0</v>
      </c>
      <c r="P39" s="7">
        <v>0</v>
      </c>
      <c r="Q39" s="7">
        <v>0</v>
      </c>
      <c r="R39" s="7" t="s">
        <v>645</v>
      </c>
      <c r="S39" s="7">
        <v>6</v>
      </c>
      <c r="T39" s="7" t="s">
        <v>538</v>
      </c>
      <c r="U39" s="7">
        <v>11</v>
      </c>
      <c r="V39" s="7" t="s">
        <v>20</v>
      </c>
      <c r="W39" s="7" t="s">
        <v>20</v>
      </c>
      <c r="X39" s="7" t="s">
        <v>646</v>
      </c>
      <c r="Y39" s="7">
        <v>15</v>
      </c>
      <c r="Z39" s="26" t="s">
        <v>648</v>
      </c>
      <c r="AA39" s="13" t="s">
        <v>648</v>
      </c>
      <c r="AB39" s="26" t="s">
        <v>649</v>
      </c>
      <c r="AC39" s="7">
        <v>3</v>
      </c>
      <c r="AD39" s="7"/>
      <c r="AE39" s="7" t="s">
        <v>650</v>
      </c>
      <c r="AF39" s="7"/>
      <c r="AG39" s="28" t="str">
        <f t="shared" si="1"/>
        <v>(191*'48'*120,37*'11,91 - 22,22'*'0,015'*70*45*0*0*0*0*6*11*NULL*15*Mactaa Douz*3)*</v>
      </c>
    </row>
    <row r="40" spans="1:33" ht="20.100000000000001" customHeight="1" x14ac:dyDescent="0.25">
      <c r="A40" s="3">
        <v>192</v>
      </c>
      <c r="B40" s="33" t="s">
        <v>396</v>
      </c>
      <c r="C40" s="6"/>
      <c r="D40" s="23">
        <v>1</v>
      </c>
      <c r="E40" s="7" t="s">
        <v>528</v>
      </c>
      <c r="F40" s="7">
        <v>11</v>
      </c>
      <c r="G40" s="7">
        <v>16</v>
      </c>
      <c r="H40" s="24"/>
      <c r="I40" s="25"/>
      <c r="J40" s="24" t="s">
        <v>644</v>
      </c>
      <c r="K40" s="7">
        <v>1.4999999999999999E-2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 t="s">
        <v>537</v>
      </c>
      <c r="S40" s="7">
        <v>4</v>
      </c>
      <c r="T40" s="7" t="s">
        <v>20</v>
      </c>
      <c r="U40" s="7" t="s">
        <v>20</v>
      </c>
      <c r="V40" s="7" t="s">
        <v>20</v>
      </c>
      <c r="W40" s="7" t="s">
        <v>20</v>
      </c>
      <c r="X40" s="7" t="s">
        <v>646</v>
      </c>
      <c r="Y40" s="7">
        <v>15</v>
      </c>
      <c r="Z40" s="26"/>
      <c r="AA40" s="7"/>
      <c r="AB40" s="26" t="s">
        <v>23</v>
      </c>
      <c r="AC40" s="7">
        <v>3</v>
      </c>
      <c r="AD40" s="7"/>
      <c r="AE40" s="7"/>
      <c r="AF40" s="7"/>
      <c r="AG40" s="28" t="str">
        <f t="shared" si="1"/>
        <v>(192*''**'11,91 - 22,22'*'0,015'*0*0*0*0*0*0*4*NULL*NULL*15**3)*</v>
      </c>
    </row>
    <row r="41" spans="1:33" ht="20.100000000000001" customHeight="1" x14ac:dyDescent="0.25">
      <c r="A41" s="3">
        <v>193</v>
      </c>
      <c r="B41" s="22" t="s">
        <v>398</v>
      </c>
      <c r="C41" s="6">
        <v>25934</v>
      </c>
      <c r="D41" s="23">
        <v>1</v>
      </c>
      <c r="E41" s="7" t="s">
        <v>540</v>
      </c>
      <c r="F41" s="7">
        <v>13</v>
      </c>
      <c r="G41" s="7">
        <v>16</v>
      </c>
      <c r="H41" s="24">
        <v>40</v>
      </c>
      <c r="I41" s="25">
        <v>574.87</v>
      </c>
      <c r="J41" s="7" t="s">
        <v>651</v>
      </c>
      <c r="K41" s="7">
        <v>3.5000000000000003E-2</v>
      </c>
      <c r="L41" s="7">
        <v>70</v>
      </c>
      <c r="M41" s="7">
        <v>70</v>
      </c>
      <c r="N41" s="7">
        <v>0</v>
      </c>
      <c r="O41" s="7">
        <v>0</v>
      </c>
      <c r="P41" s="7">
        <v>20.47</v>
      </c>
      <c r="Q41" s="7">
        <v>20.47</v>
      </c>
      <c r="R41" s="7" t="s">
        <v>652</v>
      </c>
      <c r="S41" s="7">
        <v>4</v>
      </c>
      <c r="T41" s="7" t="s">
        <v>653</v>
      </c>
      <c r="U41" s="7">
        <v>14</v>
      </c>
      <c r="V41" s="7" t="s">
        <v>633</v>
      </c>
      <c r="W41" s="7">
        <v>17</v>
      </c>
      <c r="X41" s="7" t="s">
        <v>654</v>
      </c>
      <c r="Y41" s="7">
        <v>17</v>
      </c>
      <c r="Z41" s="26" t="s">
        <v>33</v>
      </c>
      <c r="AA41" s="7">
        <v>8</v>
      </c>
      <c r="AB41" s="26" t="s">
        <v>544</v>
      </c>
      <c r="AC41" s="7">
        <v>34</v>
      </c>
      <c r="AD41" s="7">
        <v>16</v>
      </c>
      <c r="AE41" s="7" t="s">
        <v>655</v>
      </c>
      <c r="AF41" s="7"/>
      <c r="AG41" s="28" t="str">
        <f t="shared" ref="AG41:AG42" si="3">CONCATENATE("(",A41,"*'",H41,"'*",I41,"*'",J41,"'*'",K41,"'*",L41,"*",M41,"*",N41,"*",O41,"*",P41,"*",Q41,"*",S41,"*",U41,"*",W41,"*",Y41,"*",AA41,"*",AC41,"*",AD41,")*")</f>
        <v>(193*'40'*574,87*'12,7 / 15,88 / 19,43 / 19,05 '*'0,035'*70*70*0*0*20,47*20,47*4*14*17*17*8*34*16)*</v>
      </c>
    </row>
    <row r="42" spans="1:33" ht="20.100000000000001" customHeight="1" x14ac:dyDescent="0.25">
      <c r="A42" s="3">
        <v>194</v>
      </c>
      <c r="B42" s="22" t="s">
        <v>402</v>
      </c>
      <c r="C42" s="6">
        <v>35796</v>
      </c>
      <c r="D42" s="23">
        <v>1</v>
      </c>
      <c r="E42" s="7" t="s">
        <v>540</v>
      </c>
      <c r="F42" s="7">
        <v>13</v>
      </c>
      <c r="G42" s="7">
        <v>16</v>
      </c>
      <c r="H42" s="24">
        <v>42</v>
      </c>
      <c r="I42" s="25">
        <v>575.54499999999996</v>
      </c>
      <c r="J42" s="7" t="s">
        <v>651</v>
      </c>
      <c r="K42" s="7">
        <v>1.4999999999999999E-2</v>
      </c>
      <c r="L42" s="7">
        <v>70</v>
      </c>
      <c r="M42" s="7">
        <v>70</v>
      </c>
      <c r="N42" s="7">
        <v>0</v>
      </c>
      <c r="O42" s="7">
        <v>0</v>
      </c>
      <c r="P42" s="7">
        <v>20.47</v>
      </c>
      <c r="Q42" s="7">
        <v>20.47</v>
      </c>
      <c r="R42" s="7" t="s">
        <v>656</v>
      </c>
      <c r="S42" s="7">
        <v>4</v>
      </c>
      <c r="T42" s="7" t="s">
        <v>653</v>
      </c>
      <c r="U42" s="7">
        <v>14</v>
      </c>
      <c r="V42" s="7" t="s">
        <v>633</v>
      </c>
      <c r="W42" s="7">
        <v>17</v>
      </c>
      <c r="X42" s="7" t="s">
        <v>654</v>
      </c>
      <c r="Y42" s="7">
        <v>17</v>
      </c>
      <c r="Z42" s="26" t="s">
        <v>33</v>
      </c>
      <c r="AA42" s="7">
        <v>8</v>
      </c>
      <c r="AB42" s="26" t="s">
        <v>544</v>
      </c>
      <c r="AC42" s="7">
        <v>34</v>
      </c>
      <c r="AD42" s="7">
        <v>16</v>
      </c>
      <c r="AE42" s="7" t="s">
        <v>657</v>
      </c>
      <c r="AF42" s="7"/>
      <c r="AG42" s="28" t="str">
        <f t="shared" si="3"/>
        <v>(194*'42'*575,545*'12,7 / 15,88 / 19,43 / 19,05 '*'0,015'*70*70*0*0*20,47*20,47*4*14*17*17*8*34*16)*</v>
      </c>
    </row>
    <row r="43" spans="1:33" ht="20.100000000000001" customHeight="1" x14ac:dyDescent="0.25">
      <c r="A43" s="3">
        <v>195</v>
      </c>
      <c r="B43" s="22" t="s">
        <v>406</v>
      </c>
      <c r="C43" s="6"/>
      <c r="D43" s="23">
        <v>1</v>
      </c>
      <c r="E43" s="7" t="s">
        <v>540</v>
      </c>
      <c r="F43" s="7">
        <v>13</v>
      </c>
      <c r="G43" s="7">
        <v>16</v>
      </c>
      <c r="H43" s="24"/>
      <c r="I43" s="25"/>
      <c r="J43" s="7" t="s">
        <v>658</v>
      </c>
      <c r="K43" s="7">
        <v>1.4999999999999999E-2</v>
      </c>
      <c r="L43" s="7">
        <v>0</v>
      </c>
      <c r="M43" s="7">
        <v>0</v>
      </c>
      <c r="N43" s="7">
        <v>0</v>
      </c>
      <c r="O43" s="7">
        <v>0</v>
      </c>
      <c r="P43" s="7">
        <v>9.66</v>
      </c>
      <c r="Q43" s="7">
        <v>9.66</v>
      </c>
      <c r="R43" s="7" t="s">
        <v>537</v>
      </c>
      <c r="S43" s="7">
        <v>4</v>
      </c>
      <c r="T43" s="7" t="s">
        <v>20</v>
      </c>
      <c r="U43" s="7" t="s">
        <v>20</v>
      </c>
      <c r="V43" s="7" t="s">
        <v>20</v>
      </c>
      <c r="W43" s="7" t="s">
        <v>20</v>
      </c>
      <c r="X43" s="7" t="s">
        <v>659</v>
      </c>
      <c r="Y43" s="7">
        <v>18</v>
      </c>
      <c r="Z43" s="26" t="s">
        <v>33</v>
      </c>
      <c r="AA43" s="7">
        <v>8</v>
      </c>
      <c r="AB43" s="26" t="s">
        <v>660</v>
      </c>
      <c r="AC43" s="34" t="s">
        <v>660</v>
      </c>
      <c r="AD43" s="26"/>
      <c r="AE43" s="7"/>
      <c r="AF43" s="7"/>
      <c r="AG43" s="28" t="str">
        <f t="shared" si="1"/>
        <v>(195*''**'14,3 / 22,22'*'0,015'*0*0*0*0*9,66*9,66*4*NULL*NULL*18*8*EL Kala)*</v>
      </c>
    </row>
    <row r="44" spans="1:33" ht="20.100000000000001" customHeight="1" x14ac:dyDescent="0.25">
      <c r="A44" s="3">
        <v>196</v>
      </c>
      <c r="B44" s="22" t="s">
        <v>409</v>
      </c>
      <c r="C44" s="6"/>
      <c r="D44" s="23">
        <v>1</v>
      </c>
      <c r="E44" s="7" t="s">
        <v>540</v>
      </c>
      <c r="F44" s="7">
        <v>13</v>
      </c>
      <c r="G44" s="7">
        <v>16</v>
      </c>
      <c r="H44" s="24">
        <v>48</v>
      </c>
      <c r="I44" s="25">
        <v>87</v>
      </c>
      <c r="J44" s="7" t="s">
        <v>658</v>
      </c>
      <c r="K44" s="7">
        <v>1.4999999999999999E-2</v>
      </c>
      <c r="L44" s="7">
        <v>71.5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 t="s">
        <v>661</v>
      </c>
      <c r="S44" s="7">
        <v>6</v>
      </c>
      <c r="T44" s="7" t="s">
        <v>20</v>
      </c>
      <c r="U44" s="7" t="s">
        <v>20</v>
      </c>
      <c r="V44" s="7" t="s">
        <v>20</v>
      </c>
      <c r="W44" s="7" t="s">
        <v>20</v>
      </c>
      <c r="X44" s="7" t="s">
        <v>659</v>
      </c>
      <c r="Y44" s="7">
        <v>18</v>
      </c>
      <c r="Z44" s="26"/>
      <c r="AA44" s="13"/>
      <c r="AB44" s="26"/>
      <c r="AC44" s="13"/>
      <c r="AD44" s="7"/>
      <c r="AE44" s="7"/>
      <c r="AF44" s="7"/>
      <c r="AG44" s="28" t="str">
        <f t="shared" si="1"/>
        <v>(196*'48'*87*'14,3 / 22,22'*'0,015'*71,5*0*0*0*0*0*6*NULL*NULL*18**)*</v>
      </c>
    </row>
    <row r="45" spans="1:33" ht="20.100000000000001" customHeight="1" x14ac:dyDescent="0.25">
      <c r="A45" s="3">
        <v>197</v>
      </c>
      <c r="B45" s="22" t="s">
        <v>411</v>
      </c>
      <c r="C45" s="6">
        <v>29587</v>
      </c>
      <c r="D45" s="23">
        <v>1</v>
      </c>
      <c r="E45" s="7" t="s">
        <v>546</v>
      </c>
      <c r="F45" s="7">
        <v>15</v>
      </c>
      <c r="G45" s="7">
        <v>16</v>
      </c>
      <c r="H45" s="24">
        <v>42</v>
      </c>
      <c r="I45" s="25">
        <v>437</v>
      </c>
      <c r="J45" s="7" t="s">
        <v>662</v>
      </c>
      <c r="K45" s="7">
        <v>1.4999999999999999E-2</v>
      </c>
      <c r="L45" s="7">
        <v>70</v>
      </c>
      <c r="M45" s="7">
        <v>70</v>
      </c>
      <c r="N45" s="7">
        <v>0</v>
      </c>
      <c r="O45" s="7">
        <v>0</v>
      </c>
      <c r="P45" s="7">
        <v>11.3</v>
      </c>
      <c r="Q45" s="7">
        <v>11.3</v>
      </c>
      <c r="R45" s="7" t="s">
        <v>537</v>
      </c>
      <c r="S45" s="7">
        <v>4</v>
      </c>
      <c r="T45" s="7">
        <v>11.3</v>
      </c>
      <c r="U45" s="7">
        <v>14</v>
      </c>
      <c r="V45" s="7" t="s">
        <v>20</v>
      </c>
      <c r="W45" s="7" t="s">
        <v>20</v>
      </c>
      <c r="X45" s="7" t="s">
        <v>411</v>
      </c>
      <c r="Y45" s="7">
        <v>20</v>
      </c>
      <c r="Z45" s="26" t="s">
        <v>33</v>
      </c>
      <c r="AA45" s="7">
        <v>8</v>
      </c>
      <c r="AB45" s="26" t="s">
        <v>663</v>
      </c>
      <c r="AC45" s="7">
        <v>24</v>
      </c>
      <c r="AD45" s="7">
        <v>16</v>
      </c>
      <c r="AE45" s="7" t="s">
        <v>664</v>
      </c>
      <c r="AF45" s="7"/>
      <c r="AG45" s="28" t="str">
        <f t="shared" ref="AG45:AG46" si="4">CONCATENATE("(",A45,"*'",H45,"'*",I45,"*'",J45,"'*'",K45,"'*",L45,"*",M45,"*",N45,"*",O45,"*",P45,"*",Q45,"*",S45,"*",U45,"*",W45,"*",Y45,"*",AA45,"*",AC45,"*",AD45,")*")</f>
        <v>(197*'42'*437*'11,91 / 12,7 / 19,05'*'0,015'*70*70*0*0*11,3*11,3*4*14*NULL*20*8*24*16)*</v>
      </c>
    </row>
    <row r="46" spans="1:33" ht="20.100000000000001" customHeight="1" x14ac:dyDescent="0.25">
      <c r="A46" s="3">
        <v>198</v>
      </c>
      <c r="B46" s="22" t="s">
        <v>414</v>
      </c>
      <c r="C46" s="6">
        <v>43800</v>
      </c>
      <c r="D46" s="23">
        <v>1</v>
      </c>
      <c r="E46" s="7" t="s">
        <v>546</v>
      </c>
      <c r="F46" s="7">
        <v>15</v>
      </c>
      <c r="G46" s="7">
        <v>16</v>
      </c>
      <c r="H46" s="24">
        <v>42</v>
      </c>
      <c r="I46" s="25">
        <v>207</v>
      </c>
      <c r="J46" s="7" t="s">
        <v>665</v>
      </c>
      <c r="K46" s="7">
        <v>1.4999999999999999E-2</v>
      </c>
      <c r="L46" s="7">
        <v>70</v>
      </c>
      <c r="M46" s="7">
        <v>70</v>
      </c>
      <c r="N46" s="7">
        <v>0</v>
      </c>
      <c r="O46" s="7">
        <v>0</v>
      </c>
      <c r="P46" s="7">
        <v>0</v>
      </c>
      <c r="Q46" s="7">
        <v>0</v>
      </c>
      <c r="R46" s="7" t="s">
        <v>661</v>
      </c>
      <c r="S46" s="7">
        <v>6</v>
      </c>
      <c r="T46" s="7" t="s">
        <v>559</v>
      </c>
      <c r="U46" s="7" t="s">
        <v>20</v>
      </c>
      <c r="V46" s="7" t="s">
        <v>20</v>
      </c>
      <c r="W46" s="7" t="s">
        <v>20</v>
      </c>
      <c r="X46" s="7" t="s">
        <v>411</v>
      </c>
      <c r="Y46" s="7">
        <v>20</v>
      </c>
      <c r="Z46" s="26" t="s">
        <v>666</v>
      </c>
      <c r="AA46" s="7">
        <v>9</v>
      </c>
      <c r="AB46" s="26" t="s">
        <v>663</v>
      </c>
      <c r="AC46" s="7">
        <v>24</v>
      </c>
      <c r="AD46" s="7">
        <v>16</v>
      </c>
      <c r="AE46" s="7"/>
      <c r="AF46" s="7"/>
      <c r="AG46" s="28" t="str">
        <f t="shared" si="4"/>
        <v>(198*'42'*207*'20,62 / 14,27'*'0,015'*70*70*0*0*0*0*6*NULL*NULL*20*9*24*16)*</v>
      </c>
    </row>
    <row r="47" spans="1:33" ht="20.100000000000001" customHeight="1" x14ac:dyDescent="0.25">
      <c r="A47" s="3">
        <v>199</v>
      </c>
      <c r="B47" s="22" t="s">
        <v>417</v>
      </c>
      <c r="C47" s="6"/>
      <c r="D47" s="23">
        <v>1</v>
      </c>
      <c r="E47" s="7" t="s">
        <v>667</v>
      </c>
      <c r="F47" s="7"/>
      <c r="G47" s="7">
        <v>16</v>
      </c>
      <c r="H47" s="24"/>
      <c r="I47" s="25"/>
      <c r="J47" s="7" t="s">
        <v>665</v>
      </c>
      <c r="K47" s="7">
        <v>1.4999999999999999E-2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 t="s">
        <v>537</v>
      </c>
      <c r="S47" s="7">
        <v>4</v>
      </c>
      <c r="T47" s="7" t="s">
        <v>20</v>
      </c>
      <c r="U47" s="7" t="s">
        <v>20</v>
      </c>
      <c r="V47" s="7" t="s">
        <v>20</v>
      </c>
      <c r="W47" s="7" t="s">
        <v>20</v>
      </c>
      <c r="X47" s="7" t="s">
        <v>668</v>
      </c>
      <c r="Y47" s="7">
        <v>21</v>
      </c>
      <c r="Z47" s="26"/>
      <c r="AA47" s="13"/>
      <c r="AB47" s="26"/>
      <c r="AC47" s="13"/>
      <c r="AD47" s="7"/>
      <c r="AE47" s="7"/>
      <c r="AF47" s="7"/>
      <c r="AG47" s="28" t="str">
        <f t="shared" si="1"/>
        <v>(199*''**'20,62 / 14,27'*'0,015'*0*0*0*0*0*0*4*NULL*NULL*21**)*</v>
      </c>
    </row>
    <row r="48" spans="1:33" ht="20.100000000000001" customHeight="1" x14ac:dyDescent="0.25">
      <c r="A48" s="3">
        <v>200</v>
      </c>
      <c r="B48" s="22" t="s">
        <v>419</v>
      </c>
      <c r="C48" s="6">
        <v>31413</v>
      </c>
      <c r="D48" s="23">
        <v>1</v>
      </c>
      <c r="E48" s="7" t="s">
        <v>566</v>
      </c>
      <c r="F48" s="7">
        <v>14</v>
      </c>
      <c r="G48" s="7">
        <v>16</v>
      </c>
      <c r="H48" s="24" t="s">
        <v>669</v>
      </c>
      <c r="I48" s="25">
        <v>966</v>
      </c>
      <c r="J48" s="7" t="s">
        <v>670</v>
      </c>
      <c r="K48" s="7">
        <v>1.4999999999999999E-2</v>
      </c>
      <c r="L48" s="7">
        <v>71</v>
      </c>
      <c r="M48" s="7">
        <v>71</v>
      </c>
      <c r="N48" s="7">
        <v>0</v>
      </c>
      <c r="O48" s="7">
        <v>0</v>
      </c>
      <c r="P48" s="7">
        <v>15.76</v>
      </c>
      <c r="Q48" s="7">
        <v>15.76</v>
      </c>
      <c r="R48" s="7" t="s">
        <v>671</v>
      </c>
      <c r="S48" s="7">
        <v>6</v>
      </c>
      <c r="T48" s="7" t="s">
        <v>578</v>
      </c>
      <c r="U48" s="7">
        <v>14</v>
      </c>
      <c r="V48" s="7" t="s">
        <v>633</v>
      </c>
      <c r="W48" s="7">
        <v>17</v>
      </c>
      <c r="X48" s="7" t="s">
        <v>668</v>
      </c>
      <c r="Y48" s="7">
        <v>21</v>
      </c>
      <c r="Z48" s="26" t="s">
        <v>619</v>
      </c>
      <c r="AA48" s="7">
        <v>20</v>
      </c>
      <c r="AB48" s="26" t="s">
        <v>33</v>
      </c>
      <c r="AC48" s="7">
        <v>8</v>
      </c>
      <c r="AD48" s="7">
        <v>16</v>
      </c>
      <c r="AE48" s="7" t="s">
        <v>672</v>
      </c>
      <c r="AF48" s="7"/>
      <c r="AG48" s="28" t="str">
        <f t="shared" ref="AG48:AG49" si="5">CONCATENATE("(",A48,"*'",H48,"'*",I48,"*'",J48,"'*'",K48,"'*",L48,"*",M48,"*",N48,"*",O48,"*",P48,"*",Q48,"*",S48,"*",U48,"*",W48,"*",Y48,"*",AA48,"*",AC48,"*",AD48,")*")</f>
        <v>(200*'42 / 48'*966*'11,92 / 12,7 / 13,35 / 14,27 / 15,88 / 22,22'*'0,015'*71*71*0*0*15,76*15,76*6*14*17*21*20*8*16)*</v>
      </c>
    </row>
    <row r="49" spans="1:33" ht="20.100000000000001" customHeight="1" x14ac:dyDescent="0.25">
      <c r="A49" s="3">
        <v>201</v>
      </c>
      <c r="B49" s="22" t="s">
        <v>422</v>
      </c>
      <c r="C49" s="6">
        <v>36161</v>
      </c>
      <c r="D49" s="23">
        <v>1</v>
      </c>
      <c r="E49" s="7" t="s">
        <v>566</v>
      </c>
      <c r="F49" s="7">
        <v>14</v>
      </c>
      <c r="G49" s="7">
        <v>16</v>
      </c>
      <c r="H49" s="24" t="s">
        <v>669</v>
      </c>
      <c r="I49" s="25">
        <v>966</v>
      </c>
      <c r="J49" s="7" t="s">
        <v>673</v>
      </c>
      <c r="K49" s="7">
        <v>1.4999999999999999E-2</v>
      </c>
      <c r="L49" s="7">
        <v>71</v>
      </c>
      <c r="M49" s="7">
        <v>71</v>
      </c>
      <c r="N49" s="7">
        <v>0</v>
      </c>
      <c r="O49" s="7">
        <v>0</v>
      </c>
      <c r="P49" s="7">
        <v>15.77</v>
      </c>
      <c r="Q49" s="7">
        <v>15.77</v>
      </c>
      <c r="R49" s="7" t="s">
        <v>661</v>
      </c>
      <c r="S49" s="7">
        <v>6</v>
      </c>
      <c r="T49" s="7" t="s">
        <v>538</v>
      </c>
      <c r="U49" s="7">
        <v>11</v>
      </c>
      <c r="V49" s="7" t="s">
        <v>633</v>
      </c>
      <c r="W49" s="7">
        <v>17</v>
      </c>
      <c r="X49" s="7" t="s">
        <v>668</v>
      </c>
      <c r="Y49" s="7">
        <v>21</v>
      </c>
      <c r="Z49" s="26" t="s">
        <v>619</v>
      </c>
      <c r="AA49" s="7">
        <v>20</v>
      </c>
      <c r="AB49" s="26" t="s">
        <v>33</v>
      </c>
      <c r="AC49" s="7">
        <v>8</v>
      </c>
      <c r="AD49" s="7">
        <v>16</v>
      </c>
      <c r="AE49" s="7" t="s">
        <v>674</v>
      </c>
      <c r="AF49" s="7"/>
      <c r="AG49" s="28" t="str">
        <f t="shared" si="5"/>
        <v>(201*'42 / 48'*966*'11,91 / 12,7 / 14,27 / 19,05 / 22,22'*'0,015'*71*71*0*0*15,77*15,77*6*11*17*21*20*8*16)*</v>
      </c>
    </row>
    <row r="50" spans="1:33" ht="20.100000000000001" customHeight="1" x14ac:dyDescent="0.25">
      <c r="A50" s="3">
        <v>202</v>
      </c>
      <c r="B50" s="22" t="s">
        <v>425</v>
      </c>
      <c r="C50" s="6">
        <v>37622</v>
      </c>
      <c r="D50" s="23">
        <v>1</v>
      </c>
      <c r="E50" s="7" t="s">
        <v>599</v>
      </c>
      <c r="F50" s="7">
        <v>2</v>
      </c>
      <c r="G50" s="7">
        <v>2</v>
      </c>
      <c r="H50" s="24">
        <v>48</v>
      </c>
      <c r="I50" s="25">
        <v>520</v>
      </c>
      <c r="J50" s="7" t="s">
        <v>673</v>
      </c>
      <c r="K50" s="7">
        <v>1.4999999999999999E-2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 t="s">
        <v>537</v>
      </c>
      <c r="S50" s="7">
        <v>4</v>
      </c>
      <c r="T50" s="7" t="s">
        <v>20</v>
      </c>
      <c r="U50" s="7" t="s">
        <v>20</v>
      </c>
      <c r="V50" s="7" t="s">
        <v>20</v>
      </c>
      <c r="W50" s="7" t="s">
        <v>20</v>
      </c>
      <c r="X50" s="7" t="s">
        <v>668</v>
      </c>
      <c r="Y50" s="7">
        <v>21</v>
      </c>
      <c r="Z50" s="26"/>
      <c r="AA50" s="13"/>
      <c r="AB50" s="26"/>
      <c r="AC50" s="13"/>
      <c r="AD50" s="7"/>
      <c r="AE50" s="7"/>
      <c r="AF50" s="7"/>
      <c r="AG50" s="28" t="str">
        <f t="shared" si="1"/>
        <v>(202*'48'*520*'11,91 / 12,7 / 14,27 / 19,05 / 22,22'*'0,015'*0*0*0*0*0*0*4*NULL*NULL*21**)*</v>
      </c>
    </row>
    <row r="51" spans="1:33" ht="20.100000000000001" customHeight="1" x14ac:dyDescent="0.25">
      <c r="A51" s="3">
        <v>203</v>
      </c>
      <c r="B51" s="22" t="s">
        <v>427</v>
      </c>
      <c r="C51" s="6">
        <v>41640</v>
      </c>
      <c r="D51" s="23">
        <v>1</v>
      </c>
      <c r="E51" s="7" t="s">
        <v>566</v>
      </c>
      <c r="F51" s="7">
        <v>14</v>
      </c>
      <c r="G51" s="7">
        <v>16</v>
      </c>
      <c r="H51" s="24">
        <v>48</v>
      </c>
      <c r="I51" s="25">
        <v>535</v>
      </c>
      <c r="J51" s="7" t="s">
        <v>675</v>
      </c>
      <c r="K51" s="7">
        <v>1.4999999999999999E-2</v>
      </c>
      <c r="L51" s="7">
        <v>71</v>
      </c>
      <c r="M51" s="7">
        <v>71</v>
      </c>
      <c r="N51" s="7">
        <v>0</v>
      </c>
      <c r="O51" s="7">
        <v>0</v>
      </c>
      <c r="P51" s="7">
        <v>11.05</v>
      </c>
      <c r="Q51" s="7">
        <v>11.05</v>
      </c>
      <c r="R51" s="7" t="s">
        <v>661</v>
      </c>
      <c r="S51" s="7">
        <v>6</v>
      </c>
      <c r="T51" s="7" t="s">
        <v>20</v>
      </c>
      <c r="U51" s="7" t="s">
        <v>20</v>
      </c>
      <c r="V51" s="7" t="s">
        <v>20</v>
      </c>
      <c r="W51" s="7" t="s">
        <v>20</v>
      </c>
      <c r="X51" s="7" t="s">
        <v>668</v>
      </c>
      <c r="Y51" s="7">
        <v>21</v>
      </c>
      <c r="Z51" s="26" t="s">
        <v>676</v>
      </c>
      <c r="AA51" s="7">
        <v>18</v>
      </c>
      <c r="AB51" s="26" t="s">
        <v>33</v>
      </c>
      <c r="AC51" s="7">
        <v>8</v>
      </c>
      <c r="AD51" s="7">
        <v>16</v>
      </c>
      <c r="AE51" s="7" t="s">
        <v>650</v>
      </c>
      <c r="AF51" s="7"/>
      <c r="AG51" s="28" t="str">
        <f t="shared" ref="AG51:AG53" si="6">CONCATENATE("(",A51,"*'",H51,"'*",I51,"*'",J51,"'*'",K51,"'*",L51,"*",M51,"*",N51,"*",O51,"*",P51,"*",Q51,"*",S51,"*",U51,"*",W51,"*",Y51,"*",AA51,"*",AC51,"*",AD51,")*")</f>
        <v>(203*'48'*535*'12,7 / 14,27 / 22,22'*'0,015'*71*71*0*0*11,05*11,05*6*NULL*NULL*21*18*8*16)*</v>
      </c>
    </row>
    <row r="52" spans="1:33" ht="20.100000000000001" customHeight="1" x14ac:dyDescent="0.25">
      <c r="A52" s="3">
        <v>204</v>
      </c>
      <c r="B52" s="22" t="s">
        <v>429</v>
      </c>
      <c r="C52" s="6">
        <v>42887</v>
      </c>
      <c r="D52" s="23">
        <v>1</v>
      </c>
      <c r="E52" s="7" t="s">
        <v>677</v>
      </c>
      <c r="F52" s="7">
        <v>16</v>
      </c>
      <c r="G52" s="7">
        <v>16</v>
      </c>
      <c r="H52" s="24">
        <v>48</v>
      </c>
      <c r="I52" s="25">
        <v>770</v>
      </c>
      <c r="J52" s="30" t="s">
        <v>678</v>
      </c>
      <c r="K52" s="7">
        <v>1.4999999999999999E-2</v>
      </c>
      <c r="L52" s="7">
        <v>70</v>
      </c>
      <c r="M52" s="7">
        <v>70</v>
      </c>
      <c r="N52" s="7">
        <v>45</v>
      </c>
      <c r="O52" s="7">
        <v>45</v>
      </c>
      <c r="P52" s="7">
        <v>0</v>
      </c>
      <c r="Q52" s="7">
        <v>0</v>
      </c>
      <c r="R52" s="7" t="s">
        <v>661</v>
      </c>
      <c r="S52" s="7">
        <v>6</v>
      </c>
      <c r="T52" s="7" t="s">
        <v>20</v>
      </c>
      <c r="U52" s="7" t="s">
        <v>20</v>
      </c>
      <c r="V52" s="7" t="s">
        <v>20</v>
      </c>
      <c r="W52" s="7" t="s">
        <v>20</v>
      </c>
      <c r="X52" s="7" t="s">
        <v>679</v>
      </c>
      <c r="Y52" s="7">
        <v>22</v>
      </c>
      <c r="Z52" s="26" t="s">
        <v>680</v>
      </c>
      <c r="AA52" s="7">
        <v>32</v>
      </c>
      <c r="AB52" s="26" t="s">
        <v>33</v>
      </c>
      <c r="AC52" s="7">
        <v>8</v>
      </c>
      <c r="AD52" s="7">
        <v>16</v>
      </c>
      <c r="AE52" s="7" t="s">
        <v>681</v>
      </c>
      <c r="AF52" s="7"/>
      <c r="AG52" s="28" t="str">
        <f t="shared" si="6"/>
        <v>(204*'48'*770*'12,48 / 13,61 / 20,79 / 24,26'*'0,015'*70*70*45*45*0*0*6*NULL*NULL*22*32*8*16)*</v>
      </c>
    </row>
    <row r="53" spans="1:33" ht="20.100000000000001" customHeight="1" x14ac:dyDescent="0.25">
      <c r="A53" s="3">
        <v>205</v>
      </c>
      <c r="B53" s="22" t="s">
        <v>432</v>
      </c>
      <c r="C53" s="6">
        <v>42736</v>
      </c>
      <c r="D53" s="23">
        <v>1</v>
      </c>
      <c r="E53" s="7" t="s">
        <v>566</v>
      </c>
      <c r="F53" s="7">
        <v>14</v>
      </c>
      <c r="G53" s="7">
        <v>16</v>
      </c>
      <c r="H53" s="24">
        <v>48</v>
      </c>
      <c r="I53" s="25">
        <v>531</v>
      </c>
      <c r="J53" s="7" t="s">
        <v>675</v>
      </c>
      <c r="K53" s="7">
        <v>1.4999999999999999E-2</v>
      </c>
      <c r="L53" s="7">
        <v>71</v>
      </c>
      <c r="M53" s="7">
        <v>71</v>
      </c>
      <c r="N53" s="7">
        <v>0</v>
      </c>
      <c r="O53" s="7">
        <v>0</v>
      </c>
      <c r="P53" s="7">
        <v>8.52</v>
      </c>
      <c r="Q53" s="7">
        <v>8.52</v>
      </c>
      <c r="R53" s="7" t="s">
        <v>661</v>
      </c>
      <c r="S53" s="7">
        <v>6</v>
      </c>
      <c r="T53" s="7" t="s">
        <v>20</v>
      </c>
      <c r="U53" s="7" t="s">
        <v>20</v>
      </c>
      <c r="V53" s="7" t="s">
        <v>20</v>
      </c>
      <c r="W53" s="7" t="s">
        <v>20</v>
      </c>
      <c r="X53" s="7" t="s">
        <v>668</v>
      </c>
      <c r="Y53" s="7">
        <v>21</v>
      </c>
      <c r="Z53" s="26" t="s">
        <v>676</v>
      </c>
      <c r="AA53" s="7">
        <v>18</v>
      </c>
      <c r="AB53" s="26" t="s">
        <v>33</v>
      </c>
      <c r="AC53" s="7">
        <v>8</v>
      </c>
      <c r="AD53" s="7">
        <v>16</v>
      </c>
      <c r="AE53" s="7" t="s">
        <v>650</v>
      </c>
      <c r="AF53" s="7"/>
      <c r="AG53" s="28" t="str">
        <f t="shared" si="6"/>
        <v>(205*'48'*531*'12,7 / 14,27 / 22,22'*'0,015'*71*71*0*0*8,52*8,52*6*NULL*NULL*21*18*8*16)*</v>
      </c>
    </row>
    <row r="54" spans="1:33" ht="20.100000000000001" customHeight="1" x14ac:dyDescent="0.25">
      <c r="A54" s="3">
        <v>206</v>
      </c>
      <c r="B54" s="22" t="s">
        <v>435</v>
      </c>
      <c r="C54" s="6">
        <v>43800</v>
      </c>
      <c r="D54" s="23">
        <v>1</v>
      </c>
      <c r="E54" s="7" t="s">
        <v>677</v>
      </c>
      <c r="F54" s="7">
        <v>16</v>
      </c>
      <c r="G54" s="7">
        <v>16</v>
      </c>
      <c r="H54" s="24">
        <v>48</v>
      </c>
      <c r="I54" s="25">
        <v>345</v>
      </c>
      <c r="J54" s="7" t="s">
        <v>682</v>
      </c>
      <c r="K54" s="7">
        <v>1.4999999999999999E-2</v>
      </c>
      <c r="L54" s="7">
        <v>70</v>
      </c>
      <c r="M54" s="7">
        <v>70</v>
      </c>
      <c r="N54" s="7">
        <v>45</v>
      </c>
      <c r="O54" s="7">
        <v>45</v>
      </c>
      <c r="P54" s="7">
        <v>0</v>
      </c>
      <c r="Q54" s="7">
        <v>0</v>
      </c>
      <c r="R54" s="7" t="s">
        <v>661</v>
      </c>
      <c r="S54" s="7">
        <v>6</v>
      </c>
      <c r="T54" s="7" t="s">
        <v>20</v>
      </c>
      <c r="U54" s="7" t="s">
        <v>20</v>
      </c>
      <c r="V54" s="7" t="s">
        <v>20</v>
      </c>
      <c r="W54" s="7" t="s">
        <v>20</v>
      </c>
      <c r="X54" s="7" t="s">
        <v>679</v>
      </c>
      <c r="Y54" s="7">
        <v>22</v>
      </c>
      <c r="Z54" s="26" t="s">
        <v>683</v>
      </c>
      <c r="AA54" s="7"/>
      <c r="AB54" s="26" t="s">
        <v>33</v>
      </c>
      <c r="AC54" s="7">
        <v>8</v>
      </c>
      <c r="AD54" s="7"/>
      <c r="AE54" s="7"/>
      <c r="AF54" s="7"/>
      <c r="AG54" s="28" t="str">
        <f t="shared" si="1"/>
        <v>(206*'48'*345*'12,95 / 14,27 / 22,23'*'0,015'*70*70*45*45*0*0*6*NULL*NULL*22**8)*</v>
      </c>
    </row>
    <row r="55" spans="1:33" ht="20.100000000000001" customHeight="1" x14ac:dyDescent="0.25">
      <c r="A55" s="3">
        <v>207</v>
      </c>
      <c r="B55" s="22" t="s">
        <v>438</v>
      </c>
      <c r="C55" s="6">
        <v>35065</v>
      </c>
      <c r="D55" s="23">
        <v>1</v>
      </c>
      <c r="E55" s="7" t="s">
        <v>438</v>
      </c>
      <c r="F55" s="7">
        <v>18</v>
      </c>
      <c r="G55" s="7">
        <v>16</v>
      </c>
      <c r="H55" s="24">
        <v>48</v>
      </c>
      <c r="I55" s="25">
        <v>521</v>
      </c>
      <c r="J55" s="7" t="s">
        <v>675</v>
      </c>
      <c r="K55" s="7">
        <v>1.4999999999999999E-2</v>
      </c>
      <c r="L55" s="7">
        <v>71</v>
      </c>
      <c r="M55" s="7">
        <v>50.81</v>
      </c>
      <c r="N55" s="7">
        <v>0</v>
      </c>
      <c r="O55" s="7">
        <v>0</v>
      </c>
      <c r="P55" s="7">
        <v>11.47</v>
      </c>
      <c r="Q55" s="7">
        <v>11.47</v>
      </c>
      <c r="R55" s="7" t="s">
        <v>661</v>
      </c>
      <c r="S55" s="7">
        <v>6</v>
      </c>
      <c r="T55" s="7" t="s">
        <v>684</v>
      </c>
      <c r="U55" s="7">
        <v>9</v>
      </c>
      <c r="V55" s="7" t="s">
        <v>633</v>
      </c>
      <c r="W55" s="7">
        <v>17</v>
      </c>
      <c r="X55" s="7" t="s">
        <v>685</v>
      </c>
      <c r="Y55" s="7">
        <v>16</v>
      </c>
      <c r="Z55" s="26" t="s">
        <v>33</v>
      </c>
      <c r="AA55" s="7">
        <v>8</v>
      </c>
      <c r="AB55" s="26" t="s">
        <v>686</v>
      </c>
      <c r="AC55" s="7">
        <v>12</v>
      </c>
      <c r="AD55" s="7">
        <v>16</v>
      </c>
      <c r="AE55" s="7" t="s">
        <v>613</v>
      </c>
      <c r="AF55" s="7"/>
      <c r="AG55" s="28" t="str">
        <f t="shared" ref="AG55:AG59" si="7">CONCATENATE("(",A55,"*'",H55,"'*",I55,"*'",J55,"'*'",K55,"'*",L55,"*",M55,"*",N55,"*",O55,"*",P55,"*",Q55,"*",S55,"*",U55,"*",W55,"*",Y55,"*",AA55,"*",AC55,"*",AD55,")*")</f>
        <v>(207*'48'*521*'12,7 / 14,27 / 22,22'*'0,015'*71*50,81*0*0*11,47*11,47*6*9*17*16*8*12*16)*</v>
      </c>
    </row>
    <row r="56" spans="1:33" ht="20.100000000000001" customHeight="1" x14ac:dyDescent="0.25">
      <c r="A56" s="3">
        <v>208</v>
      </c>
      <c r="B56" s="22" t="s">
        <v>440</v>
      </c>
      <c r="C56" s="6">
        <v>44197</v>
      </c>
      <c r="D56" s="23">
        <v>1</v>
      </c>
      <c r="E56" s="7" t="s">
        <v>438</v>
      </c>
      <c r="F56" s="7">
        <v>18</v>
      </c>
      <c r="G56" s="7">
        <v>16</v>
      </c>
      <c r="H56" s="24">
        <v>48</v>
      </c>
      <c r="I56" s="25">
        <v>198</v>
      </c>
      <c r="J56" s="7" t="s">
        <v>687</v>
      </c>
      <c r="K56" s="7">
        <v>1.4999999999999999E-2</v>
      </c>
      <c r="L56" s="7">
        <v>70</v>
      </c>
      <c r="M56" s="7">
        <v>0</v>
      </c>
      <c r="N56" s="7">
        <v>0</v>
      </c>
      <c r="O56" s="7">
        <v>0</v>
      </c>
      <c r="P56" s="7">
        <v>9</v>
      </c>
      <c r="Q56" s="7">
        <v>9</v>
      </c>
      <c r="R56" s="7" t="s">
        <v>537</v>
      </c>
      <c r="S56" s="7">
        <v>4</v>
      </c>
      <c r="T56" s="7" t="s">
        <v>20</v>
      </c>
      <c r="U56" s="7" t="s">
        <v>20</v>
      </c>
      <c r="V56" s="7" t="s">
        <v>20</v>
      </c>
      <c r="W56" s="7" t="s">
        <v>20</v>
      </c>
      <c r="X56" s="7" t="s">
        <v>685</v>
      </c>
      <c r="Y56" s="7">
        <v>16</v>
      </c>
      <c r="Z56" s="26" t="s">
        <v>686</v>
      </c>
      <c r="AA56" s="7">
        <v>12</v>
      </c>
      <c r="AB56" s="26" t="s">
        <v>649</v>
      </c>
      <c r="AC56" s="7">
        <v>3</v>
      </c>
      <c r="AD56" s="7">
        <v>16</v>
      </c>
      <c r="AE56" s="7" t="s">
        <v>629</v>
      </c>
      <c r="AF56" s="7"/>
      <c r="AG56" s="28" t="str">
        <f t="shared" si="7"/>
        <v>(208*'48'*198*'13,61/  14,27 / 20,79 / 22,23'*'0,015'*70*0*0*0*9*9*4*NULL*NULL*16*12*3*16)*</v>
      </c>
    </row>
    <row r="57" spans="1:33" ht="20.100000000000001" customHeight="1" x14ac:dyDescent="0.25">
      <c r="A57" s="3">
        <v>209</v>
      </c>
      <c r="B57" s="22" t="s">
        <v>443</v>
      </c>
      <c r="C57" s="6">
        <v>29952</v>
      </c>
      <c r="D57" s="23">
        <v>1</v>
      </c>
      <c r="E57" s="7" t="s">
        <v>688</v>
      </c>
      <c r="F57" s="7">
        <v>17</v>
      </c>
      <c r="G57" s="7">
        <v>16</v>
      </c>
      <c r="H57" s="24">
        <v>48</v>
      </c>
      <c r="I57" s="25">
        <v>548.28499999999997</v>
      </c>
      <c r="J57" s="7" t="s">
        <v>675</v>
      </c>
      <c r="K57" s="7">
        <v>1.4999999999999999E-2</v>
      </c>
      <c r="L57" s="7">
        <v>70</v>
      </c>
      <c r="M57" s="7">
        <v>70</v>
      </c>
      <c r="N57" s="7">
        <v>0</v>
      </c>
      <c r="O57" s="7">
        <v>0</v>
      </c>
      <c r="P57" s="7">
        <v>11.99</v>
      </c>
      <c r="Q57" s="7">
        <v>11.99</v>
      </c>
      <c r="R57" s="7" t="s">
        <v>615</v>
      </c>
      <c r="S57" s="7">
        <v>4</v>
      </c>
      <c r="T57" s="7" t="s">
        <v>570</v>
      </c>
      <c r="U57" s="7">
        <v>14</v>
      </c>
      <c r="V57" s="7" t="s">
        <v>633</v>
      </c>
      <c r="W57" s="7">
        <v>17</v>
      </c>
      <c r="X57" s="7" t="s">
        <v>689</v>
      </c>
      <c r="Y57" s="7">
        <v>19</v>
      </c>
      <c r="Z57" s="26" t="s">
        <v>33</v>
      </c>
      <c r="AA57" s="7">
        <v>8</v>
      </c>
      <c r="AB57" s="26" t="s">
        <v>690</v>
      </c>
      <c r="AC57" s="7">
        <v>2</v>
      </c>
      <c r="AD57" s="7">
        <v>16</v>
      </c>
      <c r="AE57" s="7" t="s">
        <v>616</v>
      </c>
      <c r="AF57" s="7"/>
      <c r="AG57" s="28" t="str">
        <f t="shared" si="7"/>
        <v>(209*'48'*548,285*'12,7 / 14,27 / 22,22'*'0,015'*70*70*0*0*11,99*11,99*4*14*17*19*8*2*16)*</v>
      </c>
    </row>
    <row r="58" spans="1:33" ht="20.100000000000001" customHeight="1" x14ac:dyDescent="0.25">
      <c r="A58" s="3">
        <v>210</v>
      </c>
      <c r="B58" s="22" t="s">
        <v>445</v>
      </c>
      <c r="C58" s="6">
        <v>31778</v>
      </c>
      <c r="D58" s="23">
        <v>1</v>
      </c>
      <c r="E58" s="7" t="s">
        <v>688</v>
      </c>
      <c r="F58" s="7">
        <v>17</v>
      </c>
      <c r="G58" s="7">
        <v>16</v>
      </c>
      <c r="H58" s="24">
        <v>48</v>
      </c>
      <c r="I58" s="25">
        <v>548.28499999999997</v>
      </c>
      <c r="J58" s="7" t="s">
        <v>675</v>
      </c>
      <c r="K58" s="7">
        <v>1.4999999999999999E-2</v>
      </c>
      <c r="L58" s="7">
        <v>70</v>
      </c>
      <c r="M58" s="7">
        <v>70</v>
      </c>
      <c r="N58" s="7">
        <v>0</v>
      </c>
      <c r="O58" s="7">
        <v>0</v>
      </c>
      <c r="P58" s="7">
        <v>11.99</v>
      </c>
      <c r="Q58" s="7">
        <v>11.99</v>
      </c>
      <c r="R58" s="7" t="s">
        <v>615</v>
      </c>
      <c r="S58" s="7">
        <v>4</v>
      </c>
      <c r="T58" s="7" t="s">
        <v>570</v>
      </c>
      <c r="U58" s="7">
        <v>14</v>
      </c>
      <c r="V58" s="7" t="s">
        <v>633</v>
      </c>
      <c r="W58" s="7">
        <v>17</v>
      </c>
      <c r="X58" s="7" t="s">
        <v>689</v>
      </c>
      <c r="Y58" s="7">
        <v>19</v>
      </c>
      <c r="Z58" s="26" t="s">
        <v>33</v>
      </c>
      <c r="AA58" s="7">
        <v>8</v>
      </c>
      <c r="AB58" s="26" t="s">
        <v>690</v>
      </c>
      <c r="AC58" s="7">
        <v>2</v>
      </c>
      <c r="AD58" s="7">
        <v>16</v>
      </c>
      <c r="AE58" s="7" t="s">
        <v>691</v>
      </c>
      <c r="AF58" s="7"/>
      <c r="AG58" s="28" t="str">
        <f t="shared" si="7"/>
        <v>(210*'48'*548,285*'12,7 / 14,27 / 22,22'*'0,015'*70*70*0*0*11,99*11,99*4*14*17*19*8*2*16)*</v>
      </c>
    </row>
    <row r="59" spans="1:33" ht="20.100000000000001" customHeight="1" x14ac:dyDescent="0.25">
      <c r="A59" s="3">
        <v>211</v>
      </c>
      <c r="B59" s="22" t="s">
        <v>448</v>
      </c>
      <c r="C59" s="6">
        <v>39448</v>
      </c>
      <c r="D59" s="23">
        <v>1</v>
      </c>
      <c r="E59" s="7" t="s">
        <v>688</v>
      </c>
      <c r="F59" s="7">
        <v>17</v>
      </c>
      <c r="G59" s="7">
        <v>16</v>
      </c>
      <c r="H59" s="24">
        <v>48</v>
      </c>
      <c r="I59" s="25">
        <v>548.28499999999997</v>
      </c>
      <c r="J59" s="7" t="s">
        <v>675</v>
      </c>
      <c r="K59" s="7">
        <v>1.4999999999999999E-2</v>
      </c>
      <c r="L59" s="7">
        <v>70</v>
      </c>
      <c r="M59" s="7">
        <v>70</v>
      </c>
      <c r="N59" s="7">
        <v>0</v>
      </c>
      <c r="O59" s="7">
        <v>0</v>
      </c>
      <c r="P59" s="7">
        <v>8.74</v>
      </c>
      <c r="Q59" s="7">
        <v>8.74</v>
      </c>
      <c r="R59" s="7" t="s">
        <v>615</v>
      </c>
      <c r="S59" s="7">
        <v>4</v>
      </c>
      <c r="T59" s="7" t="s">
        <v>692</v>
      </c>
      <c r="U59" s="7">
        <v>11</v>
      </c>
      <c r="V59" s="7" t="s">
        <v>633</v>
      </c>
      <c r="W59" s="7">
        <v>17</v>
      </c>
      <c r="X59" s="7" t="s">
        <v>689</v>
      </c>
      <c r="Y59" s="7">
        <v>19</v>
      </c>
      <c r="Z59" s="26" t="s">
        <v>33</v>
      </c>
      <c r="AA59" s="7">
        <v>8</v>
      </c>
      <c r="AB59" s="26" t="s">
        <v>690</v>
      </c>
      <c r="AC59" s="7">
        <v>2</v>
      </c>
      <c r="AD59" s="7">
        <v>16</v>
      </c>
      <c r="AE59" s="7" t="s">
        <v>693</v>
      </c>
      <c r="AF59" s="7"/>
      <c r="AG59" s="28" t="str">
        <f t="shared" si="7"/>
        <v>(211*'48'*548,285*'12,7 / 14,27 / 22,22'*'0,015'*70*70*0*0*8,74*8,74*4*11*17*19*8*2*16)*</v>
      </c>
    </row>
  </sheetData>
  <autoFilter ref="A1:AC5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82"/>
  <sheetViews>
    <sheetView topLeftCell="A25" workbookViewId="0">
      <selection activeCell="A3" sqref="A3:A82"/>
    </sheetView>
  </sheetViews>
  <sheetFormatPr baseColWidth="10" defaultColWidth="10.85546875" defaultRowHeight="15.75" x14ac:dyDescent="0.25"/>
  <cols>
    <col min="1" max="1" width="5.5703125" style="2" customWidth="1"/>
    <col min="2" max="2" width="12.42578125" style="2" bestFit="1" customWidth="1"/>
    <col min="3" max="3" width="15.5703125" style="2" bestFit="1" customWidth="1"/>
    <col min="4" max="4" width="12.7109375" style="2" customWidth="1"/>
    <col min="5" max="8" width="12.7109375" style="2" hidden="1" customWidth="1"/>
    <col min="9" max="14" width="10.5703125" style="2" customWidth="1"/>
    <col min="15" max="26" width="12.7109375" style="2" customWidth="1"/>
    <col min="27" max="27" width="12.7109375" style="2" hidden="1" customWidth="1"/>
    <col min="28" max="28" width="21.42578125" style="2" hidden="1" customWidth="1"/>
    <col min="29" max="29" width="12.7109375" style="2" hidden="1" customWidth="1"/>
    <col min="30" max="30" width="117.42578125" style="2" bestFit="1" customWidth="1"/>
    <col min="31" max="16384" width="10.85546875" style="2"/>
  </cols>
  <sheetData>
    <row r="1" spans="1:31" ht="20.100000000000001" customHeight="1" x14ac:dyDescent="0.25">
      <c r="A1" s="1" t="s">
        <v>0</v>
      </c>
      <c r="B1" s="20" t="s">
        <v>1</v>
      </c>
      <c r="C1" s="20" t="s">
        <v>2</v>
      </c>
      <c r="D1" s="1" t="s">
        <v>480</v>
      </c>
      <c r="E1" s="1" t="s">
        <v>6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694</v>
      </c>
      <c r="N1" s="1" t="s">
        <v>695</v>
      </c>
      <c r="O1" s="1" t="s">
        <v>494</v>
      </c>
      <c r="P1" s="1" t="s">
        <v>495</v>
      </c>
      <c r="Q1" s="1" t="s">
        <v>496</v>
      </c>
      <c r="R1" s="1" t="s">
        <v>497</v>
      </c>
      <c r="S1" s="1" t="s">
        <v>498</v>
      </c>
      <c r="T1" s="1" t="s">
        <v>499</v>
      </c>
      <c r="U1" s="1" t="s">
        <v>696</v>
      </c>
      <c r="V1" s="1" t="s">
        <v>697</v>
      </c>
      <c r="W1" s="1" t="s">
        <v>502</v>
      </c>
      <c r="X1" s="1" t="s">
        <v>503</v>
      </c>
      <c r="Y1" s="1" t="s">
        <v>504</v>
      </c>
      <c r="Z1" s="1" t="s">
        <v>505</v>
      </c>
      <c r="AA1" s="1" t="s">
        <v>506</v>
      </c>
      <c r="AB1" s="1" t="s">
        <v>507</v>
      </c>
      <c r="AC1" s="1" t="s">
        <v>508</v>
      </c>
    </row>
    <row r="2" spans="1:31" ht="20.100000000000001" customHeight="1" x14ac:dyDescent="0.25">
      <c r="A2" s="1" t="s">
        <v>9</v>
      </c>
      <c r="B2" s="20" t="s">
        <v>10</v>
      </c>
      <c r="C2" s="20" t="s">
        <v>11</v>
      </c>
      <c r="D2" s="20" t="s">
        <v>12</v>
      </c>
      <c r="E2" s="20" t="s">
        <v>15</v>
      </c>
      <c r="F2" s="1"/>
      <c r="G2" s="1" t="s">
        <v>16</v>
      </c>
      <c r="H2" s="1" t="s">
        <v>509</v>
      </c>
      <c r="I2" s="1" t="s">
        <v>510</v>
      </c>
      <c r="J2" s="1" t="s">
        <v>511</v>
      </c>
      <c r="K2" s="1" t="s">
        <v>512</v>
      </c>
      <c r="L2" s="1" t="s">
        <v>513</v>
      </c>
      <c r="M2" s="1" t="s">
        <v>514</v>
      </c>
      <c r="N2" s="1" t="s">
        <v>515</v>
      </c>
      <c r="O2" s="1"/>
      <c r="P2" s="1" t="s">
        <v>516</v>
      </c>
      <c r="Q2" s="1"/>
      <c r="R2" s="1" t="s">
        <v>517</v>
      </c>
      <c r="S2" s="1"/>
      <c r="T2" s="1" t="s">
        <v>518</v>
      </c>
      <c r="U2" s="1"/>
      <c r="V2" s="1" t="s">
        <v>519</v>
      </c>
      <c r="W2" s="1"/>
      <c r="X2" s="1" t="s">
        <v>520</v>
      </c>
      <c r="Y2" s="1"/>
      <c r="Z2" s="1" t="s">
        <v>521</v>
      </c>
      <c r="AA2" s="1" t="s">
        <v>509</v>
      </c>
      <c r="AB2" s="1"/>
      <c r="AC2" s="1" t="s">
        <v>526</v>
      </c>
      <c r="AD2" s="21" t="s">
        <v>698</v>
      </c>
    </row>
    <row r="3" spans="1:31" ht="20.100000000000001" customHeight="1" x14ac:dyDescent="0.25">
      <c r="A3" s="39"/>
      <c r="B3" s="40" t="s">
        <v>452</v>
      </c>
      <c r="C3" s="40" t="s">
        <v>453</v>
      </c>
      <c r="D3" s="19"/>
      <c r="E3" s="41"/>
      <c r="F3" s="42"/>
      <c r="G3" s="42"/>
      <c r="H3" s="42"/>
      <c r="I3" s="32"/>
      <c r="J3" s="43"/>
      <c r="K3" s="42"/>
      <c r="L3" s="42"/>
      <c r="M3" s="44"/>
      <c r="N3" s="44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9">
        <v>12</v>
      </c>
      <c r="AB3" s="18" t="s">
        <v>535</v>
      </c>
      <c r="AC3" s="18"/>
      <c r="AD3" s="35" t="str">
        <f>CONCATENATE("(",A3,"*",I3,"*",J3,"*",K3,"*",L3,"*",M3,"*",N3,"*",P3,"*",R3,"*",T3,"*",V3,"*",X3,"*",Z3,")*")</f>
        <v>(************)*</v>
      </c>
      <c r="AE3" s="29"/>
    </row>
    <row r="4" spans="1:31" ht="20.100000000000001" customHeight="1" x14ac:dyDescent="0.25">
      <c r="A4" s="39"/>
      <c r="B4" s="40" t="s">
        <v>454</v>
      </c>
      <c r="C4" s="40" t="s">
        <v>455</v>
      </c>
      <c r="D4" s="19"/>
      <c r="E4" s="41"/>
      <c r="F4" s="42"/>
      <c r="G4" s="42"/>
      <c r="H4" s="42"/>
      <c r="I4" s="32"/>
      <c r="J4" s="43"/>
      <c r="K4" s="42"/>
      <c r="L4" s="42"/>
      <c r="M4" s="44"/>
      <c r="N4" s="44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9"/>
      <c r="AB4" s="18"/>
      <c r="AC4" s="18"/>
      <c r="AD4" s="35" t="str">
        <f t="shared" ref="AD4:AD20" si="0">CONCATENATE("(",A4,"*",I4,"*",J4,"*",K4,"*",L4,"*",M4,"*",N4,"*",P4,"*",R4,"*",T4,"*",V4,"*",X4,"*",Z4,")*")</f>
        <v>(************)*</v>
      </c>
      <c r="AE4" s="29"/>
    </row>
    <row r="5" spans="1:31" ht="20.100000000000001" customHeight="1" x14ac:dyDescent="0.25">
      <c r="A5" s="39"/>
      <c r="B5" s="40" t="s">
        <v>456</v>
      </c>
      <c r="C5" s="40" t="s">
        <v>457</v>
      </c>
      <c r="D5" s="19"/>
      <c r="E5" s="41"/>
      <c r="F5" s="42"/>
      <c r="G5" s="42"/>
      <c r="H5" s="42"/>
      <c r="I5" s="32"/>
      <c r="J5" s="43"/>
      <c r="K5" s="42"/>
      <c r="L5" s="42"/>
      <c r="M5" s="44"/>
      <c r="N5" s="44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9"/>
      <c r="AB5" s="18"/>
      <c r="AC5" s="18"/>
      <c r="AD5" s="35" t="str">
        <f t="shared" si="0"/>
        <v>(************)*</v>
      </c>
      <c r="AE5" s="29"/>
    </row>
    <row r="6" spans="1:31" ht="20.100000000000001" customHeight="1" x14ac:dyDescent="0.25">
      <c r="A6" s="39"/>
      <c r="B6" s="40" t="s">
        <v>458</v>
      </c>
      <c r="C6" s="40" t="s">
        <v>459</v>
      </c>
      <c r="D6" s="19"/>
      <c r="E6" s="41"/>
      <c r="F6" s="42"/>
      <c r="G6" s="42"/>
      <c r="H6" s="42"/>
      <c r="I6" s="32"/>
      <c r="J6" s="43"/>
      <c r="K6" s="42"/>
      <c r="L6" s="42"/>
      <c r="M6" s="44"/>
      <c r="N6" s="44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9"/>
      <c r="AB6" s="18"/>
      <c r="AC6" s="18"/>
      <c r="AD6" s="35" t="str">
        <f t="shared" si="0"/>
        <v>(************)*</v>
      </c>
      <c r="AE6" s="29"/>
    </row>
    <row r="7" spans="1:31" ht="20.100000000000001" customHeight="1" x14ac:dyDescent="0.25">
      <c r="A7" s="39"/>
      <c r="B7" s="40" t="s">
        <v>460</v>
      </c>
      <c r="C7" s="40" t="s">
        <v>461</v>
      </c>
      <c r="D7" s="19"/>
      <c r="E7" s="41"/>
      <c r="F7" s="42"/>
      <c r="G7" s="42"/>
      <c r="H7" s="42"/>
      <c r="I7" s="32"/>
      <c r="J7" s="43"/>
      <c r="K7" s="42"/>
      <c r="L7" s="42"/>
      <c r="M7" s="44"/>
      <c r="N7" s="44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9"/>
      <c r="AB7" s="18"/>
      <c r="AC7" s="18"/>
      <c r="AD7" s="35" t="str">
        <f t="shared" si="0"/>
        <v>(************)*</v>
      </c>
      <c r="AE7" s="29"/>
    </row>
    <row r="8" spans="1:31" ht="20.100000000000001" customHeight="1" x14ac:dyDescent="0.25">
      <c r="A8" s="39"/>
      <c r="B8" s="40" t="s">
        <v>462</v>
      </c>
      <c r="C8" s="40" t="s">
        <v>463</v>
      </c>
      <c r="D8" s="19"/>
      <c r="E8" s="41"/>
      <c r="F8" s="42"/>
      <c r="G8" s="42"/>
      <c r="H8" s="42"/>
      <c r="I8" s="32"/>
      <c r="J8" s="43"/>
      <c r="K8" s="42"/>
      <c r="L8" s="42"/>
      <c r="M8" s="44"/>
      <c r="N8" s="44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9"/>
      <c r="AB8" s="18"/>
      <c r="AC8" s="18"/>
      <c r="AD8" s="35" t="str">
        <f t="shared" si="0"/>
        <v>(************)*</v>
      </c>
      <c r="AE8" s="29"/>
    </row>
    <row r="9" spans="1:31" ht="20.100000000000001" customHeight="1" x14ac:dyDescent="0.25">
      <c r="A9" s="39"/>
      <c r="B9" s="40" t="s">
        <v>464</v>
      </c>
      <c r="C9" s="40" t="s">
        <v>465</v>
      </c>
      <c r="D9" s="19"/>
      <c r="E9" s="41"/>
      <c r="F9" s="42"/>
      <c r="G9" s="42"/>
      <c r="H9" s="42"/>
      <c r="I9" s="32"/>
      <c r="J9" s="43"/>
      <c r="K9" s="42"/>
      <c r="L9" s="42"/>
      <c r="M9" s="44"/>
      <c r="N9" s="44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9"/>
      <c r="AB9" s="18"/>
      <c r="AC9" s="18"/>
      <c r="AD9" s="35" t="str">
        <f t="shared" si="0"/>
        <v>(************)*</v>
      </c>
      <c r="AE9" s="29"/>
    </row>
    <row r="10" spans="1:31" ht="20.100000000000001" customHeight="1" x14ac:dyDescent="0.25">
      <c r="A10" s="39"/>
      <c r="B10" s="40" t="s">
        <v>466</v>
      </c>
      <c r="C10" s="40" t="s">
        <v>467</v>
      </c>
      <c r="D10" s="19"/>
      <c r="E10" s="41"/>
      <c r="F10" s="42"/>
      <c r="G10" s="42"/>
      <c r="H10" s="42"/>
      <c r="I10" s="32"/>
      <c r="J10" s="43"/>
      <c r="K10" s="42"/>
      <c r="L10" s="42"/>
      <c r="M10" s="44"/>
      <c r="N10" s="44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9">
        <v>12</v>
      </c>
      <c r="AB10" s="36" t="s">
        <v>539</v>
      </c>
      <c r="AC10" s="36"/>
      <c r="AD10" s="35" t="str">
        <f t="shared" si="0"/>
        <v>(************)*</v>
      </c>
    </row>
    <row r="11" spans="1:31" ht="20.100000000000001" customHeight="1" x14ac:dyDescent="0.25">
      <c r="A11" s="39"/>
      <c r="B11" s="40" t="s">
        <v>468</v>
      </c>
      <c r="C11" s="40" t="s">
        <v>469</v>
      </c>
      <c r="D11" s="19"/>
      <c r="E11" s="41"/>
      <c r="F11" s="42"/>
      <c r="G11" s="42"/>
      <c r="H11" s="42"/>
      <c r="I11" s="32"/>
      <c r="J11" s="43"/>
      <c r="K11" s="42"/>
      <c r="L11" s="42"/>
      <c r="M11" s="44"/>
      <c r="N11" s="44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9"/>
      <c r="AB11" s="36"/>
      <c r="AC11" s="36"/>
      <c r="AD11" s="35" t="str">
        <f t="shared" si="0"/>
        <v>(************)*</v>
      </c>
    </row>
    <row r="12" spans="1:31" ht="20.100000000000001" customHeight="1" x14ac:dyDescent="0.25">
      <c r="A12" s="39"/>
      <c r="B12" s="40" t="s">
        <v>470</v>
      </c>
      <c r="C12" s="40" t="s">
        <v>471</v>
      </c>
      <c r="D12" s="19"/>
      <c r="E12" s="41"/>
      <c r="F12" s="42"/>
      <c r="G12" s="42"/>
      <c r="H12" s="42"/>
      <c r="I12" s="32"/>
      <c r="J12" s="43"/>
      <c r="K12" s="42"/>
      <c r="L12" s="42"/>
      <c r="M12" s="44"/>
      <c r="N12" s="44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9"/>
      <c r="AB12" s="36"/>
      <c r="AC12" s="36"/>
      <c r="AD12" s="35" t="str">
        <f t="shared" si="0"/>
        <v>(************)*</v>
      </c>
    </row>
    <row r="13" spans="1:31" ht="20.100000000000001" customHeight="1" x14ac:dyDescent="0.25">
      <c r="A13" s="39"/>
      <c r="B13" s="40" t="s">
        <v>472</v>
      </c>
      <c r="C13" s="40" t="s">
        <v>473</v>
      </c>
      <c r="D13" s="19"/>
      <c r="E13" s="41"/>
      <c r="F13" s="42"/>
      <c r="G13" s="42"/>
      <c r="H13" s="42"/>
      <c r="I13" s="32"/>
      <c r="J13" s="43"/>
      <c r="K13" s="42"/>
      <c r="L13" s="42"/>
      <c r="M13" s="44"/>
      <c r="N13" s="44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9"/>
      <c r="AB13" s="36"/>
      <c r="AC13" s="36"/>
      <c r="AD13" s="35" t="str">
        <f t="shared" si="0"/>
        <v>(************)*</v>
      </c>
    </row>
    <row r="14" spans="1:31" ht="20.100000000000001" customHeight="1" x14ac:dyDescent="0.25">
      <c r="A14" s="39"/>
      <c r="B14" s="40" t="s">
        <v>474</v>
      </c>
      <c r="C14" s="40" t="s">
        <v>475</v>
      </c>
      <c r="D14" s="19"/>
      <c r="E14" s="41"/>
      <c r="F14" s="42"/>
      <c r="G14" s="42"/>
      <c r="H14" s="42"/>
      <c r="I14" s="32"/>
      <c r="J14" s="43"/>
      <c r="K14" s="42"/>
      <c r="L14" s="42"/>
      <c r="M14" s="44"/>
      <c r="N14" s="44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9"/>
      <c r="AB14" s="36"/>
      <c r="AC14" s="36"/>
      <c r="AD14" s="35" t="str">
        <f t="shared" si="0"/>
        <v>(************)*</v>
      </c>
    </row>
    <row r="15" spans="1:31" ht="20.100000000000001" customHeight="1" x14ac:dyDescent="0.25">
      <c r="A15" s="39"/>
      <c r="B15" s="40" t="s">
        <v>476</v>
      </c>
      <c r="C15" s="40" t="s">
        <v>477</v>
      </c>
      <c r="D15" s="19"/>
      <c r="E15" s="41"/>
      <c r="F15" s="42"/>
      <c r="G15" s="42"/>
      <c r="H15" s="42"/>
      <c r="I15" s="32"/>
      <c r="J15" s="43"/>
      <c r="K15" s="42"/>
      <c r="L15" s="42"/>
      <c r="M15" s="44"/>
      <c r="N15" s="44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9"/>
      <c r="AB15" s="36"/>
      <c r="AC15" s="36"/>
      <c r="AD15" s="35" t="str">
        <f t="shared" si="0"/>
        <v>(************)*</v>
      </c>
    </row>
    <row r="16" spans="1:31" ht="20.100000000000001" customHeight="1" x14ac:dyDescent="0.25">
      <c r="A16" s="39"/>
      <c r="B16" s="40" t="s">
        <v>478</v>
      </c>
      <c r="C16" s="40" t="s">
        <v>479</v>
      </c>
      <c r="D16" s="19"/>
      <c r="E16" s="41"/>
      <c r="F16" s="42"/>
      <c r="G16" s="42"/>
      <c r="H16" s="42"/>
      <c r="I16" s="32"/>
      <c r="J16" s="43"/>
      <c r="K16" s="42"/>
      <c r="L16" s="42"/>
      <c r="M16" s="44"/>
      <c r="N16" s="44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9"/>
      <c r="AB16" s="36"/>
      <c r="AC16" s="36"/>
      <c r="AD16" s="35" t="str">
        <f t="shared" si="0"/>
        <v>(************)*</v>
      </c>
    </row>
    <row r="17" spans="1:30" ht="20.100000000000001" customHeight="1" x14ac:dyDescent="0.25">
      <c r="A17" s="39"/>
      <c r="B17" s="40" t="s">
        <v>699</v>
      </c>
      <c r="C17" s="40" t="s">
        <v>700</v>
      </c>
      <c r="D17" s="19"/>
      <c r="E17" s="41"/>
      <c r="F17" s="42"/>
      <c r="G17" s="42"/>
      <c r="H17" s="42"/>
      <c r="I17" s="32"/>
      <c r="J17" s="43"/>
      <c r="K17" s="45"/>
      <c r="L17" s="42"/>
      <c r="M17" s="44"/>
      <c r="N17" s="44"/>
      <c r="O17" s="42"/>
      <c r="P17" s="42"/>
      <c r="Q17" s="45"/>
      <c r="R17" s="42"/>
      <c r="S17" s="42"/>
      <c r="T17" s="42"/>
      <c r="U17" s="42"/>
      <c r="V17" s="42"/>
      <c r="W17" s="40"/>
      <c r="X17" s="39"/>
      <c r="Y17" s="40"/>
      <c r="Z17" s="39"/>
      <c r="AA17" s="49">
        <v>12</v>
      </c>
      <c r="AB17" s="18" t="s">
        <v>545</v>
      </c>
      <c r="AC17" s="18"/>
      <c r="AD17" s="35" t="str">
        <f t="shared" si="0"/>
        <v>(************)*</v>
      </c>
    </row>
    <row r="18" spans="1:30" ht="20.100000000000001" customHeight="1" x14ac:dyDescent="0.25">
      <c r="A18" s="39"/>
      <c r="B18" s="40" t="s">
        <v>701</v>
      </c>
      <c r="C18" s="40" t="s">
        <v>702</v>
      </c>
      <c r="D18" s="19"/>
      <c r="E18" s="41"/>
      <c r="F18" s="42"/>
      <c r="G18" s="42"/>
      <c r="H18" s="42"/>
      <c r="I18" s="32"/>
      <c r="J18" s="43"/>
      <c r="K18" s="45"/>
      <c r="L18" s="42"/>
      <c r="M18" s="44"/>
      <c r="N18" s="44"/>
      <c r="O18" s="42"/>
      <c r="P18" s="42"/>
      <c r="Q18" s="45"/>
      <c r="R18" s="42"/>
      <c r="S18" s="42"/>
      <c r="T18" s="42"/>
      <c r="U18" s="42"/>
      <c r="V18" s="42"/>
      <c r="W18" s="40"/>
      <c r="X18" s="39"/>
      <c r="Y18" s="40"/>
      <c r="Z18" s="39"/>
      <c r="AA18" s="49"/>
      <c r="AB18" s="18"/>
      <c r="AC18" s="18"/>
      <c r="AD18" s="35" t="str">
        <f t="shared" si="0"/>
        <v>(************)*</v>
      </c>
    </row>
    <row r="19" spans="1:30" ht="20.100000000000001" customHeight="1" x14ac:dyDescent="0.25">
      <c r="A19" s="39"/>
      <c r="B19" s="40" t="s">
        <v>703</v>
      </c>
      <c r="C19" s="40" t="s">
        <v>704</v>
      </c>
      <c r="D19" s="19"/>
      <c r="E19" s="41"/>
      <c r="F19" s="42"/>
      <c r="G19" s="42"/>
      <c r="H19" s="42"/>
      <c r="I19" s="32"/>
      <c r="J19" s="43"/>
      <c r="K19" s="45"/>
      <c r="L19" s="42"/>
      <c r="M19" s="44"/>
      <c r="N19" s="44"/>
      <c r="O19" s="42"/>
      <c r="P19" s="42"/>
      <c r="Q19" s="45"/>
      <c r="R19" s="42"/>
      <c r="S19" s="42"/>
      <c r="T19" s="42"/>
      <c r="U19" s="42"/>
      <c r="V19" s="42"/>
      <c r="W19" s="40"/>
      <c r="X19" s="39"/>
      <c r="Y19" s="40"/>
      <c r="Z19" s="39"/>
      <c r="AA19" s="49"/>
      <c r="AB19" s="18"/>
      <c r="AC19" s="18"/>
      <c r="AD19" s="35" t="str">
        <f t="shared" si="0"/>
        <v>(************)*</v>
      </c>
    </row>
    <row r="20" spans="1:30" ht="20.100000000000001" customHeight="1" x14ac:dyDescent="0.25">
      <c r="A20" s="39"/>
      <c r="B20" s="40" t="s">
        <v>705</v>
      </c>
      <c r="C20" s="40" t="s">
        <v>706</v>
      </c>
      <c r="D20" s="19"/>
      <c r="E20" s="41"/>
      <c r="F20" s="42"/>
      <c r="G20" s="42"/>
      <c r="H20" s="42"/>
      <c r="I20" s="32"/>
      <c r="J20" s="43"/>
      <c r="K20" s="45"/>
      <c r="L20" s="42"/>
      <c r="M20" s="44"/>
      <c r="N20" s="44"/>
      <c r="O20" s="42"/>
      <c r="P20" s="42"/>
      <c r="Q20" s="45"/>
      <c r="R20" s="42"/>
      <c r="S20" s="42"/>
      <c r="T20" s="42"/>
      <c r="U20" s="42"/>
      <c r="V20" s="42"/>
      <c r="W20" s="40"/>
      <c r="X20" s="39"/>
      <c r="Y20" s="46"/>
      <c r="Z20" s="42"/>
      <c r="AA20" s="49"/>
      <c r="AB20" s="18"/>
      <c r="AC20" s="18"/>
      <c r="AD20" s="35" t="str">
        <f t="shared" si="0"/>
        <v>(************)*</v>
      </c>
    </row>
    <row r="21" spans="1:30" ht="20.100000000000001" customHeight="1" x14ac:dyDescent="0.25">
      <c r="A21" s="39"/>
      <c r="B21" s="40" t="s">
        <v>712</v>
      </c>
      <c r="C21" s="40" t="s">
        <v>707</v>
      </c>
      <c r="D21" s="19"/>
      <c r="E21" s="41"/>
      <c r="F21" s="42"/>
      <c r="G21" s="42"/>
      <c r="H21" s="42"/>
      <c r="I21" s="32"/>
      <c r="J21" s="43"/>
      <c r="K21" s="42"/>
      <c r="L21" s="42"/>
      <c r="M21" s="44"/>
      <c r="N21" s="44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50">
        <v>12</v>
      </c>
      <c r="AB21" s="7" t="s">
        <v>554</v>
      </c>
      <c r="AC21" s="7"/>
      <c r="AD21" s="35" t="str">
        <f t="shared" ref="AD21:AD82" si="1">CONCATENATE("(",A21,"*'",I21,"'*",J21,"*'",K21,"'*'",L21,"'*",M21,"*",N21,"*",P21,"*",R21,"*",T21,"*",V21,"*",X21,"*",Z21,")*")</f>
        <v>(*''**''*''********)*</v>
      </c>
    </row>
    <row r="22" spans="1:30" ht="20.100000000000001" customHeight="1" x14ac:dyDescent="0.25">
      <c r="A22" s="39"/>
      <c r="B22" s="40" t="s">
        <v>713</v>
      </c>
      <c r="C22" s="40" t="s">
        <v>708</v>
      </c>
      <c r="D22" s="19"/>
      <c r="E22" s="41"/>
      <c r="F22" s="42"/>
      <c r="G22" s="42"/>
      <c r="H22" s="42"/>
      <c r="I22" s="32"/>
      <c r="J22" s="43"/>
      <c r="K22" s="42"/>
      <c r="L22" s="42"/>
      <c r="M22" s="44"/>
      <c r="N22" s="44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50"/>
      <c r="AB22" s="7"/>
      <c r="AC22" s="7"/>
      <c r="AD22" s="35" t="str">
        <f t="shared" si="1"/>
        <v>(*''**''*''********)*</v>
      </c>
    </row>
    <row r="23" spans="1:30" ht="20.100000000000001" customHeight="1" x14ac:dyDescent="0.25">
      <c r="A23" s="39"/>
      <c r="B23" s="40" t="s">
        <v>714</v>
      </c>
      <c r="C23" s="40" t="s">
        <v>709</v>
      </c>
      <c r="D23" s="19"/>
      <c r="E23" s="41"/>
      <c r="F23" s="42"/>
      <c r="G23" s="42"/>
      <c r="H23" s="42"/>
      <c r="I23" s="32"/>
      <c r="J23" s="43"/>
      <c r="K23" s="42"/>
      <c r="L23" s="42"/>
      <c r="M23" s="44"/>
      <c r="N23" s="44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50"/>
      <c r="AB23" s="7"/>
      <c r="AC23" s="7"/>
      <c r="AD23" s="35" t="str">
        <f t="shared" si="1"/>
        <v>(*''**''*''********)*</v>
      </c>
    </row>
    <row r="24" spans="1:30" ht="20.100000000000001" customHeight="1" x14ac:dyDescent="0.25">
      <c r="A24" s="39"/>
      <c r="B24" s="40" t="s">
        <v>715</v>
      </c>
      <c r="C24" s="40" t="s">
        <v>710</v>
      </c>
      <c r="D24" s="19"/>
      <c r="E24" s="41"/>
      <c r="F24" s="42"/>
      <c r="G24" s="42"/>
      <c r="H24" s="42"/>
      <c r="I24" s="32"/>
      <c r="J24" s="43"/>
      <c r="K24" s="42"/>
      <c r="L24" s="42"/>
      <c r="M24" s="44"/>
      <c r="N24" s="44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50"/>
      <c r="AB24" s="7"/>
      <c r="AC24" s="7"/>
      <c r="AD24" s="35" t="str">
        <f t="shared" si="1"/>
        <v>(*''**''*''********)*</v>
      </c>
    </row>
    <row r="25" spans="1:30" ht="20.100000000000001" customHeight="1" x14ac:dyDescent="0.25">
      <c r="A25" s="39"/>
      <c r="B25" s="40" t="s">
        <v>716</v>
      </c>
      <c r="C25" s="40" t="s">
        <v>711</v>
      </c>
      <c r="D25" s="19"/>
      <c r="E25" s="41"/>
      <c r="F25" s="42"/>
      <c r="G25" s="42"/>
      <c r="H25" s="42"/>
      <c r="I25" s="32"/>
      <c r="J25" s="43"/>
      <c r="K25" s="42"/>
      <c r="L25" s="42"/>
      <c r="M25" s="44"/>
      <c r="N25" s="44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9"/>
      <c r="AB25" s="18"/>
      <c r="AC25" s="18"/>
      <c r="AD25" s="35" t="str">
        <f t="shared" si="1"/>
        <v>(*''**''*''********)*</v>
      </c>
    </row>
    <row r="26" spans="1:30" ht="20.100000000000001" customHeight="1" x14ac:dyDescent="0.25">
      <c r="A26" s="39"/>
      <c r="B26" s="40" t="s">
        <v>717</v>
      </c>
      <c r="C26" s="40" t="s">
        <v>722</v>
      </c>
      <c r="D26" s="19"/>
      <c r="E26" s="41"/>
      <c r="F26" s="42"/>
      <c r="G26" s="42"/>
      <c r="H26" s="42"/>
      <c r="I26" s="32"/>
      <c r="J26" s="43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50">
        <v>12</v>
      </c>
      <c r="AB26" s="7"/>
      <c r="AC26" s="7"/>
      <c r="AD26" s="28" t="str">
        <f t="shared" si="1"/>
        <v>(*''**''*''********)*</v>
      </c>
    </row>
    <row r="27" spans="1:30" ht="20.100000000000001" customHeight="1" x14ac:dyDescent="0.25">
      <c r="A27" s="39"/>
      <c r="B27" s="40" t="s">
        <v>718</v>
      </c>
      <c r="C27" s="40" t="s">
        <v>723</v>
      </c>
      <c r="D27" s="19"/>
      <c r="E27" s="41"/>
      <c r="F27" s="42"/>
      <c r="G27" s="42"/>
      <c r="H27" s="42"/>
      <c r="I27" s="32"/>
      <c r="J27" s="43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50"/>
      <c r="AB27" s="7"/>
      <c r="AC27" s="7"/>
      <c r="AD27" s="28"/>
    </row>
    <row r="28" spans="1:30" ht="20.100000000000001" customHeight="1" x14ac:dyDescent="0.25">
      <c r="A28" s="39"/>
      <c r="B28" s="40" t="s">
        <v>719</v>
      </c>
      <c r="C28" s="40" t="s">
        <v>724</v>
      </c>
      <c r="D28" s="19"/>
      <c r="E28" s="41"/>
      <c r="F28" s="42"/>
      <c r="G28" s="42"/>
      <c r="H28" s="42"/>
      <c r="I28" s="32"/>
      <c r="J28" s="43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50"/>
      <c r="AB28" s="7"/>
      <c r="AC28" s="7"/>
      <c r="AD28" s="28"/>
    </row>
    <row r="29" spans="1:30" ht="20.100000000000001" customHeight="1" x14ac:dyDescent="0.25">
      <c r="A29" s="39"/>
      <c r="B29" s="40" t="s">
        <v>720</v>
      </c>
      <c r="C29" s="40" t="s">
        <v>725</v>
      </c>
      <c r="D29" s="19"/>
      <c r="E29" s="41"/>
      <c r="F29" s="42"/>
      <c r="G29" s="42"/>
      <c r="H29" s="42"/>
      <c r="I29" s="32"/>
      <c r="J29" s="43"/>
      <c r="K29" s="42"/>
      <c r="L29" s="42"/>
      <c r="M29" s="47"/>
      <c r="N29" s="47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50"/>
      <c r="AB29" s="7"/>
      <c r="AC29" s="7"/>
      <c r="AD29" s="28"/>
    </row>
    <row r="30" spans="1:30" ht="20.100000000000001" customHeight="1" x14ac:dyDescent="0.25">
      <c r="A30" s="39"/>
      <c r="B30" s="40" t="s">
        <v>721</v>
      </c>
      <c r="C30" s="40" t="s">
        <v>726</v>
      </c>
      <c r="D30" s="19"/>
      <c r="E30" s="41"/>
      <c r="F30" s="42"/>
      <c r="G30" s="42"/>
      <c r="H30" s="42"/>
      <c r="I30" s="32"/>
      <c r="J30" s="43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50"/>
      <c r="AB30" s="7"/>
      <c r="AC30" s="7"/>
      <c r="AD30" s="28"/>
    </row>
    <row r="31" spans="1:30" ht="20.100000000000001" customHeight="1" x14ac:dyDescent="0.25">
      <c r="A31" s="39"/>
      <c r="B31" s="40" t="s">
        <v>316</v>
      </c>
      <c r="C31" s="40"/>
      <c r="D31" s="19"/>
      <c r="E31" s="41"/>
      <c r="F31" s="42"/>
      <c r="G31" s="42"/>
      <c r="H31" s="42"/>
      <c r="I31" s="32"/>
      <c r="J31" s="43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51">
        <v>12</v>
      </c>
      <c r="AB31" s="37"/>
      <c r="AC31" s="37"/>
      <c r="AD31" s="38" t="str">
        <f t="shared" si="1"/>
        <v>(*''**''*''********)*</v>
      </c>
    </row>
    <row r="32" spans="1:30" ht="20.100000000000001" customHeight="1" x14ac:dyDescent="0.25">
      <c r="A32" s="39"/>
      <c r="B32" s="40" t="s">
        <v>318</v>
      </c>
      <c r="C32" s="40"/>
      <c r="D32" s="19"/>
      <c r="E32" s="41"/>
      <c r="F32" s="42"/>
      <c r="G32" s="42"/>
      <c r="H32" s="42"/>
      <c r="I32" s="32"/>
      <c r="J32" s="43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50">
        <v>12</v>
      </c>
      <c r="AB32" s="7" t="s">
        <v>565</v>
      </c>
      <c r="AC32" s="7"/>
      <c r="AD32" s="28" t="str">
        <f t="shared" si="1"/>
        <v>(*''**''*''********)*</v>
      </c>
    </row>
    <row r="33" spans="1:30" ht="20.100000000000001" customHeight="1" x14ac:dyDescent="0.25">
      <c r="A33" s="39"/>
      <c r="B33" s="40" t="s">
        <v>321</v>
      </c>
      <c r="C33" s="40"/>
      <c r="D33" s="19"/>
      <c r="E33" s="41"/>
      <c r="F33" s="42"/>
      <c r="G33" s="42"/>
      <c r="H33" s="42"/>
      <c r="I33" s="32"/>
      <c r="J33" s="43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50">
        <v>12</v>
      </c>
      <c r="AB33" s="7" t="s">
        <v>574</v>
      </c>
      <c r="AC33" s="7"/>
      <c r="AD33" s="28" t="str">
        <f t="shared" si="1"/>
        <v>(*''**''*''********)*</v>
      </c>
    </row>
    <row r="34" spans="1:30" ht="20.100000000000001" customHeight="1" x14ac:dyDescent="0.25">
      <c r="A34" s="39"/>
      <c r="B34" s="40" t="s">
        <v>323</v>
      </c>
      <c r="C34" s="40"/>
      <c r="D34" s="19"/>
      <c r="E34" s="41"/>
      <c r="F34" s="42"/>
      <c r="G34" s="42"/>
      <c r="H34" s="42"/>
      <c r="I34" s="32"/>
      <c r="J34" s="43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50">
        <v>12</v>
      </c>
      <c r="AB34" s="7" t="s">
        <v>579</v>
      </c>
      <c r="AC34" s="7"/>
      <c r="AD34" s="28" t="str">
        <f t="shared" si="1"/>
        <v>(*''**''*''********)*</v>
      </c>
    </row>
    <row r="35" spans="1:30" ht="20.100000000000001" customHeight="1" x14ac:dyDescent="0.25">
      <c r="A35" s="39"/>
      <c r="B35" s="48" t="s">
        <v>326</v>
      </c>
      <c r="C35" s="48"/>
      <c r="D35" s="19"/>
      <c r="E35" s="41"/>
      <c r="F35" s="42"/>
      <c r="G35" s="42"/>
      <c r="H35" s="42"/>
      <c r="I35" s="32"/>
      <c r="J35" s="43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50"/>
      <c r="AB35" s="7"/>
      <c r="AC35" s="7"/>
      <c r="AD35" s="28" t="str">
        <f t="shared" si="1"/>
        <v>(*''**''*''********)*</v>
      </c>
    </row>
    <row r="36" spans="1:30" ht="20.100000000000001" customHeight="1" x14ac:dyDescent="0.25">
      <c r="A36" s="39"/>
      <c r="B36" s="40" t="s">
        <v>328</v>
      </c>
      <c r="C36" s="40"/>
      <c r="D36" s="19"/>
      <c r="E36" s="41"/>
      <c r="F36" s="42"/>
      <c r="G36" s="42"/>
      <c r="H36" s="42"/>
      <c r="I36" s="32"/>
      <c r="J36" s="43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50">
        <v>12</v>
      </c>
      <c r="AB36" s="7" t="s">
        <v>589</v>
      </c>
      <c r="AC36" s="7"/>
      <c r="AD36" s="28" t="str">
        <f t="shared" si="1"/>
        <v>(*''**''*''********)*</v>
      </c>
    </row>
    <row r="37" spans="1:30" ht="20.100000000000001" customHeight="1" x14ac:dyDescent="0.25">
      <c r="A37" s="39"/>
      <c r="B37" s="40" t="s">
        <v>331</v>
      </c>
      <c r="C37" s="40"/>
      <c r="D37" s="19"/>
      <c r="E37" s="41"/>
      <c r="F37" s="42"/>
      <c r="G37" s="42"/>
      <c r="H37" s="42"/>
      <c r="I37" s="32"/>
      <c r="J37" s="43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50">
        <v>12</v>
      </c>
      <c r="AB37" s="30" t="s">
        <v>594</v>
      </c>
      <c r="AC37" s="30"/>
      <c r="AD37" s="28" t="str">
        <f t="shared" si="1"/>
        <v>(*''**''*''********)*</v>
      </c>
    </row>
    <row r="38" spans="1:30" ht="20.100000000000001" customHeight="1" x14ac:dyDescent="0.25">
      <c r="A38" s="39"/>
      <c r="B38" s="40" t="s">
        <v>333</v>
      </c>
      <c r="C38" s="40"/>
      <c r="D38" s="19"/>
      <c r="E38" s="41"/>
      <c r="F38" s="42"/>
      <c r="G38" s="42"/>
      <c r="H38" s="42"/>
      <c r="I38" s="32"/>
      <c r="J38" s="43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50">
        <v>12</v>
      </c>
      <c r="AB38" s="30" t="s">
        <v>594</v>
      </c>
      <c r="AC38" s="30"/>
      <c r="AD38" s="28" t="str">
        <f t="shared" si="1"/>
        <v>(*''**''*''********)*</v>
      </c>
    </row>
    <row r="39" spans="1:30" ht="20.100000000000001" customHeight="1" x14ac:dyDescent="0.25">
      <c r="A39" s="39"/>
      <c r="B39" s="40" t="s">
        <v>336</v>
      </c>
      <c r="C39" s="40"/>
      <c r="D39" s="19"/>
      <c r="E39" s="41"/>
      <c r="F39" s="42"/>
      <c r="G39" s="42"/>
      <c r="H39" s="42"/>
      <c r="I39" s="32"/>
      <c r="J39" s="43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50">
        <v>12</v>
      </c>
      <c r="AB39" s="7" t="s">
        <v>598</v>
      </c>
      <c r="AC39" s="7"/>
      <c r="AD39" s="28" t="str">
        <f t="shared" si="1"/>
        <v>(*''**''*''********)*</v>
      </c>
    </row>
    <row r="40" spans="1:30" ht="20.100000000000001" customHeight="1" x14ac:dyDescent="0.25">
      <c r="A40" s="39"/>
      <c r="B40" s="40" t="s">
        <v>339</v>
      </c>
      <c r="C40" s="40"/>
      <c r="D40" s="19"/>
      <c r="E40" s="41"/>
      <c r="F40" s="42"/>
      <c r="G40" s="42"/>
      <c r="H40" s="42"/>
      <c r="I40" s="32"/>
      <c r="J40" s="43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50">
        <v>12</v>
      </c>
      <c r="AB40" s="7"/>
      <c r="AC40" s="7"/>
      <c r="AD40" s="28" t="str">
        <f t="shared" si="1"/>
        <v>(*''**''*''********)*</v>
      </c>
    </row>
    <row r="41" spans="1:30" ht="20.100000000000001" customHeight="1" x14ac:dyDescent="0.25">
      <c r="A41" s="39"/>
      <c r="B41" s="40" t="s">
        <v>341</v>
      </c>
      <c r="C41" s="40"/>
      <c r="D41" s="19"/>
      <c r="E41" s="41"/>
      <c r="F41" s="42"/>
      <c r="G41" s="42"/>
      <c r="H41" s="42"/>
      <c r="I41" s="32"/>
      <c r="J41" s="43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50">
        <v>12</v>
      </c>
      <c r="AB41" s="7"/>
      <c r="AC41" s="7"/>
      <c r="AD41" s="28" t="str">
        <f t="shared" si="1"/>
        <v>(*''**''*''********)*</v>
      </c>
    </row>
    <row r="42" spans="1:30" ht="20.100000000000001" customHeight="1" x14ac:dyDescent="0.25">
      <c r="A42" s="39"/>
      <c r="B42" s="40" t="s">
        <v>343</v>
      </c>
      <c r="C42" s="40"/>
      <c r="D42" s="19"/>
      <c r="E42" s="41"/>
      <c r="F42" s="42"/>
      <c r="G42" s="42"/>
      <c r="H42" s="42"/>
      <c r="I42" s="32"/>
      <c r="J42" s="43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50">
        <v>12</v>
      </c>
      <c r="AB42" s="7" t="s">
        <v>602</v>
      </c>
      <c r="AC42" s="7"/>
      <c r="AD42" s="28" t="str">
        <f t="shared" si="1"/>
        <v>(*''**''*''********)*</v>
      </c>
    </row>
    <row r="43" spans="1:30" ht="20.100000000000001" customHeight="1" x14ac:dyDescent="0.25">
      <c r="A43" s="39"/>
      <c r="B43" s="40" t="s">
        <v>345</v>
      </c>
      <c r="C43" s="40"/>
      <c r="D43" s="19"/>
      <c r="E43" s="41"/>
      <c r="F43" s="42"/>
      <c r="G43" s="42"/>
      <c r="H43" s="42"/>
      <c r="I43" s="32"/>
      <c r="J43" s="43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50">
        <v>12</v>
      </c>
      <c r="AB43" s="30" t="s">
        <v>604</v>
      </c>
      <c r="AC43" s="30"/>
      <c r="AD43" s="28" t="str">
        <f t="shared" si="1"/>
        <v>(*''**''*''********)*</v>
      </c>
    </row>
    <row r="44" spans="1:30" ht="20.100000000000001" customHeight="1" x14ac:dyDescent="0.25">
      <c r="A44" s="39"/>
      <c r="B44" s="40" t="s">
        <v>348</v>
      </c>
      <c r="C44" s="40"/>
      <c r="D44" s="19"/>
      <c r="E44" s="41"/>
      <c r="F44" s="42"/>
      <c r="G44" s="42"/>
      <c r="H44" s="42"/>
      <c r="I44" s="32"/>
      <c r="J44" s="43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50">
        <v>12</v>
      </c>
      <c r="AB44" s="7" t="s">
        <v>606</v>
      </c>
      <c r="AC44" s="7"/>
      <c r="AD44" s="28" t="str">
        <f t="shared" si="1"/>
        <v>(*''**''*''********)*</v>
      </c>
    </row>
    <row r="45" spans="1:30" ht="20.100000000000001" customHeight="1" x14ac:dyDescent="0.25">
      <c r="A45" s="39"/>
      <c r="B45" s="40" t="s">
        <v>351</v>
      </c>
      <c r="C45" s="40"/>
      <c r="D45" s="19"/>
      <c r="E45" s="41"/>
      <c r="F45" s="42"/>
      <c r="G45" s="42"/>
      <c r="H45" s="42"/>
      <c r="I45" s="32"/>
      <c r="J45" s="43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50">
        <v>12</v>
      </c>
      <c r="AB45" s="7" t="s">
        <v>609</v>
      </c>
      <c r="AC45" s="7"/>
      <c r="AD45" s="28" t="str">
        <f t="shared" si="1"/>
        <v>(*''**''*''********)*</v>
      </c>
    </row>
    <row r="46" spans="1:30" ht="20.100000000000001" customHeight="1" x14ac:dyDescent="0.25">
      <c r="A46" s="39"/>
      <c r="B46" s="40" t="s">
        <v>610</v>
      </c>
      <c r="C46" s="40"/>
      <c r="D46" s="19"/>
      <c r="E46" s="41"/>
      <c r="F46" s="42"/>
      <c r="G46" s="42"/>
      <c r="H46" s="42"/>
      <c r="I46" s="32"/>
      <c r="J46" s="43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50">
        <v>12</v>
      </c>
      <c r="AB46" s="7"/>
      <c r="AC46" s="7"/>
      <c r="AD46" s="28" t="str">
        <f t="shared" si="1"/>
        <v>(*''**''*''********)*</v>
      </c>
    </row>
    <row r="47" spans="1:30" ht="20.100000000000001" customHeight="1" x14ac:dyDescent="0.25">
      <c r="A47" s="39"/>
      <c r="B47" s="40" t="s">
        <v>356</v>
      </c>
      <c r="C47" s="40"/>
      <c r="D47" s="19"/>
      <c r="E47" s="41"/>
      <c r="F47" s="42"/>
      <c r="G47" s="42"/>
      <c r="H47" s="42"/>
      <c r="I47" s="32"/>
      <c r="J47" s="43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50">
        <v>12</v>
      </c>
      <c r="AB47" s="7" t="s">
        <v>613</v>
      </c>
      <c r="AC47" s="7"/>
      <c r="AD47" s="28" t="str">
        <f t="shared" si="1"/>
        <v>(*''**''*''********)*</v>
      </c>
    </row>
    <row r="48" spans="1:30" ht="20.100000000000001" customHeight="1" x14ac:dyDescent="0.25">
      <c r="A48" s="39"/>
      <c r="B48" s="40" t="s">
        <v>359</v>
      </c>
      <c r="C48" s="40"/>
      <c r="D48" s="19"/>
      <c r="E48" s="41"/>
      <c r="F48" s="42"/>
      <c r="G48" s="42"/>
      <c r="H48" s="42"/>
      <c r="I48" s="32"/>
      <c r="J48" s="43"/>
      <c r="K48" s="45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50">
        <v>12</v>
      </c>
      <c r="AB48" s="7" t="s">
        <v>616</v>
      </c>
      <c r="AC48" s="7"/>
      <c r="AD48" s="28" t="str">
        <f t="shared" si="1"/>
        <v>(*''**''*''********)*</v>
      </c>
    </row>
    <row r="49" spans="1:30" ht="20.100000000000001" customHeight="1" x14ac:dyDescent="0.25">
      <c r="A49" s="39"/>
      <c r="B49" s="40" t="s">
        <v>362</v>
      </c>
      <c r="C49" s="40"/>
      <c r="D49" s="19"/>
      <c r="E49" s="41"/>
      <c r="F49" s="42"/>
      <c r="G49" s="42"/>
      <c r="H49" s="42"/>
      <c r="I49" s="32"/>
      <c r="J49" s="43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50">
        <v>12</v>
      </c>
      <c r="AB49" s="7" t="s">
        <v>620</v>
      </c>
      <c r="AC49" s="7"/>
      <c r="AD49" s="28" t="str">
        <f t="shared" si="1"/>
        <v>(*''**''*''********)*</v>
      </c>
    </row>
    <row r="50" spans="1:30" ht="20.100000000000001" customHeight="1" x14ac:dyDescent="0.25">
      <c r="A50" s="39"/>
      <c r="B50" s="40" t="s">
        <v>621</v>
      </c>
      <c r="C50" s="40"/>
      <c r="D50" s="19"/>
      <c r="E50" s="41"/>
      <c r="F50" s="42"/>
      <c r="G50" s="42"/>
      <c r="H50" s="42"/>
      <c r="I50" s="32"/>
      <c r="J50" s="43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50">
        <v>12</v>
      </c>
      <c r="AB50" s="7"/>
      <c r="AC50" s="7"/>
      <c r="AD50" s="28" t="str">
        <f t="shared" si="1"/>
        <v>(*''**''*''********)*</v>
      </c>
    </row>
    <row r="51" spans="1:30" ht="20.100000000000001" customHeight="1" x14ac:dyDescent="0.25">
      <c r="A51" s="39"/>
      <c r="B51" s="40" t="s">
        <v>365</v>
      </c>
      <c r="C51" s="40"/>
      <c r="D51" s="19"/>
      <c r="E51" s="41"/>
      <c r="F51" s="42"/>
      <c r="G51" s="42"/>
      <c r="H51" s="42"/>
      <c r="I51" s="32"/>
      <c r="J51" s="43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50">
        <v>12</v>
      </c>
      <c r="AB51" s="7" t="s">
        <v>626</v>
      </c>
      <c r="AC51" s="7"/>
      <c r="AD51" s="28" t="str">
        <f t="shared" si="1"/>
        <v>(*''**''*''********)*</v>
      </c>
    </row>
    <row r="52" spans="1:30" ht="20.100000000000001" customHeight="1" x14ac:dyDescent="0.25">
      <c r="A52" s="39"/>
      <c r="B52" s="40" t="s">
        <v>368</v>
      </c>
      <c r="C52" s="40"/>
      <c r="D52" s="19"/>
      <c r="E52" s="41"/>
      <c r="F52" s="42"/>
      <c r="G52" s="42"/>
      <c r="H52" s="42"/>
      <c r="I52" s="32"/>
      <c r="J52" s="43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50">
        <v>12</v>
      </c>
      <c r="AB52" s="7" t="s">
        <v>629</v>
      </c>
      <c r="AC52" s="7"/>
      <c r="AD52" s="28" t="str">
        <f t="shared" si="1"/>
        <v>(*''**''*''********)*</v>
      </c>
    </row>
    <row r="53" spans="1:30" ht="20.100000000000001" customHeight="1" x14ac:dyDescent="0.25">
      <c r="A53" s="39"/>
      <c r="B53" s="40" t="s">
        <v>371</v>
      </c>
      <c r="C53" s="40"/>
      <c r="D53" s="19"/>
      <c r="E53" s="41"/>
      <c r="F53" s="42"/>
      <c r="G53" s="42"/>
      <c r="H53" s="42"/>
      <c r="I53" s="32"/>
      <c r="J53" s="43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50">
        <v>16</v>
      </c>
      <c r="AB53" s="7" t="s">
        <v>634</v>
      </c>
      <c r="AC53" s="7"/>
      <c r="AD53" s="28" t="str">
        <f t="shared" si="1"/>
        <v>(*''**''*''********)*</v>
      </c>
    </row>
    <row r="54" spans="1:30" ht="20.100000000000001" customHeight="1" x14ac:dyDescent="0.25">
      <c r="A54" s="39"/>
      <c r="B54" s="40" t="s">
        <v>373</v>
      </c>
      <c r="C54" s="40"/>
      <c r="D54" s="19"/>
      <c r="E54" s="41"/>
      <c r="F54" s="42"/>
      <c r="G54" s="42"/>
      <c r="H54" s="42"/>
      <c r="I54" s="32"/>
      <c r="J54" s="43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50">
        <v>16</v>
      </c>
      <c r="AB54" s="7"/>
      <c r="AC54" s="7"/>
      <c r="AD54" s="28" t="str">
        <f t="shared" si="1"/>
        <v>(*''**''*''********)*</v>
      </c>
    </row>
    <row r="55" spans="1:30" ht="20.100000000000001" customHeight="1" x14ac:dyDescent="0.25">
      <c r="A55" s="39"/>
      <c r="B55" s="40" t="s">
        <v>376</v>
      </c>
      <c r="C55" s="40"/>
      <c r="D55" s="19"/>
      <c r="E55" s="41"/>
      <c r="F55" s="42"/>
      <c r="G55" s="42"/>
      <c r="H55" s="42"/>
      <c r="I55" s="32"/>
      <c r="J55" s="43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50">
        <v>16</v>
      </c>
      <c r="AB55" s="7" t="s">
        <v>638</v>
      </c>
      <c r="AC55" s="7"/>
      <c r="AD55" s="28" t="str">
        <f t="shared" si="1"/>
        <v>(*''**''*''********)*</v>
      </c>
    </row>
    <row r="56" spans="1:30" ht="20.100000000000001" customHeight="1" x14ac:dyDescent="0.25">
      <c r="A56" s="39"/>
      <c r="B56" s="40" t="s">
        <v>379</v>
      </c>
      <c r="C56" s="40"/>
      <c r="D56" s="19"/>
      <c r="E56" s="41"/>
      <c r="F56" s="42"/>
      <c r="G56" s="42"/>
      <c r="H56" s="42"/>
      <c r="I56" s="32"/>
      <c r="J56" s="43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50">
        <v>16</v>
      </c>
      <c r="AB56" s="7" t="s">
        <v>639</v>
      </c>
      <c r="AC56" s="7"/>
      <c r="AD56" s="28" t="str">
        <f t="shared" si="1"/>
        <v>(*''**''*''********)*</v>
      </c>
    </row>
    <row r="57" spans="1:30" ht="20.100000000000001" customHeight="1" x14ac:dyDescent="0.25">
      <c r="A57" s="39"/>
      <c r="B57" s="40" t="s">
        <v>381</v>
      </c>
      <c r="C57" s="40"/>
      <c r="D57" s="19"/>
      <c r="E57" s="41"/>
      <c r="F57" s="42"/>
      <c r="G57" s="42"/>
      <c r="H57" s="42"/>
      <c r="I57" s="32"/>
      <c r="J57" s="43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50"/>
      <c r="AB57" s="7"/>
      <c r="AC57" s="7"/>
      <c r="AD57" s="28" t="str">
        <f t="shared" si="1"/>
        <v>(*''**''*''********)*</v>
      </c>
    </row>
    <row r="58" spans="1:30" ht="20.100000000000001" customHeight="1" x14ac:dyDescent="0.25">
      <c r="A58" s="39"/>
      <c r="B58" s="40" t="s">
        <v>383</v>
      </c>
      <c r="C58" s="40"/>
      <c r="D58" s="19"/>
      <c r="E58" s="41"/>
      <c r="F58" s="42"/>
      <c r="G58" s="42"/>
      <c r="H58" s="42"/>
      <c r="I58" s="32"/>
      <c r="J58" s="43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50">
        <v>16</v>
      </c>
      <c r="AB58" s="7" t="s">
        <v>643</v>
      </c>
      <c r="AC58" s="7"/>
      <c r="AD58" s="28" t="str">
        <f t="shared" si="1"/>
        <v>(*''**''*''********)*</v>
      </c>
    </row>
    <row r="59" spans="1:30" ht="20.100000000000001" customHeight="1" x14ac:dyDescent="0.25">
      <c r="A59" s="39"/>
      <c r="B59" s="40" t="s">
        <v>386</v>
      </c>
      <c r="C59" s="40"/>
      <c r="D59" s="19"/>
      <c r="E59" s="41"/>
      <c r="F59" s="42"/>
      <c r="G59" s="42"/>
      <c r="H59" s="42"/>
      <c r="I59" s="32"/>
      <c r="J59" s="43"/>
      <c r="K59" s="3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50"/>
      <c r="AB59" s="7"/>
      <c r="AC59" s="7"/>
      <c r="AD59" s="28" t="str">
        <f t="shared" si="1"/>
        <v>(*''**''*''********)*</v>
      </c>
    </row>
    <row r="60" spans="1:30" ht="20.100000000000001" customHeight="1" x14ac:dyDescent="0.25">
      <c r="A60" s="39"/>
      <c r="B60" s="40" t="s">
        <v>389</v>
      </c>
      <c r="C60" s="40"/>
      <c r="D60" s="19"/>
      <c r="E60" s="41"/>
      <c r="F60" s="42"/>
      <c r="G60" s="42"/>
      <c r="H60" s="42"/>
      <c r="I60" s="32"/>
      <c r="J60" s="43"/>
      <c r="K60" s="3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50"/>
      <c r="AB60" s="7"/>
      <c r="AC60" s="7"/>
      <c r="AD60" s="28" t="str">
        <f t="shared" si="1"/>
        <v>(*''**''*''********)*</v>
      </c>
    </row>
    <row r="61" spans="1:30" ht="20.100000000000001" customHeight="1" x14ac:dyDescent="0.25">
      <c r="A61" s="39"/>
      <c r="B61" s="40" t="s">
        <v>391</v>
      </c>
      <c r="C61" s="40"/>
      <c r="D61" s="19"/>
      <c r="E61" s="41"/>
      <c r="F61" s="42"/>
      <c r="G61" s="42"/>
      <c r="H61" s="42"/>
      <c r="I61" s="32"/>
      <c r="J61" s="43"/>
      <c r="K61" s="3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50">
        <v>16</v>
      </c>
      <c r="AB61" s="7" t="s">
        <v>647</v>
      </c>
      <c r="AC61" s="7"/>
      <c r="AD61" s="28" t="str">
        <f t="shared" si="1"/>
        <v>(*''**''*''********)*</v>
      </c>
    </row>
    <row r="62" spans="1:30" ht="20.100000000000001" customHeight="1" x14ac:dyDescent="0.25">
      <c r="A62" s="39"/>
      <c r="B62" s="40" t="s">
        <v>394</v>
      </c>
      <c r="C62" s="40"/>
      <c r="D62" s="19"/>
      <c r="E62" s="41"/>
      <c r="F62" s="42"/>
      <c r="G62" s="42"/>
      <c r="H62" s="42"/>
      <c r="I62" s="32"/>
      <c r="J62" s="43"/>
      <c r="K62" s="3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50"/>
      <c r="AB62" s="7" t="s">
        <v>650</v>
      </c>
      <c r="AC62" s="7"/>
      <c r="AD62" s="28" t="str">
        <f t="shared" si="1"/>
        <v>(*''**''*''********)*</v>
      </c>
    </row>
    <row r="63" spans="1:30" ht="20.100000000000001" customHeight="1" x14ac:dyDescent="0.25">
      <c r="A63" s="39"/>
      <c r="B63" s="40" t="s">
        <v>396</v>
      </c>
      <c r="C63" s="40"/>
      <c r="D63" s="19"/>
      <c r="E63" s="41"/>
      <c r="F63" s="42"/>
      <c r="G63" s="42"/>
      <c r="H63" s="42"/>
      <c r="I63" s="32"/>
      <c r="J63" s="43"/>
      <c r="K63" s="3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50"/>
      <c r="AB63" s="7"/>
      <c r="AC63" s="7"/>
      <c r="AD63" s="28" t="str">
        <f t="shared" si="1"/>
        <v>(*''**''*''********)*</v>
      </c>
    </row>
    <row r="64" spans="1:30" ht="20.100000000000001" customHeight="1" x14ac:dyDescent="0.25">
      <c r="A64" s="39"/>
      <c r="B64" s="40" t="s">
        <v>398</v>
      </c>
      <c r="C64" s="40"/>
      <c r="D64" s="19"/>
      <c r="E64" s="41"/>
      <c r="F64" s="42"/>
      <c r="G64" s="42"/>
      <c r="H64" s="42"/>
      <c r="I64" s="32"/>
      <c r="J64" s="43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50">
        <v>16</v>
      </c>
      <c r="AB64" s="7" t="s">
        <v>655</v>
      </c>
      <c r="AC64" s="7"/>
      <c r="AD64" s="28" t="str">
        <f t="shared" si="1"/>
        <v>(*''**''*''********)*</v>
      </c>
    </row>
    <row r="65" spans="1:30" ht="20.100000000000001" customHeight="1" x14ac:dyDescent="0.25">
      <c r="A65" s="39"/>
      <c r="B65" s="40" t="s">
        <v>402</v>
      </c>
      <c r="C65" s="40"/>
      <c r="D65" s="19"/>
      <c r="E65" s="41"/>
      <c r="F65" s="42"/>
      <c r="G65" s="42"/>
      <c r="H65" s="42"/>
      <c r="I65" s="32"/>
      <c r="J65" s="43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50">
        <v>16</v>
      </c>
      <c r="AB65" s="7" t="s">
        <v>657</v>
      </c>
      <c r="AC65" s="7"/>
      <c r="AD65" s="28" t="str">
        <f t="shared" si="1"/>
        <v>(*''**''*''********)*</v>
      </c>
    </row>
    <row r="66" spans="1:30" ht="20.100000000000001" customHeight="1" x14ac:dyDescent="0.25">
      <c r="A66" s="39"/>
      <c r="B66" s="40" t="s">
        <v>406</v>
      </c>
      <c r="C66" s="40"/>
      <c r="D66" s="19"/>
      <c r="E66" s="41"/>
      <c r="F66" s="42"/>
      <c r="G66" s="42"/>
      <c r="H66" s="42"/>
      <c r="I66" s="32"/>
      <c r="J66" s="43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26"/>
      <c r="AB66" s="7"/>
      <c r="AC66" s="7"/>
      <c r="AD66" s="28" t="str">
        <f t="shared" si="1"/>
        <v>(*''**''*''********)*</v>
      </c>
    </row>
    <row r="67" spans="1:30" ht="20.100000000000001" customHeight="1" x14ac:dyDescent="0.25">
      <c r="A67" s="39"/>
      <c r="B67" s="40" t="s">
        <v>409</v>
      </c>
      <c r="C67" s="40"/>
      <c r="D67" s="19"/>
      <c r="E67" s="41"/>
      <c r="F67" s="42"/>
      <c r="G67" s="42"/>
      <c r="H67" s="42"/>
      <c r="I67" s="32"/>
      <c r="J67" s="43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50"/>
      <c r="AB67" s="7"/>
      <c r="AC67" s="7"/>
      <c r="AD67" s="28" t="str">
        <f t="shared" si="1"/>
        <v>(*''**''*''********)*</v>
      </c>
    </row>
    <row r="68" spans="1:30" ht="20.100000000000001" customHeight="1" x14ac:dyDescent="0.25">
      <c r="A68" s="39"/>
      <c r="B68" s="40" t="s">
        <v>411</v>
      </c>
      <c r="C68" s="40"/>
      <c r="D68" s="19"/>
      <c r="E68" s="41"/>
      <c r="F68" s="42"/>
      <c r="G68" s="42"/>
      <c r="H68" s="42"/>
      <c r="I68" s="32"/>
      <c r="J68" s="43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50">
        <v>16</v>
      </c>
      <c r="AB68" s="7" t="s">
        <v>664</v>
      </c>
      <c r="AC68" s="7"/>
      <c r="AD68" s="28" t="str">
        <f t="shared" si="1"/>
        <v>(*''**''*''********)*</v>
      </c>
    </row>
    <row r="69" spans="1:30" ht="20.100000000000001" customHeight="1" x14ac:dyDescent="0.25">
      <c r="A69" s="39"/>
      <c r="B69" s="40" t="s">
        <v>414</v>
      </c>
      <c r="C69" s="40"/>
      <c r="D69" s="19"/>
      <c r="E69" s="41"/>
      <c r="F69" s="42"/>
      <c r="G69" s="42"/>
      <c r="H69" s="42"/>
      <c r="I69" s="32"/>
      <c r="J69" s="43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50">
        <v>16</v>
      </c>
      <c r="AB69" s="7"/>
      <c r="AC69" s="7"/>
      <c r="AD69" s="28" t="str">
        <f t="shared" si="1"/>
        <v>(*''**''*''********)*</v>
      </c>
    </row>
    <row r="70" spans="1:30" ht="20.100000000000001" customHeight="1" x14ac:dyDescent="0.25">
      <c r="A70" s="39"/>
      <c r="B70" s="40" t="s">
        <v>417</v>
      </c>
      <c r="C70" s="40"/>
      <c r="D70" s="19"/>
      <c r="E70" s="41"/>
      <c r="F70" s="42"/>
      <c r="G70" s="42"/>
      <c r="H70" s="42"/>
      <c r="I70" s="32"/>
      <c r="J70" s="43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50"/>
      <c r="AB70" s="7"/>
      <c r="AC70" s="7"/>
      <c r="AD70" s="28" t="str">
        <f t="shared" si="1"/>
        <v>(*''**''*''********)*</v>
      </c>
    </row>
    <row r="71" spans="1:30" ht="20.100000000000001" customHeight="1" x14ac:dyDescent="0.25">
      <c r="A71" s="39"/>
      <c r="B71" s="40" t="s">
        <v>419</v>
      </c>
      <c r="C71" s="40"/>
      <c r="D71" s="19"/>
      <c r="E71" s="41"/>
      <c r="F71" s="42"/>
      <c r="G71" s="42"/>
      <c r="H71" s="42"/>
      <c r="I71" s="32"/>
      <c r="J71" s="43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50">
        <v>16</v>
      </c>
      <c r="AB71" s="7" t="s">
        <v>672</v>
      </c>
      <c r="AC71" s="7"/>
      <c r="AD71" s="28" t="str">
        <f t="shared" si="1"/>
        <v>(*''**''*''********)*</v>
      </c>
    </row>
    <row r="72" spans="1:30" ht="20.100000000000001" customHeight="1" x14ac:dyDescent="0.25">
      <c r="A72" s="39"/>
      <c r="B72" s="40" t="s">
        <v>422</v>
      </c>
      <c r="C72" s="40"/>
      <c r="D72" s="19"/>
      <c r="E72" s="41"/>
      <c r="F72" s="42"/>
      <c r="G72" s="42"/>
      <c r="H72" s="42"/>
      <c r="I72" s="32"/>
      <c r="J72" s="43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50">
        <v>16</v>
      </c>
      <c r="AB72" s="7" t="s">
        <v>674</v>
      </c>
      <c r="AC72" s="7"/>
      <c r="AD72" s="28" t="str">
        <f t="shared" si="1"/>
        <v>(*''**''*''********)*</v>
      </c>
    </row>
    <row r="73" spans="1:30" ht="20.100000000000001" customHeight="1" x14ac:dyDescent="0.25">
      <c r="A73" s="39"/>
      <c r="B73" s="40" t="s">
        <v>425</v>
      </c>
      <c r="C73" s="40"/>
      <c r="D73" s="19"/>
      <c r="E73" s="41"/>
      <c r="F73" s="42"/>
      <c r="G73" s="42"/>
      <c r="H73" s="42"/>
      <c r="I73" s="32"/>
      <c r="J73" s="43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50"/>
      <c r="AB73" s="7"/>
      <c r="AC73" s="7"/>
      <c r="AD73" s="28" t="str">
        <f t="shared" si="1"/>
        <v>(*''**''*''********)*</v>
      </c>
    </row>
    <row r="74" spans="1:30" ht="20.100000000000001" customHeight="1" x14ac:dyDescent="0.25">
      <c r="A74" s="39"/>
      <c r="B74" s="40" t="s">
        <v>427</v>
      </c>
      <c r="C74" s="40"/>
      <c r="D74" s="19"/>
      <c r="E74" s="41"/>
      <c r="F74" s="42"/>
      <c r="G74" s="42"/>
      <c r="H74" s="42"/>
      <c r="I74" s="32"/>
      <c r="J74" s="43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50">
        <v>16</v>
      </c>
      <c r="AB74" s="7" t="s">
        <v>650</v>
      </c>
      <c r="AC74" s="7"/>
      <c r="AD74" s="28" t="str">
        <f t="shared" si="1"/>
        <v>(*''**''*''********)*</v>
      </c>
    </row>
    <row r="75" spans="1:30" ht="20.100000000000001" customHeight="1" x14ac:dyDescent="0.25">
      <c r="A75" s="39"/>
      <c r="B75" s="40" t="s">
        <v>429</v>
      </c>
      <c r="C75" s="40"/>
      <c r="D75" s="19"/>
      <c r="E75" s="41"/>
      <c r="F75" s="42"/>
      <c r="G75" s="42"/>
      <c r="H75" s="42"/>
      <c r="I75" s="32"/>
      <c r="J75" s="43"/>
      <c r="K75" s="45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50">
        <v>16</v>
      </c>
      <c r="AB75" s="7" t="s">
        <v>681</v>
      </c>
      <c r="AC75" s="7"/>
      <c r="AD75" s="28" t="str">
        <f t="shared" si="1"/>
        <v>(*''**''*''********)*</v>
      </c>
    </row>
    <row r="76" spans="1:30" ht="20.100000000000001" customHeight="1" x14ac:dyDescent="0.25">
      <c r="A76" s="39"/>
      <c r="B76" s="40" t="s">
        <v>432</v>
      </c>
      <c r="C76" s="40"/>
      <c r="D76" s="19"/>
      <c r="E76" s="41"/>
      <c r="F76" s="42"/>
      <c r="G76" s="42"/>
      <c r="H76" s="42"/>
      <c r="I76" s="32"/>
      <c r="J76" s="43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50">
        <v>16</v>
      </c>
      <c r="AB76" s="7" t="s">
        <v>650</v>
      </c>
      <c r="AC76" s="7"/>
      <c r="AD76" s="28" t="str">
        <f t="shared" si="1"/>
        <v>(*''**''*''********)*</v>
      </c>
    </row>
    <row r="77" spans="1:30" ht="20.100000000000001" customHeight="1" x14ac:dyDescent="0.25">
      <c r="A77" s="39"/>
      <c r="B77" s="40" t="s">
        <v>435</v>
      </c>
      <c r="C77" s="40"/>
      <c r="D77" s="19"/>
      <c r="E77" s="41"/>
      <c r="F77" s="42"/>
      <c r="G77" s="42"/>
      <c r="H77" s="42"/>
      <c r="I77" s="32"/>
      <c r="J77" s="43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50"/>
      <c r="AB77" s="7"/>
      <c r="AC77" s="7"/>
      <c r="AD77" s="28" t="str">
        <f t="shared" si="1"/>
        <v>(*''**''*''********)*</v>
      </c>
    </row>
    <row r="78" spans="1:30" ht="20.100000000000001" customHeight="1" x14ac:dyDescent="0.25">
      <c r="A78" s="39"/>
      <c r="B78" s="40" t="s">
        <v>438</v>
      </c>
      <c r="C78" s="40"/>
      <c r="D78" s="19"/>
      <c r="E78" s="41"/>
      <c r="F78" s="42"/>
      <c r="G78" s="42"/>
      <c r="H78" s="42"/>
      <c r="I78" s="32"/>
      <c r="J78" s="43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50">
        <v>16</v>
      </c>
      <c r="AB78" s="7" t="s">
        <v>613</v>
      </c>
      <c r="AC78" s="7"/>
      <c r="AD78" s="28" t="str">
        <f t="shared" si="1"/>
        <v>(*''**''*''********)*</v>
      </c>
    </row>
    <row r="79" spans="1:30" ht="20.100000000000001" customHeight="1" x14ac:dyDescent="0.25">
      <c r="A79" s="39"/>
      <c r="B79" s="40" t="s">
        <v>440</v>
      </c>
      <c r="C79" s="40"/>
      <c r="D79" s="19"/>
      <c r="E79" s="41"/>
      <c r="F79" s="42"/>
      <c r="G79" s="42"/>
      <c r="H79" s="42"/>
      <c r="I79" s="32"/>
      <c r="J79" s="43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50">
        <v>16</v>
      </c>
      <c r="AB79" s="7" t="s">
        <v>629</v>
      </c>
      <c r="AC79" s="7"/>
      <c r="AD79" s="28" t="str">
        <f t="shared" si="1"/>
        <v>(*''**''*''********)*</v>
      </c>
    </row>
    <row r="80" spans="1:30" ht="20.100000000000001" customHeight="1" x14ac:dyDescent="0.25">
      <c r="A80" s="39"/>
      <c r="B80" s="40" t="s">
        <v>443</v>
      </c>
      <c r="C80" s="40"/>
      <c r="D80" s="19"/>
      <c r="E80" s="41"/>
      <c r="F80" s="42"/>
      <c r="G80" s="42"/>
      <c r="H80" s="42"/>
      <c r="I80" s="32"/>
      <c r="J80" s="43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50">
        <v>16</v>
      </c>
      <c r="AB80" s="7" t="s">
        <v>616</v>
      </c>
      <c r="AC80" s="7"/>
      <c r="AD80" s="28" t="str">
        <f t="shared" si="1"/>
        <v>(*''**''*''********)*</v>
      </c>
    </row>
    <row r="81" spans="1:30" ht="20.100000000000001" customHeight="1" x14ac:dyDescent="0.25">
      <c r="A81" s="39"/>
      <c r="B81" s="40" t="s">
        <v>445</v>
      </c>
      <c r="C81" s="40"/>
      <c r="D81" s="19"/>
      <c r="E81" s="41"/>
      <c r="F81" s="42"/>
      <c r="G81" s="42"/>
      <c r="H81" s="42"/>
      <c r="I81" s="32"/>
      <c r="J81" s="43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50">
        <v>16</v>
      </c>
      <c r="AB81" s="7" t="s">
        <v>691</v>
      </c>
      <c r="AC81" s="7"/>
      <c r="AD81" s="28" t="str">
        <f t="shared" si="1"/>
        <v>(*''**''*''********)*</v>
      </c>
    </row>
    <row r="82" spans="1:30" ht="20.100000000000001" customHeight="1" x14ac:dyDescent="0.25">
      <c r="A82" s="39"/>
      <c r="B82" s="40" t="s">
        <v>448</v>
      </c>
      <c r="C82" s="40"/>
      <c r="D82" s="19"/>
      <c r="E82" s="41"/>
      <c r="F82" s="42"/>
      <c r="G82" s="42"/>
      <c r="H82" s="42"/>
      <c r="I82" s="32"/>
      <c r="J82" s="43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50">
        <v>16</v>
      </c>
      <c r="AB82" s="7" t="s">
        <v>693</v>
      </c>
      <c r="AC82" s="7"/>
      <c r="AD82" s="28" t="str">
        <f t="shared" si="1"/>
        <v>(*''**''*''********)*</v>
      </c>
    </row>
  </sheetData>
  <autoFilter ref="A1:Z8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836"/>
  <sheetViews>
    <sheetView zoomScaleNormal="100" workbookViewId="0">
      <pane ySplit="2" topLeftCell="A333" activePane="bottomLeft" state="frozen"/>
      <selection activeCell="A2" sqref="A2"/>
      <selection pane="bottomLeft" activeCell="G347" sqref="G347"/>
    </sheetView>
  </sheetViews>
  <sheetFormatPr baseColWidth="10" defaultColWidth="10.85546875" defaultRowHeight="15.75" x14ac:dyDescent="0.25"/>
  <cols>
    <col min="1" max="1" width="6.85546875" style="2" bestFit="1" customWidth="1"/>
    <col min="2" max="2" width="15" style="2" bestFit="1" customWidth="1"/>
    <col min="3" max="3" width="33.85546875" style="2" bestFit="1" customWidth="1"/>
    <col min="4" max="5" width="15.5703125" style="2" customWidth="1"/>
    <col min="6" max="6" width="17.28515625" style="2" customWidth="1"/>
    <col min="7" max="8" width="15.5703125" style="2" customWidth="1"/>
    <col min="9" max="9" width="6.5703125" style="2" customWidth="1"/>
    <col min="10" max="10" width="15.5703125" style="2" customWidth="1"/>
    <col min="11" max="12" width="10.5703125" style="2" customWidth="1"/>
    <col min="13" max="13" width="27.42578125" style="2" bestFit="1" customWidth="1"/>
    <col min="14" max="14" width="50.5703125" style="2" customWidth="1"/>
    <col min="15" max="16384" width="10.85546875" style="2"/>
  </cols>
  <sheetData>
    <row r="1" spans="1:1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696</v>
      </c>
      <c r="J1" s="1"/>
      <c r="K1" s="1"/>
      <c r="L1" s="1"/>
      <c r="M1" s="1"/>
      <c r="N1" s="1" t="s">
        <v>8</v>
      </c>
    </row>
    <row r="2" spans="1:14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1"/>
      <c r="K2" s="1"/>
      <c r="L2" s="1"/>
      <c r="M2" s="1"/>
      <c r="N2" s="1" t="s">
        <v>17</v>
      </c>
    </row>
    <row r="3" spans="1:14" ht="20.100000000000001" customHeight="1" x14ac:dyDescent="0.25">
      <c r="A3" s="39">
        <v>1</v>
      </c>
      <c r="B3" s="48" t="str">
        <f>CONCATENATE("PS-",TEXT(A3,"00"),"-",I3)</f>
        <v>PS-01-OZ1</v>
      </c>
      <c r="C3" s="52" t="str">
        <f>CONCATENATE("Poste de Sectionnement n°",TEXT(A3,"00")," ",I3)</f>
        <v>Poste de Sectionnement n°01 OZ1</v>
      </c>
      <c r="D3" s="19">
        <v>24053</v>
      </c>
      <c r="E3" s="19">
        <v>24053</v>
      </c>
      <c r="F3" s="42"/>
      <c r="G3" s="42">
        <v>1</v>
      </c>
      <c r="H3" s="42"/>
      <c r="I3" s="42" t="s">
        <v>304</v>
      </c>
      <c r="J3" s="42" t="s">
        <v>728</v>
      </c>
      <c r="K3" s="53">
        <f>VALUE(RIGHT(J3,LEN(J3)-SEARCH("/",J3)))</f>
        <v>150</v>
      </c>
      <c r="L3" s="44">
        <f>VALUE(SUBSTITUTE(LEFT(J3,SEARCH("/",J3)-1),"+",","))</f>
        <v>0</v>
      </c>
      <c r="M3" s="42" t="s">
        <v>749</v>
      </c>
      <c r="N3" s="52" t="str">
        <f t="shared" ref="N3:N15" si="0">CONCATENATE("(",A3,",'",B3,"','",C3,"','",TEXT(D3,"aaaa-mm-jj"),"','",TEXT(E3,"aaaa-mm-jj"),"',",F3,",",G3,",",H3,"),")</f>
        <v>(1,'PS-01-OZ1','Poste de Sectionnement n°01 OZ1','Sunday-11-jj','Sunday-11-jj',,1,),</v>
      </c>
    </row>
    <row r="4" spans="1:14" ht="20.100000000000001" customHeight="1" x14ac:dyDescent="0.25">
      <c r="A4" s="39">
        <v>2</v>
      </c>
      <c r="B4" s="48" t="str">
        <f t="shared" ref="B4:B49" si="1">CONCATENATE("PS-",TEXT(A4,"00"),"-",I4)</f>
        <v>PS-02-OZ1</v>
      </c>
      <c r="C4" s="52" t="str">
        <f t="shared" ref="C4:C49" si="2">CONCATENATE("Poste de Sectionnement n°",TEXT(A4,"00")," ",I4)</f>
        <v>Poste de Sectionnement n°02 OZ1</v>
      </c>
      <c r="D4" s="19">
        <v>24053</v>
      </c>
      <c r="E4" s="19">
        <v>24053</v>
      </c>
      <c r="F4" s="42"/>
      <c r="G4" s="42">
        <v>1</v>
      </c>
      <c r="H4" s="42"/>
      <c r="I4" s="42" t="s">
        <v>304</v>
      </c>
      <c r="J4" s="42" t="s">
        <v>729</v>
      </c>
      <c r="K4" s="53">
        <f t="shared" ref="K4:K23" si="3">VALUE(RIGHT(J4,LEN(J4)-SEARCH("/",J4)))</f>
        <v>150</v>
      </c>
      <c r="L4" s="44">
        <f t="shared" ref="L4:L23" si="4">VALUE(SUBSTITUTE(LEFT(J4,SEARCH("/",J4)-1),"+",","))</f>
        <v>44.2</v>
      </c>
      <c r="M4" s="42" t="s">
        <v>750</v>
      </c>
      <c r="N4" s="52" t="str">
        <f t="shared" si="0"/>
        <v>(2,'PS-02-OZ1','Poste de Sectionnement n°02 OZ1','Sunday-11-jj','Sunday-11-jj',,1,),</v>
      </c>
    </row>
    <row r="5" spans="1:14" ht="20.100000000000001" customHeight="1" x14ac:dyDescent="0.25">
      <c r="A5" s="39">
        <v>3</v>
      </c>
      <c r="B5" s="48" t="str">
        <f t="shared" si="1"/>
        <v>PS-03-OZ1</v>
      </c>
      <c r="C5" s="52" t="str">
        <f t="shared" si="2"/>
        <v>Poste de Sectionnement n°03 OZ1</v>
      </c>
      <c r="D5" s="19">
        <v>24053</v>
      </c>
      <c r="E5" s="19">
        <v>24053</v>
      </c>
      <c r="F5" s="42"/>
      <c r="G5" s="42">
        <v>1</v>
      </c>
      <c r="H5" s="42"/>
      <c r="I5" s="42" t="s">
        <v>304</v>
      </c>
      <c r="J5" s="42" t="s">
        <v>730</v>
      </c>
      <c r="K5" s="53">
        <f t="shared" si="3"/>
        <v>210</v>
      </c>
      <c r="L5" s="44">
        <f t="shared" si="4"/>
        <v>72</v>
      </c>
      <c r="M5" s="42" t="s">
        <v>751</v>
      </c>
      <c r="N5" s="52" t="str">
        <f t="shared" si="0"/>
        <v>(3,'PS-03-OZ1','Poste de Sectionnement n°03 OZ1','Sunday-11-jj','Sunday-11-jj',,1,),</v>
      </c>
    </row>
    <row r="6" spans="1:14" ht="20.100000000000001" customHeight="1" x14ac:dyDescent="0.25">
      <c r="A6" s="39">
        <v>4</v>
      </c>
      <c r="B6" s="48" t="str">
        <f t="shared" si="1"/>
        <v>PS-04-OZ1</v>
      </c>
      <c r="C6" s="52" t="str">
        <f t="shared" si="2"/>
        <v>Poste de Sectionnement n°04 OZ1</v>
      </c>
      <c r="D6" s="19">
        <v>24053</v>
      </c>
      <c r="E6" s="19">
        <v>24053</v>
      </c>
      <c r="F6" s="42"/>
      <c r="G6" s="42">
        <v>1</v>
      </c>
      <c r="H6" s="42"/>
      <c r="I6" s="42" t="s">
        <v>304</v>
      </c>
      <c r="J6" s="42" t="s">
        <v>731</v>
      </c>
      <c r="K6" s="53">
        <f t="shared" si="3"/>
        <v>295</v>
      </c>
      <c r="L6" s="44">
        <f t="shared" si="4"/>
        <v>145.47300000000001</v>
      </c>
      <c r="M6" s="42" t="s">
        <v>752</v>
      </c>
      <c r="N6" s="52" t="str">
        <f t="shared" si="0"/>
        <v>(4,'PS-04-OZ1','Poste de Sectionnement n°04 OZ1','Sunday-11-jj','Sunday-11-jj',,1,),</v>
      </c>
    </row>
    <row r="7" spans="1:14" ht="20.100000000000001" customHeight="1" x14ac:dyDescent="0.25">
      <c r="A7" s="39">
        <v>5</v>
      </c>
      <c r="B7" s="48" t="str">
        <f t="shared" si="1"/>
        <v>PS-05-OZ1</v>
      </c>
      <c r="C7" s="52" t="str">
        <f t="shared" si="2"/>
        <v>Poste de Sectionnement n°05 OZ1</v>
      </c>
      <c r="D7" s="19">
        <v>24053</v>
      </c>
      <c r="E7" s="19">
        <v>24053</v>
      </c>
      <c r="F7" s="42"/>
      <c r="G7" s="42">
        <v>1</v>
      </c>
      <c r="H7" s="42"/>
      <c r="I7" s="42" t="s">
        <v>304</v>
      </c>
      <c r="J7" s="42" t="s">
        <v>732</v>
      </c>
      <c r="K7" s="53">
        <f t="shared" si="3"/>
        <v>365</v>
      </c>
      <c r="L7" s="44">
        <f t="shared" si="4"/>
        <v>184.2</v>
      </c>
      <c r="M7" s="42" t="s">
        <v>753</v>
      </c>
      <c r="N7" s="52" t="str">
        <f t="shared" si="0"/>
        <v>(5,'PS-05-OZ1','Poste de Sectionnement n°05 OZ1','Sunday-11-jj','Sunday-11-jj',,1,),</v>
      </c>
    </row>
    <row r="8" spans="1:14" ht="20.100000000000001" customHeight="1" x14ac:dyDescent="0.25">
      <c r="A8" s="39">
        <v>6</v>
      </c>
      <c r="B8" s="48" t="str">
        <f t="shared" si="1"/>
        <v>PS-06-OZ1</v>
      </c>
      <c r="C8" s="52" t="str">
        <f t="shared" si="2"/>
        <v>Poste de Sectionnement n°06 OZ1</v>
      </c>
      <c r="D8" s="19">
        <v>24053</v>
      </c>
      <c r="E8" s="19">
        <v>24053</v>
      </c>
      <c r="F8" s="42"/>
      <c r="G8" s="42">
        <v>1</v>
      </c>
      <c r="H8" s="42"/>
      <c r="I8" s="42" t="s">
        <v>304</v>
      </c>
      <c r="J8" s="42" t="s">
        <v>733</v>
      </c>
      <c r="K8" s="53">
        <f t="shared" si="3"/>
        <v>562</v>
      </c>
      <c r="L8" s="44">
        <f t="shared" si="4"/>
        <v>236.47499999999999</v>
      </c>
      <c r="M8" s="42" t="s">
        <v>754</v>
      </c>
      <c r="N8" s="52" t="str">
        <f t="shared" si="0"/>
        <v>(6,'PS-06-OZ1','Poste de Sectionnement n°06 OZ1','Sunday-11-jj','Sunday-11-jj',,1,),</v>
      </c>
    </row>
    <row r="9" spans="1:14" ht="20.100000000000001" customHeight="1" x14ac:dyDescent="0.25">
      <c r="A9" s="39">
        <v>7</v>
      </c>
      <c r="B9" s="48" t="str">
        <f t="shared" si="1"/>
        <v>PS-07-OZ1</v>
      </c>
      <c r="C9" s="52" t="str">
        <f t="shared" si="2"/>
        <v>Poste de Sectionnement n°07 OZ1</v>
      </c>
      <c r="D9" s="19">
        <v>24053</v>
      </c>
      <c r="E9" s="19">
        <v>24053</v>
      </c>
      <c r="F9" s="42"/>
      <c r="G9" s="42">
        <v>1</v>
      </c>
      <c r="H9" s="42"/>
      <c r="I9" s="42" t="s">
        <v>304</v>
      </c>
      <c r="J9" s="42" t="s">
        <v>734</v>
      </c>
      <c r="K9" s="53">
        <f t="shared" si="3"/>
        <v>631</v>
      </c>
      <c r="L9" s="44">
        <f t="shared" si="4"/>
        <v>256</v>
      </c>
      <c r="M9" s="42" t="s">
        <v>755</v>
      </c>
      <c r="N9" s="52" t="str">
        <f t="shared" si="0"/>
        <v>(7,'PS-07-OZ1','Poste de Sectionnement n°07 OZ1','Sunday-11-jj','Sunday-11-jj',,1,),</v>
      </c>
    </row>
    <row r="10" spans="1:14" ht="20.100000000000001" customHeight="1" x14ac:dyDescent="0.25">
      <c r="A10" s="39">
        <v>8</v>
      </c>
      <c r="B10" s="48" t="str">
        <f t="shared" si="1"/>
        <v>PS-08-OZ1</v>
      </c>
      <c r="C10" s="52" t="str">
        <f t="shared" si="2"/>
        <v>Poste de Sectionnement n°08 OZ1</v>
      </c>
      <c r="D10" s="19">
        <v>24053</v>
      </c>
      <c r="E10" s="19">
        <v>24053</v>
      </c>
      <c r="F10" s="42"/>
      <c r="G10" s="42">
        <v>1</v>
      </c>
      <c r="H10" s="42"/>
      <c r="I10" s="42" t="s">
        <v>304</v>
      </c>
      <c r="J10" s="42" t="s">
        <v>735</v>
      </c>
      <c r="K10" s="53">
        <f t="shared" si="3"/>
        <v>762</v>
      </c>
      <c r="L10" s="44">
        <f t="shared" si="4"/>
        <v>328.04700000000003</v>
      </c>
      <c r="M10" s="42" t="s">
        <v>756</v>
      </c>
      <c r="N10" s="52" t="str">
        <f t="shared" si="0"/>
        <v>(8,'PS-08-OZ1','Poste de Sectionnement n°08 OZ1','Sunday-11-jj','Sunday-11-jj',,1,),</v>
      </c>
    </row>
    <row r="11" spans="1:14" ht="20.100000000000001" customHeight="1" x14ac:dyDescent="0.25">
      <c r="A11" s="39">
        <v>9</v>
      </c>
      <c r="B11" s="48" t="str">
        <f t="shared" si="1"/>
        <v>PS-09-OZ1</v>
      </c>
      <c r="C11" s="52" t="str">
        <f t="shared" si="2"/>
        <v>Poste de Sectionnement n°09 OZ1</v>
      </c>
      <c r="D11" s="19">
        <v>24053</v>
      </c>
      <c r="E11" s="19">
        <v>24053</v>
      </c>
      <c r="F11" s="42"/>
      <c r="G11" s="42">
        <v>1</v>
      </c>
      <c r="H11" s="42"/>
      <c r="I11" s="42" t="s">
        <v>304</v>
      </c>
      <c r="J11" s="42" t="s">
        <v>736</v>
      </c>
      <c r="K11" s="53">
        <f t="shared" si="3"/>
        <v>1275</v>
      </c>
      <c r="L11" s="44">
        <f t="shared" si="4"/>
        <v>466.9</v>
      </c>
      <c r="M11" s="42" t="s">
        <v>757</v>
      </c>
      <c r="N11" s="52" t="str">
        <f t="shared" si="0"/>
        <v>(9,'PS-09-OZ1','Poste de Sectionnement n°09 OZ1','Sunday-11-jj','Sunday-11-jj',,1,),</v>
      </c>
    </row>
    <row r="12" spans="1:14" ht="20.100000000000001" customHeight="1" x14ac:dyDescent="0.25">
      <c r="A12" s="39">
        <v>10</v>
      </c>
      <c r="B12" s="48" t="str">
        <f t="shared" si="1"/>
        <v>PS-10-OZ1</v>
      </c>
      <c r="C12" s="52" t="str">
        <f t="shared" si="2"/>
        <v>Poste de Sectionnement n°10 OZ1</v>
      </c>
      <c r="D12" s="19">
        <v>24053</v>
      </c>
      <c r="E12" s="19">
        <v>24053</v>
      </c>
      <c r="F12" s="42"/>
      <c r="G12" s="42">
        <v>1</v>
      </c>
      <c r="H12" s="42"/>
      <c r="I12" s="42" t="s">
        <v>304</v>
      </c>
      <c r="J12" s="42" t="s">
        <v>737</v>
      </c>
      <c r="K12" s="53">
        <f t="shared" si="3"/>
        <v>1083</v>
      </c>
      <c r="L12" s="44">
        <f t="shared" si="4"/>
        <v>489.91500000000002</v>
      </c>
      <c r="M12" s="42" t="s">
        <v>758</v>
      </c>
      <c r="N12" s="52" t="str">
        <f t="shared" si="0"/>
        <v>(10,'PS-10-OZ1','Poste de Sectionnement n°10 OZ1','Sunday-11-jj','Sunday-11-jj',,1,),</v>
      </c>
    </row>
    <row r="13" spans="1:14" ht="20.100000000000001" customHeight="1" x14ac:dyDescent="0.25">
      <c r="A13" s="39">
        <v>11</v>
      </c>
      <c r="B13" s="48" t="str">
        <f t="shared" si="1"/>
        <v>PS-11-OZ1</v>
      </c>
      <c r="C13" s="52" t="str">
        <f t="shared" si="2"/>
        <v>Poste de Sectionnement n°11 OZ1</v>
      </c>
      <c r="D13" s="19">
        <v>24053</v>
      </c>
      <c r="E13" s="19">
        <v>24053</v>
      </c>
      <c r="F13" s="42"/>
      <c r="G13" s="42">
        <v>1</v>
      </c>
      <c r="H13" s="42"/>
      <c r="I13" s="42" t="s">
        <v>304</v>
      </c>
      <c r="J13" s="42" t="s">
        <v>738</v>
      </c>
      <c r="K13" s="53">
        <f t="shared" si="3"/>
        <v>970</v>
      </c>
      <c r="L13" s="44">
        <f t="shared" si="4"/>
        <v>533.94000000000005</v>
      </c>
      <c r="M13" s="42" t="s">
        <v>759</v>
      </c>
      <c r="N13" s="52" t="str">
        <f t="shared" si="0"/>
        <v>(11,'PS-11-OZ1','Poste de Sectionnement n°11 OZ1','Sunday-11-jj','Sunday-11-jj',,1,),</v>
      </c>
    </row>
    <row r="14" spans="1:14" ht="20.100000000000001" customHeight="1" x14ac:dyDescent="0.25">
      <c r="A14" s="39">
        <v>12</v>
      </c>
      <c r="B14" s="48" t="str">
        <f t="shared" si="1"/>
        <v>PS-12-OZ1</v>
      </c>
      <c r="C14" s="52" t="str">
        <f t="shared" si="2"/>
        <v>Poste de Sectionnement n°12 OZ1</v>
      </c>
      <c r="D14" s="19">
        <v>24053</v>
      </c>
      <c r="E14" s="19">
        <v>24053</v>
      </c>
      <c r="F14" s="42"/>
      <c r="G14" s="42">
        <v>1</v>
      </c>
      <c r="H14" s="42"/>
      <c r="I14" s="42" t="s">
        <v>304</v>
      </c>
      <c r="J14" s="42" t="s">
        <v>739</v>
      </c>
      <c r="K14" s="53">
        <f t="shared" si="3"/>
        <v>970</v>
      </c>
      <c r="L14" s="44">
        <f t="shared" si="4"/>
        <v>534.05999999999995</v>
      </c>
      <c r="M14" s="42" t="s">
        <v>759</v>
      </c>
      <c r="N14" s="52" t="str">
        <f t="shared" si="0"/>
        <v>(12,'PS-12-OZ1','Poste de Sectionnement n°12 OZ1','Sunday-11-jj','Sunday-11-jj',,1,),</v>
      </c>
    </row>
    <row r="15" spans="1:14" ht="20.100000000000001" customHeight="1" x14ac:dyDescent="0.25">
      <c r="A15" s="39">
        <v>13</v>
      </c>
      <c r="B15" s="48" t="str">
        <f t="shared" si="1"/>
        <v>PS-13-OZ1</v>
      </c>
      <c r="C15" s="52" t="str">
        <f t="shared" si="2"/>
        <v>Poste de Sectionnement n°13 OZ1</v>
      </c>
      <c r="D15" s="19">
        <v>24053</v>
      </c>
      <c r="E15" s="19">
        <v>24053</v>
      </c>
      <c r="F15" s="42"/>
      <c r="G15" s="42">
        <v>1</v>
      </c>
      <c r="H15" s="42"/>
      <c r="I15" s="42" t="s">
        <v>304</v>
      </c>
      <c r="J15" s="42" t="s">
        <v>740</v>
      </c>
      <c r="K15" s="53">
        <f t="shared" si="3"/>
        <v>1100</v>
      </c>
      <c r="L15" s="44">
        <f t="shared" si="4"/>
        <v>552.12199999999996</v>
      </c>
      <c r="M15" s="42" t="s">
        <v>760</v>
      </c>
      <c r="N15" s="52" t="str">
        <f t="shared" si="0"/>
        <v>(13,'PS-13-OZ1','Poste de Sectionnement n°13 OZ1','Sunday-11-jj','Sunday-11-jj',,1,),</v>
      </c>
    </row>
    <row r="16" spans="1:14" ht="20.100000000000001" customHeight="1" x14ac:dyDescent="0.25">
      <c r="A16" s="39">
        <v>14</v>
      </c>
      <c r="B16" s="48" t="str">
        <f t="shared" si="1"/>
        <v>PS-14-OZ1</v>
      </c>
      <c r="C16" s="52" t="str">
        <f t="shared" si="2"/>
        <v>Poste de Sectionnement n°14 OZ1</v>
      </c>
      <c r="D16" s="19">
        <v>24053</v>
      </c>
      <c r="E16" s="19">
        <v>24053</v>
      </c>
      <c r="F16" s="42"/>
      <c r="G16" s="42">
        <v>1</v>
      </c>
      <c r="H16" s="42"/>
      <c r="I16" s="42" t="s">
        <v>304</v>
      </c>
      <c r="J16" s="42" t="s">
        <v>741</v>
      </c>
      <c r="K16" s="53">
        <f t="shared" si="3"/>
        <v>1100</v>
      </c>
      <c r="L16" s="44">
        <f t="shared" si="4"/>
        <v>611.375</v>
      </c>
      <c r="M16" s="42" t="s">
        <v>761</v>
      </c>
      <c r="N16" s="52" t="str">
        <f t="shared" ref="N16:N76" si="5">CONCATENATE("(",A16,",'",B16,"','",C16,"','",TEXT(D16,"aaaa-mm-jj"),"','",TEXT(E16,"aaaa-mm-jj"),"',",F16,",",G16,",",H16,"),")</f>
        <v>(14,'PS-14-OZ1','Poste de Sectionnement n°14 OZ1','Sunday-11-jj','Sunday-11-jj',,1,),</v>
      </c>
    </row>
    <row r="17" spans="1:14" ht="20.100000000000001" customHeight="1" x14ac:dyDescent="0.25">
      <c r="A17" s="39">
        <v>15</v>
      </c>
      <c r="B17" s="48" t="str">
        <f t="shared" si="1"/>
        <v>PS-15-OZ1</v>
      </c>
      <c r="C17" s="52" t="str">
        <f t="shared" si="2"/>
        <v>Poste de Sectionnement n°15 OZ1</v>
      </c>
      <c r="D17" s="19">
        <v>24053</v>
      </c>
      <c r="E17" s="19">
        <v>24053</v>
      </c>
      <c r="F17" s="42"/>
      <c r="G17" s="42">
        <v>1</v>
      </c>
      <c r="H17" s="42"/>
      <c r="I17" s="42" t="s">
        <v>304</v>
      </c>
      <c r="J17" s="42" t="s">
        <v>742</v>
      </c>
      <c r="K17" s="53">
        <f t="shared" si="3"/>
        <v>758</v>
      </c>
      <c r="L17" s="44">
        <f t="shared" si="4"/>
        <v>648</v>
      </c>
      <c r="M17" s="42" t="s">
        <v>762</v>
      </c>
      <c r="N17" s="52" t="str">
        <f t="shared" si="5"/>
        <v>(15,'PS-15-OZ1','Poste de Sectionnement n°15 OZ1','Sunday-11-jj','Sunday-11-jj',,1,),</v>
      </c>
    </row>
    <row r="18" spans="1:14" ht="20.100000000000001" customHeight="1" x14ac:dyDescent="0.25">
      <c r="A18" s="39">
        <v>16</v>
      </c>
      <c r="B18" s="48" t="str">
        <f t="shared" si="1"/>
        <v>PS-16-OZ1</v>
      </c>
      <c r="C18" s="52" t="str">
        <f t="shared" si="2"/>
        <v>Poste de Sectionnement n°16 OZ1</v>
      </c>
      <c r="D18" s="19">
        <v>24053</v>
      </c>
      <c r="E18" s="19">
        <v>24053</v>
      </c>
      <c r="F18" s="42"/>
      <c r="G18" s="42">
        <v>1</v>
      </c>
      <c r="H18" s="42"/>
      <c r="I18" s="42" t="s">
        <v>304</v>
      </c>
      <c r="J18" s="42" t="s">
        <v>743</v>
      </c>
      <c r="K18" s="53">
        <f t="shared" si="3"/>
        <v>620</v>
      </c>
      <c r="L18" s="44">
        <f t="shared" si="4"/>
        <v>669.30200000000002</v>
      </c>
      <c r="M18" s="42" t="s">
        <v>763</v>
      </c>
      <c r="N18" s="52" t="str">
        <f t="shared" si="5"/>
        <v>(16,'PS-16-OZ1','Poste de Sectionnement n°16 OZ1','Sunday-11-jj','Sunday-11-jj',,1,),</v>
      </c>
    </row>
    <row r="19" spans="1:14" ht="20.100000000000001" customHeight="1" x14ac:dyDescent="0.25">
      <c r="A19" s="39">
        <v>17</v>
      </c>
      <c r="B19" s="48" t="str">
        <f t="shared" si="1"/>
        <v>PS-17-OZ1</v>
      </c>
      <c r="C19" s="52" t="str">
        <f t="shared" si="2"/>
        <v>Poste de Sectionnement n°17 OZ1</v>
      </c>
      <c r="D19" s="19">
        <v>24053</v>
      </c>
      <c r="E19" s="19">
        <v>24053</v>
      </c>
      <c r="F19" s="42"/>
      <c r="G19" s="42">
        <v>1</v>
      </c>
      <c r="H19" s="42"/>
      <c r="I19" s="42" t="s">
        <v>304</v>
      </c>
      <c r="J19" s="42" t="s">
        <v>744</v>
      </c>
      <c r="K19" s="53">
        <f t="shared" si="3"/>
        <v>270</v>
      </c>
      <c r="L19" s="44">
        <f t="shared" si="4"/>
        <v>701.54399999999998</v>
      </c>
      <c r="M19" s="42" t="s">
        <v>764</v>
      </c>
      <c r="N19" s="52" t="str">
        <f t="shared" si="5"/>
        <v>(17,'PS-17-OZ1','Poste de Sectionnement n°17 OZ1','Sunday-11-jj','Sunday-11-jj',,1,),</v>
      </c>
    </row>
    <row r="20" spans="1:14" ht="20.100000000000001" customHeight="1" x14ac:dyDescent="0.25">
      <c r="A20" s="39">
        <v>18</v>
      </c>
      <c r="B20" s="48" t="str">
        <f t="shared" si="1"/>
        <v>PS-18-OZ1</v>
      </c>
      <c r="C20" s="52" t="str">
        <f t="shared" si="2"/>
        <v>Poste de Sectionnement n°18 OZ1</v>
      </c>
      <c r="D20" s="19">
        <v>24053</v>
      </c>
      <c r="E20" s="19">
        <v>24053</v>
      </c>
      <c r="F20" s="42"/>
      <c r="G20" s="42">
        <v>1</v>
      </c>
      <c r="H20" s="42"/>
      <c r="I20" s="42" t="s">
        <v>304</v>
      </c>
      <c r="J20" s="42" t="s">
        <v>745</v>
      </c>
      <c r="K20" s="53">
        <f t="shared" si="3"/>
        <v>87</v>
      </c>
      <c r="L20" s="44">
        <f t="shared" si="4"/>
        <v>715.88499999999999</v>
      </c>
      <c r="M20" s="42" t="s">
        <v>765</v>
      </c>
      <c r="N20" s="52" t="str">
        <f t="shared" si="5"/>
        <v>(18,'PS-18-OZ1','Poste de Sectionnement n°18 OZ1','Sunday-11-jj','Sunday-11-jj',,1,),</v>
      </c>
    </row>
    <row r="21" spans="1:14" ht="20.100000000000001" customHeight="1" x14ac:dyDescent="0.25">
      <c r="A21" s="39">
        <v>19</v>
      </c>
      <c r="B21" s="48" t="str">
        <f t="shared" si="1"/>
        <v>PS-19-OZ1</v>
      </c>
      <c r="C21" s="52" t="str">
        <f t="shared" si="2"/>
        <v>Poste de Sectionnement n°19 OZ1</v>
      </c>
      <c r="D21" s="19">
        <v>24053</v>
      </c>
      <c r="E21" s="19">
        <v>24053</v>
      </c>
      <c r="F21" s="42"/>
      <c r="G21" s="42">
        <v>1</v>
      </c>
      <c r="H21" s="42"/>
      <c r="I21" s="42" t="s">
        <v>304</v>
      </c>
      <c r="J21" s="42" t="s">
        <v>746</v>
      </c>
      <c r="K21" s="53">
        <f t="shared" si="3"/>
        <v>25</v>
      </c>
      <c r="L21" s="44">
        <f t="shared" si="4"/>
        <v>758.279</v>
      </c>
      <c r="M21" s="42" t="s">
        <v>766</v>
      </c>
      <c r="N21" s="52" t="str">
        <f t="shared" si="5"/>
        <v>(19,'PS-19-OZ1','Poste de Sectionnement n°19 OZ1','Sunday-11-jj','Sunday-11-jj',,1,),</v>
      </c>
    </row>
    <row r="22" spans="1:14" ht="20.100000000000001" customHeight="1" x14ac:dyDescent="0.25">
      <c r="A22" s="39">
        <v>20</v>
      </c>
      <c r="B22" s="48" t="str">
        <f t="shared" si="1"/>
        <v>PS-20-OZ1</v>
      </c>
      <c r="C22" s="52" t="str">
        <f t="shared" si="2"/>
        <v>Poste de Sectionnement n°20 OZ1</v>
      </c>
      <c r="D22" s="19">
        <v>24053</v>
      </c>
      <c r="E22" s="19">
        <v>24053</v>
      </c>
      <c r="F22" s="42"/>
      <c r="G22" s="42">
        <v>1</v>
      </c>
      <c r="H22" s="42"/>
      <c r="I22" s="42" t="s">
        <v>304</v>
      </c>
      <c r="J22" s="42" t="s">
        <v>747</v>
      </c>
      <c r="K22" s="53">
        <f t="shared" si="3"/>
        <v>8</v>
      </c>
      <c r="L22" s="44">
        <f t="shared" si="4"/>
        <v>781.59400000000005</v>
      </c>
      <c r="M22" s="42" t="s">
        <v>766</v>
      </c>
      <c r="N22" s="52" t="str">
        <f t="shared" si="5"/>
        <v>(20,'PS-20-OZ1','Poste de Sectionnement n°20 OZ1','Sunday-11-jj','Sunday-11-jj',,1,),</v>
      </c>
    </row>
    <row r="23" spans="1:14" ht="20.100000000000001" customHeight="1" x14ac:dyDescent="0.25">
      <c r="A23" s="39">
        <v>21</v>
      </c>
      <c r="B23" s="48" t="str">
        <f t="shared" si="1"/>
        <v>PS-21-OZ1</v>
      </c>
      <c r="C23" s="52" t="str">
        <f t="shared" si="2"/>
        <v>Poste de Sectionnement n°21 OZ1</v>
      </c>
      <c r="D23" s="19">
        <v>24053</v>
      </c>
      <c r="E23" s="19">
        <v>24053</v>
      </c>
      <c r="F23" s="42"/>
      <c r="G23" s="42">
        <v>1</v>
      </c>
      <c r="H23" s="42"/>
      <c r="I23" s="42" t="s">
        <v>304</v>
      </c>
      <c r="J23" s="42" t="s">
        <v>748</v>
      </c>
      <c r="K23" s="53">
        <f t="shared" si="3"/>
        <v>8</v>
      </c>
      <c r="L23" s="44">
        <f t="shared" si="4"/>
        <v>781.72</v>
      </c>
      <c r="M23" s="42" t="s">
        <v>767</v>
      </c>
      <c r="N23" s="52" t="str">
        <f t="shared" si="5"/>
        <v>(21,'PS-21-OZ1','Poste de Sectionnement n°21 OZ1','Sunday-11-jj','Sunday-11-jj',,1,),</v>
      </c>
    </row>
    <row r="24" spans="1:14" ht="20.100000000000001" customHeight="1" x14ac:dyDescent="0.25">
      <c r="A24" s="39">
        <v>1</v>
      </c>
      <c r="B24" s="48" t="str">
        <f t="shared" si="1"/>
        <v>PS-01-OZ2</v>
      </c>
      <c r="C24" s="52" t="str">
        <f t="shared" si="2"/>
        <v>Poste de Sectionnement n°01 OZ2</v>
      </c>
      <c r="D24" s="19">
        <v>37851</v>
      </c>
      <c r="E24" s="19">
        <v>37851</v>
      </c>
      <c r="F24" s="42"/>
      <c r="G24" s="42">
        <v>1</v>
      </c>
      <c r="H24" s="42"/>
      <c r="I24" s="42" t="s">
        <v>306</v>
      </c>
      <c r="J24" s="42" t="s">
        <v>768</v>
      </c>
      <c r="K24" s="53">
        <f t="shared" ref="K24:K48" si="6">VALUE(RIGHT(J24,LEN(J24)-SEARCH("/",J24)))</f>
        <v>142</v>
      </c>
      <c r="L24" s="44">
        <f t="shared" ref="L24:L48" si="7">VALUE(SUBSTITUTE(LEFT(J24,SEARCH("/",J24)-1),"+",","))</f>
        <v>22</v>
      </c>
      <c r="M24" s="42" t="s">
        <v>793</v>
      </c>
      <c r="N24" s="52" t="str">
        <f t="shared" si="5"/>
        <v>(1,'PS-01-OZ2','Poste de Sectionnement n°01 OZ2','Monday-08-jj','Monday-08-jj',,1,),</v>
      </c>
    </row>
    <row r="25" spans="1:14" ht="20.100000000000001" customHeight="1" x14ac:dyDescent="0.25">
      <c r="A25" s="39">
        <v>2</v>
      </c>
      <c r="B25" s="48" t="str">
        <f t="shared" si="1"/>
        <v>PS-02-OZ2</v>
      </c>
      <c r="C25" s="52" t="str">
        <f t="shared" si="2"/>
        <v>Poste de Sectionnement n°02 OZ2</v>
      </c>
      <c r="D25" s="19">
        <v>37851</v>
      </c>
      <c r="E25" s="19">
        <v>37851</v>
      </c>
      <c r="F25" s="42"/>
      <c r="G25" s="42">
        <v>1</v>
      </c>
      <c r="H25" s="42"/>
      <c r="I25" s="42" t="s">
        <v>306</v>
      </c>
      <c r="J25" s="42" t="s">
        <v>769</v>
      </c>
      <c r="K25" s="53">
        <f t="shared" si="6"/>
        <v>149</v>
      </c>
      <c r="L25" s="44">
        <f t="shared" si="7"/>
        <v>43.9</v>
      </c>
      <c r="M25" s="42" t="s">
        <v>794</v>
      </c>
      <c r="N25" s="52" t="str">
        <f t="shared" si="5"/>
        <v>(2,'PS-02-OZ2','Poste de Sectionnement n°02 OZ2','Monday-08-jj','Monday-08-jj',,1,),</v>
      </c>
    </row>
    <row r="26" spans="1:14" ht="20.100000000000001" customHeight="1" x14ac:dyDescent="0.25">
      <c r="A26" s="39">
        <v>3</v>
      </c>
      <c r="B26" s="48" t="str">
        <f t="shared" si="1"/>
        <v>PS-03-OZ2</v>
      </c>
      <c r="C26" s="52" t="str">
        <f t="shared" si="2"/>
        <v>Poste de Sectionnement n°03 OZ2</v>
      </c>
      <c r="D26" s="19">
        <v>37851</v>
      </c>
      <c r="E26" s="19">
        <v>37851</v>
      </c>
      <c r="F26" s="42"/>
      <c r="G26" s="42">
        <v>1</v>
      </c>
      <c r="H26" s="42"/>
      <c r="I26" s="42" t="s">
        <v>306</v>
      </c>
      <c r="J26" s="42" t="s">
        <v>770</v>
      </c>
      <c r="K26" s="53">
        <f t="shared" si="6"/>
        <v>186</v>
      </c>
      <c r="L26" s="44">
        <f t="shared" si="7"/>
        <v>73</v>
      </c>
      <c r="M26" s="42" t="s">
        <v>752</v>
      </c>
      <c r="N26" s="52" t="str">
        <f t="shared" si="5"/>
        <v>(3,'PS-03-OZ2','Poste de Sectionnement n°03 OZ2','Monday-08-jj','Monday-08-jj',,1,),</v>
      </c>
    </row>
    <row r="27" spans="1:14" ht="20.100000000000001" customHeight="1" x14ac:dyDescent="0.25">
      <c r="A27" s="39">
        <v>4</v>
      </c>
      <c r="B27" s="48" t="str">
        <f t="shared" si="1"/>
        <v>PS-04-OZ2</v>
      </c>
      <c r="C27" s="52" t="str">
        <f t="shared" si="2"/>
        <v>Poste de Sectionnement n°04 OZ2</v>
      </c>
      <c r="D27" s="19">
        <v>37851</v>
      </c>
      <c r="E27" s="19">
        <v>37851</v>
      </c>
      <c r="F27" s="42"/>
      <c r="G27" s="42">
        <v>1</v>
      </c>
      <c r="H27" s="42"/>
      <c r="I27" s="42" t="s">
        <v>306</v>
      </c>
      <c r="J27" s="42" t="s">
        <v>771</v>
      </c>
      <c r="K27" s="53">
        <f t="shared" si="6"/>
        <v>223</v>
      </c>
      <c r="L27" s="44">
        <f t="shared" si="7"/>
        <v>102</v>
      </c>
      <c r="M27" s="42" t="s">
        <v>752</v>
      </c>
      <c r="N27" s="52" t="str">
        <f t="shared" si="5"/>
        <v>(4,'PS-04-OZ2','Poste de Sectionnement n°04 OZ2','Monday-08-jj','Monday-08-jj',,1,),</v>
      </c>
    </row>
    <row r="28" spans="1:14" ht="20.100000000000001" customHeight="1" x14ac:dyDescent="0.25">
      <c r="A28" s="39">
        <v>5</v>
      </c>
      <c r="B28" s="48" t="str">
        <f t="shared" si="1"/>
        <v>PS-05-OZ2</v>
      </c>
      <c r="C28" s="52" t="str">
        <f t="shared" si="2"/>
        <v>Poste de Sectionnement n°05 OZ2</v>
      </c>
      <c r="D28" s="19">
        <v>37851</v>
      </c>
      <c r="E28" s="19">
        <v>37851</v>
      </c>
      <c r="F28" s="42"/>
      <c r="G28" s="42">
        <v>1</v>
      </c>
      <c r="H28" s="42"/>
      <c r="I28" s="42" t="s">
        <v>306</v>
      </c>
      <c r="J28" s="42" t="s">
        <v>772</v>
      </c>
      <c r="K28" s="53">
        <f t="shared" si="6"/>
        <v>300</v>
      </c>
      <c r="L28" s="44">
        <f t="shared" si="7"/>
        <v>150</v>
      </c>
      <c r="M28" s="42" t="s">
        <v>752</v>
      </c>
      <c r="N28" s="52" t="str">
        <f t="shared" si="5"/>
        <v>(5,'PS-05-OZ2','Poste de Sectionnement n°05 OZ2','Monday-08-jj','Monday-08-jj',,1,),</v>
      </c>
    </row>
    <row r="29" spans="1:14" ht="20.100000000000001" customHeight="1" x14ac:dyDescent="0.25">
      <c r="A29" s="39">
        <v>6</v>
      </c>
      <c r="B29" s="48" t="str">
        <f t="shared" si="1"/>
        <v>PS-06-OZ2</v>
      </c>
      <c r="C29" s="52" t="str">
        <f t="shared" si="2"/>
        <v>Poste de Sectionnement n°06 OZ2</v>
      </c>
      <c r="D29" s="19">
        <v>37851</v>
      </c>
      <c r="E29" s="19">
        <v>37851</v>
      </c>
      <c r="F29" s="42"/>
      <c r="G29" s="42">
        <v>1</v>
      </c>
      <c r="H29" s="42"/>
      <c r="I29" s="42" t="s">
        <v>306</v>
      </c>
      <c r="J29" s="42" t="s">
        <v>773</v>
      </c>
      <c r="K29" s="53">
        <f t="shared" si="6"/>
        <v>350</v>
      </c>
      <c r="L29" s="44">
        <f t="shared" si="7"/>
        <v>180</v>
      </c>
      <c r="M29" s="42" t="s">
        <v>795</v>
      </c>
      <c r="N29" s="52" t="str">
        <f t="shared" si="5"/>
        <v>(6,'PS-06-OZ2','Poste de Sectionnement n°06 OZ2','Monday-08-jj','Monday-08-jj',,1,),</v>
      </c>
    </row>
    <row r="30" spans="1:14" ht="20.100000000000001" customHeight="1" x14ac:dyDescent="0.25">
      <c r="A30" s="39">
        <v>7</v>
      </c>
      <c r="B30" s="48" t="str">
        <f t="shared" si="1"/>
        <v>PS-07-OZ2</v>
      </c>
      <c r="C30" s="52" t="str">
        <f t="shared" si="2"/>
        <v>Poste de Sectionnement n°07 OZ2</v>
      </c>
      <c r="D30" s="19">
        <v>37851</v>
      </c>
      <c r="E30" s="19">
        <v>37851</v>
      </c>
      <c r="F30" s="42"/>
      <c r="G30" s="42">
        <v>1</v>
      </c>
      <c r="H30" s="42"/>
      <c r="I30" s="42" t="s">
        <v>306</v>
      </c>
      <c r="J30" s="42" t="s">
        <v>774</v>
      </c>
      <c r="K30" s="53">
        <f t="shared" si="6"/>
        <v>467</v>
      </c>
      <c r="L30" s="44">
        <f t="shared" si="7"/>
        <v>210</v>
      </c>
      <c r="M30" s="42" t="s">
        <v>796</v>
      </c>
      <c r="N30" s="52" t="str">
        <f t="shared" si="5"/>
        <v>(7,'PS-07-OZ2','Poste de Sectionnement n°07 OZ2','Monday-08-jj','Monday-08-jj',,1,),</v>
      </c>
    </row>
    <row r="31" spans="1:14" ht="20.100000000000001" customHeight="1" x14ac:dyDescent="0.25">
      <c r="A31" s="39">
        <v>8</v>
      </c>
      <c r="B31" s="48" t="str">
        <f t="shared" si="1"/>
        <v>PS-08-OZ2</v>
      </c>
      <c r="C31" s="52" t="str">
        <f t="shared" si="2"/>
        <v>Poste de Sectionnement n°08 OZ2</v>
      </c>
      <c r="D31" s="19">
        <v>37851</v>
      </c>
      <c r="E31" s="19">
        <v>37851</v>
      </c>
      <c r="F31" s="42"/>
      <c r="G31" s="42">
        <v>1</v>
      </c>
      <c r="H31" s="42"/>
      <c r="I31" s="42" t="s">
        <v>306</v>
      </c>
      <c r="J31" s="42" t="s">
        <v>775</v>
      </c>
      <c r="K31" s="53">
        <f t="shared" si="6"/>
        <v>566</v>
      </c>
      <c r="L31" s="44">
        <f t="shared" si="7"/>
        <v>236.5</v>
      </c>
      <c r="M31" s="42" t="s">
        <v>754</v>
      </c>
      <c r="N31" s="52" t="str">
        <f t="shared" si="5"/>
        <v>(8,'PS-08-OZ2','Poste de Sectionnement n°08 OZ2','Monday-08-jj','Monday-08-jj',,1,),</v>
      </c>
    </row>
    <row r="32" spans="1:14" ht="20.100000000000001" customHeight="1" x14ac:dyDescent="0.25">
      <c r="A32" s="39">
        <v>9</v>
      </c>
      <c r="B32" s="48" t="str">
        <f t="shared" si="1"/>
        <v>PS-09-OZ2</v>
      </c>
      <c r="C32" s="52" t="str">
        <f t="shared" si="2"/>
        <v>Poste de Sectionnement n°09 OZ2</v>
      </c>
      <c r="D32" s="19">
        <v>37851</v>
      </c>
      <c r="E32" s="19">
        <v>37851</v>
      </c>
      <c r="F32" s="42"/>
      <c r="G32" s="42">
        <v>1</v>
      </c>
      <c r="H32" s="42"/>
      <c r="I32" s="42" t="s">
        <v>306</v>
      </c>
      <c r="J32" s="42" t="s">
        <v>776</v>
      </c>
      <c r="K32" s="53">
        <f t="shared" si="6"/>
        <v>688</v>
      </c>
      <c r="L32" s="44">
        <f t="shared" si="7"/>
        <v>265.75</v>
      </c>
      <c r="M32" s="42" t="s">
        <v>797</v>
      </c>
      <c r="N32" s="52" t="str">
        <f t="shared" si="5"/>
        <v>(9,'PS-09-OZ2','Poste de Sectionnement n°09 OZ2','Monday-08-jj','Monday-08-jj',,1,),</v>
      </c>
    </row>
    <row r="33" spans="1:14" ht="20.100000000000001" customHeight="1" x14ac:dyDescent="0.25">
      <c r="A33" s="39">
        <v>10</v>
      </c>
      <c r="B33" s="48" t="str">
        <f t="shared" si="1"/>
        <v>PS-10-OZ2</v>
      </c>
      <c r="C33" s="52" t="str">
        <f t="shared" si="2"/>
        <v>Poste de Sectionnement n°10 OZ2</v>
      </c>
      <c r="D33" s="19">
        <v>37851</v>
      </c>
      <c r="E33" s="19">
        <v>37851</v>
      </c>
      <c r="F33" s="42"/>
      <c r="G33" s="42">
        <v>1</v>
      </c>
      <c r="H33" s="42"/>
      <c r="I33" s="42" t="s">
        <v>306</v>
      </c>
      <c r="J33" s="42" t="s">
        <v>777</v>
      </c>
      <c r="K33" s="53">
        <f t="shared" si="6"/>
        <v>756</v>
      </c>
      <c r="L33" s="44">
        <f t="shared" si="7"/>
        <v>295.5</v>
      </c>
      <c r="M33" s="42" t="s">
        <v>798</v>
      </c>
      <c r="N33" s="52" t="str">
        <f t="shared" si="5"/>
        <v>(10,'PS-10-OZ2','Poste de Sectionnement n°10 OZ2','Monday-08-jj','Monday-08-jj',,1,),</v>
      </c>
    </row>
    <row r="34" spans="1:14" ht="20.100000000000001" customHeight="1" x14ac:dyDescent="0.25">
      <c r="A34" s="39">
        <v>11</v>
      </c>
      <c r="B34" s="48" t="str">
        <f t="shared" si="1"/>
        <v>PS-11-OZ2</v>
      </c>
      <c r="C34" s="52" t="str">
        <f t="shared" si="2"/>
        <v>Poste de Sectionnement n°11 OZ2</v>
      </c>
      <c r="D34" s="19">
        <v>37851</v>
      </c>
      <c r="E34" s="19">
        <v>37851</v>
      </c>
      <c r="F34" s="42"/>
      <c r="G34" s="42">
        <v>1</v>
      </c>
      <c r="H34" s="42"/>
      <c r="I34" s="42" t="s">
        <v>306</v>
      </c>
      <c r="J34" s="42" t="s">
        <v>778</v>
      </c>
      <c r="K34" s="53">
        <f t="shared" si="6"/>
        <v>766</v>
      </c>
      <c r="L34" s="44">
        <f t="shared" si="7"/>
        <v>330</v>
      </c>
      <c r="M34" s="42" t="s">
        <v>798</v>
      </c>
      <c r="N34" s="52" t="str">
        <f t="shared" si="5"/>
        <v>(11,'PS-11-OZ2','Poste de Sectionnement n°11 OZ2','Monday-08-jj','Monday-08-jj',,1,),</v>
      </c>
    </row>
    <row r="35" spans="1:14" ht="20.100000000000001" customHeight="1" x14ac:dyDescent="0.25">
      <c r="A35" s="39">
        <v>12</v>
      </c>
      <c r="B35" s="48" t="str">
        <f t="shared" si="1"/>
        <v>PS-12-OZ2</v>
      </c>
      <c r="C35" s="52" t="str">
        <f t="shared" si="2"/>
        <v>Poste de Sectionnement n°12 OZ2</v>
      </c>
      <c r="D35" s="19">
        <v>37851</v>
      </c>
      <c r="E35" s="19">
        <v>37851</v>
      </c>
      <c r="F35" s="42"/>
      <c r="G35" s="42">
        <v>1</v>
      </c>
      <c r="H35" s="42"/>
      <c r="I35" s="42" t="s">
        <v>306</v>
      </c>
      <c r="J35" s="42" t="s">
        <v>779</v>
      </c>
      <c r="K35" s="53">
        <f t="shared" si="6"/>
        <v>848</v>
      </c>
      <c r="L35" s="44">
        <f t="shared" si="7"/>
        <v>360</v>
      </c>
      <c r="M35" s="42" t="s">
        <v>799</v>
      </c>
      <c r="N35" s="52" t="str">
        <f t="shared" si="5"/>
        <v>(12,'PS-12-OZ2','Poste de Sectionnement n°12 OZ2','Monday-08-jj','Monday-08-jj',,1,),</v>
      </c>
    </row>
    <row r="36" spans="1:14" ht="20.100000000000001" customHeight="1" x14ac:dyDescent="0.25">
      <c r="A36" s="39">
        <v>13</v>
      </c>
      <c r="B36" s="48" t="str">
        <f t="shared" si="1"/>
        <v>PS-13-OZ2</v>
      </c>
      <c r="C36" s="52" t="str">
        <f t="shared" si="2"/>
        <v>Poste de Sectionnement n°13 OZ2</v>
      </c>
      <c r="D36" s="19">
        <v>37851</v>
      </c>
      <c r="E36" s="19">
        <v>37851</v>
      </c>
      <c r="F36" s="42"/>
      <c r="G36" s="42">
        <v>1</v>
      </c>
      <c r="H36" s="42"/>
      <c r="I36" s="42" t="s">
        <v>306</v>
      </c>
      <c r="J36" s="42" t="s">
        <v>780</v>
      </c>
      <c r="K36" s="53">
        <f t="shared" si="6"/>
        <v>790</v>
      </c>
      <c r="L36" s="44">
        <f t="shared" si="7"/>
        <v>390</v>
      </c>
      <c r="M36" s="42" t="s">
        <v>800</v>
      </c>
      <c r="N36" s="52" t="str">
        <f t="shared" si="5"/>
        <v>(13,'PS-13-OZ2','Poste de Sectionnement n°13 OZ2','Monday-08-jj','Monday-08-jj',,1,),</v>
      </c>
    </row>
    <row r="37" spans="1:14" ht="20.100000000000001" customHeight="1" x14ac:dyDescent="0.25">
      <c r="A37" s="39">
        <v>14</v>
      </c>
      <c r="B37" s="48" t="str">
        <f t="shared" si="1"/>
        <v>PS-14-OZ2</v>
      </c>
      <c r="C37" s="52" t="str">
        <f t="shared" si="2"/>
        <v>Poste de Sectionnement n°14 OZ2</v>
      </c>
      <c r="D37" s="19">
        <v>37851</v>
      </c>
      <c r="E37" s="19">
        <v>37851</v>
      </c>
      <c r="F37" s="42"/>
      <c r="G37" s="42">
        <v>1</v>
      </c>
      <c r="H37" s="42"/>
      <c r="I37" s="42" t="s">
        <v>306</v>
      </c>
      <c r="J37" s="42" t="s">
        <v>781</v>
      </c>
      <c r="K37" s="53">
        <f t="shared" si="6"/>
        <v>1050</v>
      </c>
      <c r="L37" s="44">
        <f t="shared" si="7"/>
        <v>445</v>
      </c>
      <c r="M37" s="42" t="s">
        <v>801</v>
      </c>
      <c r="N37" s="52" t="str">
        <f t="shared" si="5"/>
        <v>(14,'PS-14-OZ2','Poste de Sectionnement n°14 OZ2','Monday-08-jj','Monday-08-jj',,1,),</v>
      </c>
    </row>
    <row r="38" spans="1:14" ht="20.100000000000001" customHeight="1" x14ac:dyDescent="0.25">
      <c r="A38" s="39">
        <v>15</v>
      </c>
      <c r="B38" s="48" t="str">
        <f t="shared" si="1"/>
        <v>PS-15-OZ2</v>
      </c>
      <c r="C38" s="52" t="str">
        <f t="shared" si="2"/>
        <v>Poste de Sectionnement n°15 OZ2</v>
      </c>
      <c r="D38" s="19">
        <v>37851</v>
      </c>
      <c r="E38" s="19">
        <v>37851</v>
      </c>
      <c r="F38" s="42"/>
      <c r="G38" s="42">
        <v>1</v>
      </c>
      <c r="H38" s="42"/>
      <c r="I38" s="42" t="s">
        <v>306</v>
      </c>
      <c r="J38" s="42" t="s">
        <v>782</v>
      </c>
      <c r="K38" s="53">
        <f t="shared" si="6"/>
        <v>1215</v>
      </c>
      <c r="L38" s="44">
        <f t="shared" si="7"/>
        <v>475</v>
      </c>
      <c r="M38" s="42" t="s">
        <v>802</v>
      </c>
      <c r="N38" s="52" t="str">
        <f t="shared" si="5"/>
        <v>(15,'PS-15-OZ2','Poste de Sectionnement n°15 OZ2','Monday-08-jj','Monday-08-jj',,1,),</v>
      </c>
    </row>
    <row r="39" spans="1:14" ht="20.100000000000001" customHeight="1" x14ac:dyDescent="0.25">
      <c r="A39" s="39">
        <v>16</v>
      </c>
      <c r="B39" s="48" t="str">
        <f t="shared" si="1"/>
        <v>PS-16-OZ2</v>
      </c>
      <c r="C39" s="52" t="str">
        <f t="shared" si="2"/>
        <v>Poste de Sectionnement n°16 OZ2</v>
      </c>
      <c r="D39" s="19">
        <v>37851</v>
      </c>
      <c r="E39" s="19">
        <v>37851</v>
      </c>
      <c r="F39" s="42"/>
      <c r="G39" s="42">
        <v>1</v>
      </c>
      <c r="H39" s="42"/>
      <c r="I39" s="42" t="s">
        <v>306</v>
      </c>
      <c r="J39" s="42" t="s">
        <v>783</v>
      </c>
      <c r="K39" s="53">
        <f t="shared" si="6"/>
        <v>986</v>
      </c>
      <c r="L39" s="44">
        <f t="shared" si="7"/>
        <v>505</v>
      </c>
      <c r="M39" s="42" t="s">
        <v>803</v>
      </c>
      <c r="N39" s="52" t="str">
        <f t="shared" si="5"/>
        <v>(16,'PS-16-OZ2','Poste de Sectionnement n°16 OZ2','Monday-08-jj','Monday-08-jj',,1,),</v>
      </c>
    </row>
    <row r="40" spans="1:14" ht="20.100000000000001" customHeight="1" x14ac:dyDescent="0.25">
      <c r="A40" s="39">
        <v>17</v>
      </c>
      <c r="B40" s="48" t="str">
        <f t="shared" si="1"/>
        <v>PS-17-OZ2</v>
      </c>
      <c r="C40" s="52" t="str">
        <f t="shared" si="2"/>
        <v>Poste de Sectionnement n°17 OZ2</v>
      </c>
      <c r="D40" s="19">
        <v>37851</v>
      </c>
      <c r="E40" s="19">
        <v>37851</v>
      </c>
      <c r="F40" s="42"/>
      <c r="G40" s="42">
        <v>1</v>
      </c>
      <c r="H40" s="42"/>
      <c r="I40" s="42" t="s">
        <v>306</v>
      </c>
      <c r="J40" s="42" t="s">
        <v>784</v>
      </c>
      <c r="K40" s="53">
        <f t="shared" si="6"/>
        <v>1132</v>
      </c>
      <c r="L40" s="44">
        <f t="shared" si="7"/>
        <v>564.5</v>
      </c>
      <c r="M40" s="42" t="s">
        <v>760</v>
      </c>
      <c r="N40" s="52" t="str">
        <f t="shared" si="5"/>
        <v>(17,'PS-17-OZ2','Poste de Sectionnement n°17 OZ2','Monday-08-jj','Monday-08-jj',,1,),</v>
      </c>
    </row>
    <row r="41" spans="1:14" ht="20.100000000000001" customHeight="1" x14ac:dyDescent="0.25">
      <c r="A41" s="39">
        <v>18</v>
      </c>
      <c r="B41" s="48" t="str">
        <f t="shared" si="1"/>
        <v>PS-18-OZ2</v>
      </c>
      <c r="C41" s="52" t="str">
        <f t="shared" si="2"/>
        <v>Poste de Sectionnement n°18 OZ2</v>
      </c>
      <c r="D41" s="19">
        <v>37851</v>
      </c>
      <c r="E41" s="19">
        <v>37851</v>
      </c>
      <c r="F41" s="42"/>
      <c r="G41" s="42">
        <v>1</v>
      </c>
      <c r="H41" s="42"/>
      <c r="I41" s="42" t="s">
        <v>306</v>
      </c>
      <c r="J41" s="42" t="s">
        <v>785</v>
      </c>
      <c r="K41" s="53">
        <f t="shared" si="6"/>
        <v>1225</v>
      </c>
      <c r="L41" s="44">
        <f t="shared" si="7"/>
        <v>594</v>
      </c>
      <c r="M41" s="42" t="s">
        <v>804</v>
      </c>
      <c r="N41" s="52" t="str">
        <f t="shared" si="5"/>
        <v>(18,'PS-18-OZ2','Poste de Sectionnement n°18 OZ2','Monday-08-jj','Monday-08-jj',,1,),</v>
      </c>
    </row>
    <row r="42" spans="1:14" ht="20.100000000000001" customHeight="1" x14ac:dyDescent="0.25">
      <c r="A42" s="39">
        <v>19</v>
      </c>
      <c r="B42" s="48" t="str">
        <f t="shared" si="1"/>
        <v>PS-19-OZ2</v>
      </c>
      <c r="C42" s="52" t="str">
        <f t="shared" si="2"/>
        <v>Poste de Sectionnement n°19 OZ2</v>
      </c>
      <c r="D42" s="19">
        <v>37851</v>
      </c>
      <c r="E42" s="19">
        <v>37851</v>
      </c>
      <c r="F42" s="42"/>
      <c r="G42" s="42">
        <v>1</v>
      </c>
      <c r="H42" s="42"/>
      <c r="I42" s="42" t="s">
        <v>306</v>
      </c>
      <c r="J42" s="42" t="s">
        <v>786</v>
      </c>
      <c r="K42" s="53">
        <f t="shared" si="6"/>
        <v>997</v>
      </c>
      <c r="L42" s="44">
        <f t="shared" si="7"/>
        <v>624</v>
      </c>
      <c r="M42" s="42" t="s">
        <v>805</v>
      </c>
      <c r="N42" s="52" t="str">
        <f t="shared" si="5"/>
        <v>(19,'PS-19-OZ2','Poste de Sectionnement n°19 OZ2','Monday-08-jj','Monday-08-jj',,1,),</v>
      </c>
    </row>
    <row r="43" spans="1:14" ht="20.100000000000001" customHeight="1" x14ac:dyDescent="0.25">
      <c r="A43" s="39">
        <v>20</v>
      </c>
      <c r="B43" s="48" t="str">
        <f t="shared" si="1"/>
        <v>PS-20-OZ2</v>
      </c>
      <c r="C43" s="52" t="str">
        <f t="shared" si="2"/>
        <v>Poste de Sectionnement n°20 OZ2</v>
      </c>
      <c r="D43" s="19">
        <v>37851</v>
      </c>
      <c r="E43" s="19">
        <v>37851</v>
      </c>
      <c r="F43" s="42"/>
      <c r="G43" s="42">
        <v>1</v>
      </c>
      <c r="H43" s="42"/>
      <c r="I43" s="42" t="s">
        <v>306</v>
      </c>
      <c r="J43" s="42" t="s">
        <v>787</v>
      </c>
      <c r="K43" s="53">
        <f t="shared" si="6"/>
        <v>599</v>
      </c>
      <c r="L43" s="44">
        <f t="shared" si="7"/>
        <v>654</v>
      </c>
      <c r="M43" s="42" t="s">
        <v>806</v>
      </c>
      <c r="N43" s="52" t="str">
        <f t="shared" si="5"/>
        <v>(20,'PS-20-OZ2','Poste de Sectionnement n°20 OZ2','Monday-08-jj','Monday-08-jj',,1,),</v>
      </c>
    </row>
    <row r="44" spans="1:14" ht="20.100000000000001" customHeight="1" x14ac:dyDescent="0.25">
      <c r="A44" s="39">
        <v>21</v>
      </c>
      <c r="B44" s="48" t="str">
        <f t="shared" si="1"/>
        <v>PS-21-OZ2</v>
      </c>
      <c r="C44" s="52" t="str">
        <f t="shared" si="2"/>
        <v>Poste de Sectionnement n°21 OZ2</v>
      </c>
      <c r="D44" s="19">
        <v>37851</v>
      </c>
      <c r="E44" s="19">
        <v>37851</v>
      </c>
      <c r="F44" s="42"/>
      <c r="G44" s="42">
        <v>1</v>
      </c>
      <c r="H44" s="42"/>
      <c r="I44" s="42" t="s">
        <v>306</v>
      </c>
      <c r="J44" s="42" t="s">
        <v>788</v>
      </c>
      <c r="K44" s="53">
        <f t="shared" si="6"/>
        <v>553</v>
      </c>
      <c r="L44" s="44">
        <f t="shared" si="7"/>
        <v>684</v>
      </c>
      <c r="M44" s="42" t="s">
        <v>807</v>
      </c>
      <c r="N44" s="52" t="str">
        <f t="shared" si="5"/>
        <v>(21,'PS-21-OZ2','Poste de Sectionnement n°21 OZ2','Monday-08-jj','Monday-08-jj',,1,),</v>
      </c>
    </row>
    <row r="45" spans="1:14" ht="20.100000000000001" customHeight="1" x14ac:dyDescent="0.25">
      <c r="A45" s="39">
        <v>22</v>
      </c>
      <c r="B45" s="48" t="str">
        <f t="shared" si="1"/>
        <v>PS-22-OZ2</v>
      </c>
      <c r="C45" s="52" t="str">
        <f t="shared" si="2"/>
        <v>Poste de Sectionnement n°22 OZ2</v>
      </c>
      <c r="D45" s="19">
        <v>37851</v>
      </c>
      <c r="E45" s="19">
        <v>37851</v>
      </c>
      <c r="F45" s="42"/>
      <c r="G45" s="42">
        <v>1</v>
      </c>
      <c r="H45" s="42"/>
      <c r="I45" s="42" t="s">
        <v>306</v>
      </c>
      <c r="J45" s="42" t="s">
        <v>789</v>
      </c>
      <c r="K45" s="53">
        <f t="shared" si="6"/>
        <v>146</v>
      </c>
      <c r="L45" s="44">
        <f t="shared" si="7"/>
        <v>714</v>
      </c>
      <c r="M45" s="42" t="s">
        <v>765</v>
      </c>
      <c r="N45" s="52" t="str">
        <f t="shared" si="5"/>
        <v>(22,'PS-22-OZ2','Poste de Sectionnement n°22 OZ2','Monday-08-jj','Monday-08-jj',,1,),</v>
      </c>
    </row>
    <row r="46" spans="1:14" ht="20.100000000000001" customHeight="1" x14ac:dyDescent="0.25">
      <c r="A46" s="39">
        <v>23</v>
      </c>
      <c r="B46" s="48" t="str">
        <f t="shared" si="1"/>
        <v>PS-23-OZ2</v>
      </c>
      <c r="C46" s="52" t="str">
        <f t="shared" si="2"/>
        <v>Poste de Sectionnement n°23 OZ2</v>
      </c>
      <c r="D46" s="19">
        <v>37851</v>
      </c>
      <c r="E46" s="19">
        <v>37851</v>
      </c>
      <c r="F46" s="42"/>
      <c r="G46" s="42">
        <v>1</v>
      </c>
      <c r="H46" s="42"/>
      <c r="I46" s="42" t="s">
        <v>306</v>
      </c>
      <c r="J46" s="42" t="s">
        <v>790</v>
      </c>
      <c r="K46" s="53">
        <f t="shared" si="6"/>
        <v>150</v>
      </c>
      <c r="L46" s="44">
        <f t="shared" si="7"/>
        <v>744</v>
      </c>
      <c r="M46" s="42" t="s">
        <v>808</v>
      </c>
      <c r="N46" s="52" t="str">
        <f t="shared" si="5"/>
        <v>(23,'PS-23-OZ2','Poste de Sectionnement n°23 OZ2','Monday-08-jj','Monday-08-jj',,1,),</v>
      </c>
    </row>
    <row r="47" spans="1:14" ht="20.100000000000001" customHeight="1" x14ac:dyDescent="0.25">
      <c r="A47" s="39">
        <v>24</v>
      </c>
      <c r="B47" s="48" t="str">
        <f t="shared" si="1"/>
        <v>PS-24-OZ2</v>
      </c>
      <c r="C47" s="52" t="str">
        <f t="shared" si="2"/>
        <v>Poste de Sectionnement n°24 OZ2</v>
      </c>
      <c r="D47" s="19">
        <v>37851</v>
      </c>
      <c r="E47" s="19">
        <v>37851</v>
      </c>
      <c r="F47" s="42"/>
      <c r="G47" s="42">
        <v>1</v>
      </c>
      <c r="H47" s="42"/>
      <c r="I47" s="42" t="s">
        <v>306</v>
      </c>
      <c r="J47" s="42" t="s">
        <v>791</v>
      </c>
      <c r="K47" s="53">
        <f t="shared" si="6"/>
        <v>26</v>
      </c>
      <c r="L47" s="44">
        <f t="shared" si="7"/>
        <v>774</v>
      </c>
      <c r="M47" s="42" t="s">
        <v>766</v>
      </c>
      <c r="N47" s="52" t="str">
        <f t="shared" si="5"/>
        <v>(24,'PS-24-OZ2','Poste de Sectionnement n°24 OZ2','Monday-08-jj','Monday-08-jj',,1,),</v>
      </c>
    </row>
    <row r="48" spans="1:14" ht="20.100000000000001" customHeight="1" x14ac:dyDescent="0.25">
      <c r="A48" s="39">
        <v>25</v>
      </c>
      <c r="B48" s="48" t="str">
        <f t="shared" si="1"/>
        <v>PS-25-OZ2</v>
      </c>
      <c r="C48" s="52" t="str">
        <f t="shared" si="2"/>
        <v>Poste de Sectionnement n°25 OZ2</v>
      </c>
      <c r="D48" s="19">
        <v>37851</v>
      </c>
      <c r="E48" s="19">
        <v>37851</v>
      </c>
      <c r="F48" s="42"/>
      <c r="G48" s="42">
        <v>1</v>
      </c>
      <c r="H48" s="42"/>
      <c r="I48" s="42" t="s">
        <v>306</v>
      </c>
      <c r="J48" s="42" t="s">
        <v>792</v>
      </c>
      <c r="K48" s="53">
        <f t="shared" si="6"/>
        <v>196</v>
      </c>
      <c r="L48" s="44">
        <f t="shared" si="7"/>
        <v>804</v>
      </c>
      <c r="M48" s="42" t="s">
        <v>809</v>
      </c>
      <c r="N48" s="52" t="str">
        <f t="shared" si="5"/>
        <v>(25,'PS-25-OZ2','Poste de Sectionnement n°25 OZ2','Monday-08-jj','Monday-08-jj',,1,),</v>
      </c>
    </row>
    <row r="49" spans="1:14" ht="20.100000000000001" customHeight="1" x14ac:dyDescent="0.25">
      <c r="A49" s="39">
        <v>1</v>
      </c>
      <c r="B49" s="48" t="str">
        <f t="shared" si="1"/>
        <v>PS-01-OK1</v>
      </c>
      <c r="C49" s="52" t="str">
        <f t="shared" si="2"/>
        <v>Poste de Sectionnement n°01 OK1</v>
      </c>
      <c r="D49" s="19">
        <v>26299</v>
      </c>
      <c r="E49" s="19">
        <v>26299</v>
      </c>
      <c r="F49" s="42"/>
      <c r="G49" s="42">
        <v>1</v>
      </c>
      <c r="H49" s="42"/>
      <c r="I49" s="42" t="s">
        <v>309</v>
      </c>
      <c r="J49" s="42" t="s">
        <v>810</v>
      </c>
      <c r="K49" s="53">
        <f t="shared" ref="K49:K70" si="8">VALUE(RIGHT(J49,LEN(J49)-SEARCH("/",J49)))</f>
        <v>159</v>
      </c>
      <c r="L49" s="44">
        <f t="shared" ref="L49:L70" si="9">VALUE(SUBSTITUTE(LEFT(J49,SEARCH("/",J49)-1),"+",","))</f>
        <v>0</v>
      </c>
      <c r="M49" s="42" t="s">
        <v>829</v>
      </c>
      <c r="N49" s="52" t="str">
        <f t="shared" si="5"/>
        <v>(1,'PS-01-OK1','Poste de Sectionnement n°01 OK1','Saturday-01-jj','Saturday-01-jj',,1,),</v>
      </c>
    </row>
    <row r="50" spans="1:14" ht="20.100000000000001" customHeight="1" x14ac:dyDescent="0.25">
      <c r="A50" s="39">
        <v>2</v>
      </c>
      <c r="B50" s="48" t="str">
        <f t="shared" ref="B50:B71" si="10">CONCATENATE("PS-",TEXT(A50,"00"),"-",I50)</f>
        <v>PS-02-OK1</v>
      </c>
      <c r="C50" s="52" t="str">
        <f t="shared" ref="C50:C71" si="11">CONCATENATE("Poste de Sectionnement n°",TEXT(A50,"00")," ",I50)</f>
        <v>Poste de Sectionnement n°02 OK1</v>
      </c>
      <c r="D50" s="19">
        <v>26299</v>
      </c>
      <c r="E50" s="19">
        <v>26299</v>
      </c>
      <c r="F50" s="42"/>
      <c r="G50" s="42">
        <v>1</v>
      </c>
      <c r="H50" s="42"/>
      <c r="I50" s="42" t="s">
        <v>309</v>
      </c>
      <c r="J50" s="42" t="s">
        <v>811</v>
      </c>
      <c r="K50" s="53">
        <f t="shared" si="8"/>
        <v>160</v>
      </c>
      <c r="L50" s="44">
        <f t="shared" si="9"/>
        <v>32</v>
      </c>
      <c r="M50" s="42" t="s">
        <v>830</v>
      </c>
      <c r="N50" s="52" t="str">
        <f t="shared" si="5"/>
        <v>(2,'PS-02-OK1','Poste de Sectionnement n°02 OK1','Saturday-01-jj','Saturday-01-jj',,1,),</v>
      </c>
    </row>
    <row r="51" spans="1:14" ht="20.100000000000001" customHeight="1" x14ac:dyDescent="0.25">
      <c r="A51" s="39">
        <v>3</v>
      </c>
      <c r="B51" s="48" t="str">
        <f t="shared" si="10"/>
        <v>PS-03-OK1</v>
      </c>
      <c r="C51" s="52" t="str">
        <f t="shared" si="11"/>
        <v>Poste de Sectionnement n°03 OK1</v>
      </c>
      <c r="D51" s="19">
        <v>26299</v>
      </c>
      <c r="E51" s="19">
        <v>26299</v>
      </c>
      <c r="F51" s="42"/>
      <c r="G51" s="42">
        <v>1</v>
      </c>
      <c r="H51" s="42"/>
      <c r="I51" s="42" t="s">
        <v>309</v>
      </c>
      <c r="J51" s="42" t="s">
        <v>812</v>
      </c>
      <c r="K51" s="53">
        <f t="shared" si="8"/>
        <v>150</v>
      </c>
      <c r="L51" s="44">
        <f t="shared" si="9"/>
        <v>63.113999999999997</v>
      </c>
      <c r="M51" s="42" t="s">
        <v>831</v>
      </c>
      <c r="N51" s="52" t="str">
        <f t="shared" si="5"/>
        <v>(3,'PS-03-OK1','Poste de Sectionnement n°03 OK1','Saturday-01-jj','Saturday-01-jj',,1,),</v>
      </c>
    </row>
    <row r="52" spans="1:14" ht="20.100000000000001" customHeight="1" x14ac:dyDescent="0.25">
      <c r="A52" s="39">
        <v>4</v>
      </c>
      <c r="B52" s="48" t="str">
        <f t="shared" si="10"/>
        <v>PS-04-OK1</v>
      </c>
      <c r="C52" s="52" t="str">
        <f t="shared" si="11"/>
        <v>Poste de Sectionnement n°04 OK1</v>
      </c>
      <c r="D52" s="19">
        <v>26299</v>
      </c>
      <c r="E52" s="19">
        <v>26299</v>
      </c>
      <c r="F52" s="42"/>
      <c r="G52" s="42">
        <v>1</v>
      </c>
      <c r="H52" s="42"/>
      <c r="I52" s="42" t="s">
        <v>309</v>
      </c>
      <c r="J52" s="42" t="s">
        <v>813</v>
      </c>
      <c r="K52" s="53">
        <f t="shared" si="8"/>
        <v>110</v>
      </c>
      <c r="L52" s="44">
        <f t="shared" si="9"/>
        <v>126.057</v>
      </c>
      <c r="M52" s="42" t="s">
        <v>832</v>
      </c>
      <c r="N52" s="52" t="str">
        <f t="shared" si="5"/>
        <v>(4,'PS-04-OK1','Poste de Sectionnement n°04 OK1','Saturday-01-jj','Saturday-01-jj',,1,),</v>
      </c>
    </row>
    <row r="53" spans="1:14" ht="20.100000000000001" customHeight="1" x14ac:dyDescent="0.25">
      <c r="A53" s="39">
        <v>5</v>
      </c>
      <c r="B53" s="48" t="str">
        <f t="shared" si="10"/>
        <v>PS-05-OK1</v>
      </c>
      <c r="C53" s="52" t="str">
        <f t="shared" si="11"/>
        <v>Poste de Sectionnement n°05 OK1</v>
      </c>
      <c r="D53" s="19">
        <v>26299</v>
      </c>
      <c r="E53" s="19">
        <v>26299</v>
      </c>
      <c r="F53" s="42"/>
      <c r="G53" s="42">
        <v>1</v>
      </c>
      <c r="H53" s="42"/>
      <c r="I53" s="42" t="s">
        <v>309</v>
      </c>
      <c r="J53" s="42" t="s">
        <v>814</v>
      </c>
      <c r="K53" s="53">
        <f t="shared" si="8"/>
        <v>80</v>
      </c>
      <c r="L53" s="44">
        <f t="shared" si="9"/>
        <v>190.56</v>
      </c>
      <c r="M53" s="42" t="s">
        <v>833</v>
      </c>
      <c r="N53" s="52" t="str">
        <f t="shared" si="5"/>
        <v>(5,'PS-05-OK1','Poste de Sectionnement n°05 OK1','Saturday-01-jj','Saturday-01-jj',,1,),</v>
      </c>
    </row>
    <row r="54" spans="1:14" ht="20.100000000000001" customHeight="1" x14ac:dyDescent="0.25">
      <c r="A54" s="39">
        <v>6</v>
      </c>
      <c r="B54" s="48" t="str">
        <f t="shared" si="10"/>
        <v>PS-06-OK1</v>
      </c>
      <c r="C54" s="52" t="str">
        <f t="shared" si="11"/>
        <v>Poste de Sectionnement n°06 OK1</v>
      </c>
      <c r="D54" s="19">
        <v>26299</v>
      </c>
      <c r="E54" s="19">
        <v>26299</v>
      </c>
      <c r="F54" s="42"/>
      <c r="G54" s="42">
        <v>1</v>
      </c>
      <c r="H54" s="42"/>
      <c r="I54" s="42" t="s">
        <v>309</v>
      </c>
      <c r="J54" s="42" t="s">
        <v>814</v>
      </c>
      <c r="K54" s="53">
        <f t="shared" si="8"/>
        <v>80</v>
      </c>
      <c r="L54" s="44">
        <f t="shared" si="9"/>
        <v>190.56</v>
      </c>
      <c r="M54" s="42" t="s">
        <v>833</v>
      </c>
      <c r="N54" s="52" t="str">
        <f t="shared" si="5"/>
        <v>(6,'PS-06-OK1','Poste de Sectionnement n°06 OK1','Saturday-01-jj','Saturday-01-jj',,1,),</v>
      </c>
    </row>
    <row r="55" spans="1:14" ht="20.100000000000001" customHeight="1" x14ac:dyDescent="0.25">
      <c r="A55" s="39">
        <v>7</v>
      </c>
      <c r="B55" s="48" t="str">
        <f t="shared" si="10"/>
        <v>PS-07-OK1</v>
      </c>
      <c r="C55" s="52" t="str">
        <f t="shared" si="11"/>
        <v>Poste de Sectionnement n°07 OK1</v>
      </c>
      <c r="D55" s="19">
        <v>26299</v>
      </c>
      <c r="E55" s="19">
        <v>26299</v>
      </c>
      <c r="F55" s="42"/>
      <c r="G55" s="42">
        <v>1</v>
      </c>
      <c r="H55" s="42"/>
      <c r="I55" s="42" t="s">
        <v>309</v>
      </c>
      <c r="J55" s="42" t="s">
        <v>815</v>
      </c>
      <c r="K55" s="53">
        <f t="shared" si="8"/>
        <v>80</v>
      </c>
      <c r="L55" s="44">
        <f t="shared" si="9"/>
        <v>233.40100000000001</v>
      </c>
      <c r="M55" s="42" t="s">
        <v>834</v>
      </c>
      <c r="N55" s="52" t="str">
        <f t="shared" si="5"/>
        <v>(7,'PS-07-OK1','Poste de Sectionnement n°07 OK1','Saturday-01-jj','Saturday-01-jj',,1,),</v>
      </c>
    </row>
    <row r="56" spans="1:14" ht="20.100000000000001" customHeight="1" x14ac:dyDescent="0.25">
      <c r="A56" s="39">
        <v>8</v>
      </c>
      <c r="B56" s="48" t="str">
        <f t="shared" si="10"/>
        <v>PS-08-OK1</v>
      </c>
      <c r="C56" s="52" t="str">
        <f t="shared" si="11"/>
        <v>Poste de Sectionnement n°08 OK1</v>
      </c>
      <c r="D56" s="19">
        <v>26299</v>
      </c>
      <c r="E56" s="19">
        <v>26299</v>
      </c>
      <c r="F56" s="42"/>
      <c r="G56" s="42">
        <v>1</v>
      </c>
      <c r="H56" s="42"/>
      <c r="I56" s="42" t="s">
        <v>309</v>
      </c>
      <c r="J56" s="42" t="s">
        <v>816</v>
      </c>
      <c r="K56" s="53">
        <f t="shared" si="8"/>
        <v>100</v>
      </c>
      <c r="L56" s="44">
        <f t="shared" si="9"/>
        <v>265.084</v>
      </c>
      <c r="M56" s="42" t="s">
        <v>835</v>
      </c>
      <c r="N56" s="52" t="str">
        <f t="shared" si="5"/>
        <v>(8,'PS-08-OK1','Poste de Sectionnement n°08 OK1','Saturday-01-jj','Saturday-01-jj',,1,),</v>
      </c>
    </row>
    <row r="57" spans="1:14" ht="20.100000000000001" customHeight="1" x14ac:dyDescent="0.25">
      <c r="A57" s="39">
        <v>9</v>
      </c>
      <c r="B57" s="48" t="str">
        <f t="shared" si="10"/>
        <v>PS-09-OK1</v>
      </c>
      <c r="C57" s="52" t="str">
        <f t="shared" si="11"/>
        <v>Poste de Sectionnement n°09 OK1</v>
      </c>
      <c r="D57" s="19">
        <v>26299</v>
      </c>
      <c r="E57" s="19">
        <v>26299</v>
      </c>
      <c r="F57" s="42"/>
      <c r="G57" s="42">
        <v>1</v>
      </c>
      <c r="H57" s="42"/>
      <c r="I57" s="42" t="s">
        <v>309</v>
      </c>
      <c r="J57" s="42" t="s">
        <v>817</v>
      </c>
      <c r="K57" s="53">
        <f t="shared" si="8"/>
        <v>190</v>
      </c>
      <c r="L57" s="44">
        <f t="shared" si="9"/>
        <v>338.64299999999997</v>
      </c>
      <c r="M57" s="42" t="s">
        <v>836</v>
      </c>
      <c r="N57" s="52" t="str">
        <f t="shared" si="5"/>
        <v>(9,'PS-09-OK1','Poste de Sectionnement n°09 OK1','Saturday-01-jj','Saturday-01-jj',,1,),</v>
      </c>
    </row>
    <row r="58" spans="1:14" ht="20.100000000000001" customHeight="1" x14ac:dyDescent="0.25">
      <c r="A58" s="39">
        <v>10</v>
      </c>
      <c r="B58" s="48" t="str">
        <f t="shared" si="10"/>
        <v>PS-10-OK1</v>
      </c>
      <c r="C58" s="52" t="str">
        <f t="shared" si="11"/>
        <v>Poste de Sectionnement n°10 OK1</v>
      </c>
      <c r="D58" s="19">
        <v>26299</v>
      </c>
      <c r="E58" s="19">
        <v>26299</v>
      </c>
      <c r="F58" s="42"/>
      <c r="G58" s="42">
        <v>1</v>
      </c>
      <c r="H58" s="42"/>
      <c r="I58" s="42" t="s">
        <v>309</v>
      </c>
      <c r="J58" s="42" t="s">
        <v>817</v>
      </c>
      <c r="K58" s="53">
        <f t="shared" si="8"/>
        <v>190</v>
      </c>
      <c r="L58" s="44">
        <f t="shared" si="9"/>
        <v>338.64299999999997</v>
      </c>
      <c r="M58" s="42" t="s">
        <v>836</v>
      </c>
      <c r="N58" s="52" t="str">
        <f t="shared" si="5"/>
        <v>(10,'PS-10-OK1','Poste de Sectionnement n°10 OK1','Saturday-01-jj','Saturday-01-jj',,1,),</v>
      </c>
    </row>
    <row r="59" spans="1:14" ht="20.100000000000001" customHeight="1" x14ac:dyDescent="0.25">
      <c r="A59" s="39" t="s">
        <v>847</v>
      </c>
      <c r="B59" s="48" t="str">
        <f t="shared" si="10"/>
        <v>PS-10Bis-OK1</v>
      </c>
      <c r="C59" s="52" t="str">
        <f t="shared" si="11"/>
        <v>Poste de Sectionnement n°10Bis OK1</v>
      </c>
      <c r="D59" s="19">
        <v>26299</v>
      </c>
      <c r="E59" s="19">
        <v>26299</v>
      </c>
      <c r="F59" s="42"/>
      <c r="G59" s="42">
        <v>1</v>
      </c>
      <c r="H59" s="42"/>
      <c r="I59" s="42" t="s">
        <v>309</v>
      </c>
      <c r="J59" s="42" t="s">
        <v>818</v>
      </c>
      <c r="K59" s="53">
        <f t="shared" ref="K59:K60" si="12">VALUE(RIGHT(J59,LEN(J59)-SEARCH("/",J59)))</f>
        <v>310</v>
      </c>
      <c r="L59" s="44">
        <f t="shared" ref="L59:L60" si="13">VALUE(SUBSTITUTE(LEFT(J59,SEARCH("/",J59)-1),"+",","))</f>
        <v>366.87</v>
      </c>
      <c r="M59" s="42" t="s">
        <v>837</v>
      </c>
      <c r="N59" s="52" t="str">
        <f t="shared" si="5"/>
        <v>(10Bis,'PS-10Bis-OK1','Poste de Sectionnement n°10Bis OK1','Saturday-01-jj','Saturday-01-jj',,1,),</v>
      </c>
    </row>
    <row r="60" spans="1:14" ht="20.100000000000001" customHeight="1" x14ac:dyDescent="0.25">
      <c r="A60" s="39" t="s">
        <v>848</v>
      </c>
      <c r="B60" s="48" t="str">
        <f t="shared" si="10"/>
        <v>PS-10Ter-OK1</v>
      </c>
      <c r="C60" s="52" t="str">
        <f t="shared" si="11"/>
        <v>Poste de Sectionnement n°10Ter OK1</v>
      </c>
      <c r="D60" s="19">
        <v>26299</v>
      </c>
      <c r="E60" s="19">
        <v>26299</v>
      </c>
      <c r="F60" s="42"/>
      <c r="G60" s="42">
        <v>1</v>
      </c>
      <c r="H60" s="42"/>
      <c r="I60" s="42" t="s">
        <v>309</v>
      </c>
      <c r="J60" s="42" t="s">
        <v>819</v>
      </c>
      <c r="K60" s="53">
        <f t="shared" si="12"/>
        <v>280</v>
      </c>
      <c r="L60" s="44">
        <f t="shared" si="13"/>
        <v>396.85399999999998</v>
      </c>
      <c r="M60" s="42" t="s">
        <v>837</v>
      </c>
      <c r="N60" s="52" t="str">
        <f t="shared" si="5"/>
        <v>(10Ter,'PS-10Ter-OK1','Poste de Sectionnement n°10Ter OK1','Saturday-01-jj','Saturday-01-jj',,1,),</v>
      </c>
    </row>
    <row r="61" spans="1:14" ht="20.100000000000001" customHeight="1" x14ac:dyDescent="0.25">
      <c r="A61" s="39">
        <v>11</v>
      </c>
      <c r="B61" s="48" t="str">
        <f t="shared" si="10"/>
        <v>PS-11-OK1</v>
      </c>
      <c r="C61" s="52" t="str">
        <f t="shared" si="11"/>
        <v>Poste de Sectionnement n°11 OK1</v>
      </c>
      <c r="D61" s="19">
        <v>26299</v>
      </c>
      <c r="E61" s="19">
        <v>26299</v>
      </c>
      <c r="F61" s="42"/>
      <c r="G61" s="42">
        <v>1</v>
      </c>
      <c r="H61" s="42"/>
      <c r="I61" s="42" t="s">
        <v>309</v>
      </c>
      <c r="J61" s="42" t="s">
        <v>820</v>
      </c>
      <c r="K61" s="53">
        <f t="shared" si="8"/>
        <v>640</v>
      </c>
      <c r="L61" s="44">
        <f t="shared" si="9"/>
        <v>431.42700000000002</v>
      </c>
      <c r="M61" s="42" t="s">
        <v>838</v>
      </c>
      <c r="N61" s="52" t="str">
        <f t="shared" si="5"/>
        <v>(11,'PS-11-OK1','Poste de Sectionnement n°11 OK1','Saturday-01-jj','Saturday-01-jj',,1,),</v>
      </c>
    </row>
    <row r="62" spans="1:14" ht="20.100000000000001" customHeight="1" x14ac:dyDescent="0.25">
      <c r="A62" s="39">
        <v>12</v>
      </c>
      <c r="B62" s="48" t="str">
        <f t="shared" si="10"/>
        <v>PS-12-OK1</v>
      </c>
      <c r="C62" s="52" t="str">
        <f t="shared" si="11"/>
        <v>Poste de Sectionnement n°12 OK1</v>
      </c>
      <c r="D62" s="19">
        <v>26299</v>
      </c>
      <c r="E62" s="19">
        <v>26299</v>
      </c>
      <c r="F62" s="42"/>
      <c r="G62" s="42">
        <v>1</v>
      </c>
      <c r="H62" s="42"/>
      <c r="I62" s="42" t="s">
        <v>309</v>
      </c>
      <c r="J62" s="42" t="s">
        <v>820</v>
      </c>
      <c r="K62" s="53">
        <f t="shared" si="8"/>
        <v>640</v>
      </c>
      <c r="L62" s="44">
        <f t="shared" si="9"/>
        <v>431.42700000000002</v>
      </c>
      <c r="M62" s="42" t="s">
        <v>838</v>
      </c>
      <c r="N62" s="52" t="str">
        <f t="shared" si="5"/>
        <v>(12,'PS-12-OK1','Poste de Sectionnement n°12 OK1','Saturday-01-jj','Saturday-01-jj',,1,),</v>
      </c>
    </row>
    <row r="63" spans="1:14" ht="20.100000000000001" customHeight="1" x14ac:dyDescent="0.25">
      <c r="A63" s="39">
        <v>13</v>
      </c>
      <c r="B63" s="48" t="str">
        <f t="shared" si="10"/>
        <v>PS-13-OK1</v>
      </c>
      <c r="C63" s="52" t="str">
        <f t="shared" si="11"/>
        <v>Poste de Sectionnement n°13 OK1</v>
      </c>
      <c r="D63" s="19">
        <v>26299</v>
      </c>
      <c r="E63" s="19">
        <v>26299</v>
      </c>
      <c r="F63" s="42"/>
      <c r="G63" s="42">
        <v>1</v>
      </c>
      <c r="H63" s="42"/>
      <c r="I63" s="42" t="s">
        <v>309</v>
      </c>
      <c r="J63" s="42" t="s">
        <v>821</v>
      </c>
      <c r="K63" s="53">
        <f t="shared" si="8"/>
        <v>930</v>
      </c>
      <c r="L63" s="44">
        <f t="shared" si="9"/>
        <v>463.12099999999998</v>
      </c>
      <c r="M63" s="42" t="s">
        <v>839</v>
      </c>
      <c r="N63" s="52" t="str">
        <f t="shared" si="5"/>
        <v>(13,'PS-13-OK1','Poste de Sectionnement n°13 OK1','Saturday-01-jj','Saturday-01-jj',,1,),</v>
      </c>
    </row>
    <row r="64" spans="1:14" ht="20.100000000000001" customHeight="1" x14ac:dyDescent="0.25">
      <c r="A64" s="39">
        <v>14</v>
      </c>
      <c r="B64" s="48" t="str">
        <f t="shared" si="10"/>
        <v>PS-14-OK1</v>
      </c>
      <c r="C64" s="52" t="str">
        <f t="shared" si="11"/>
        <v>Poste de Sectionnement n°14 OK1</v>
      </c>
      <c r="D64" s="19">
        <v>26299</v>
      </c>
      <c r="E64" s="19">
        <v>26299</v>
      </c>
      <c r="F64" s="42"/>
      <c r="G64" s="42">
        <v>1</v>
      </c>
      <c r="H64" s="42"/>
      <c r="I64" s="42" t="s">
        <v>309</v>
      </c>
      <c r="J64" s="42" t="s">
        <v>822</v>
      </c>
      <c r="K64" s="53">
        <f t="shared" si="8"/>
        <v>950</v>
      </c>
      <c r="L64" s="44">
        <f t="shared" si="9"/>
        <v>494.38600000000002</v>
      </c>
      <c r="M64" s="42" t="s">
        <v>840</v>
      </c>
      <c r="N64" s="52" t="str">
        <f t="shared" si="5"/>
        <v>(14,'PS-14-OK1','Poste de Sectionnement n°14 OK1','Saturday-01-jj','Saturday-01-jj',,1,),</v>
      </c>
    </row>
    <row r="65" spans="1:14" ht="20.100000000000001" customHeight="1" x14ac:dyDescent="0.25">
      <c r="A65" s="39" t="s">
        <v>849</v>
      </c>
      <c r="B65" s="48" t="str">
        <f t="shared" ref="B65" si="14">CONCATENATE("PS-",TEXT(A65,"00"),"-",I65)</f>
        <v>PS-14Bis-OK1</v>
      </c>
      <c r="C65" s="52" t="str">
        <f t="shared" ref="C65" si="15">CONCATENATE("Poste de Sectionnement n°",TEXT(A65,"00")," ",I65)</f>
        <v>Poste de Sectionnement n°14Bis OK1</v>
      </c>
      <c r="D65" s="19">
        <v>26299</v>
      </c>
      <c r="E65" s="19">
        <v>26299</v>
      </c>
      <c r="F65" s="42"/>
      <c r="G65" s="42">
        <v>1</v>
      </c>
      <c r="H65" s="42"/>
      <c r="I65" s="42" t="s">
        <v>309</v>
      </c>
      <c r="J65" s="42" t="s">
        <v>823</v>
      </c>
      <c r="K65" s="53">
        <f t="shared" ref="K65" si="16">VALUE(RIGHT(J65,LEN(J65)-SEARCH("/",J65)))</f>
        <v>830</v>
      </c>
      <c r="L65" s="44">
        <f t="shared" ref="L65" si="17">VALUE(SUBSTITUTE(LEFT(J65,SEARCH("/",J65)-1),"+",","))</f>
        <v>516.94600000000003</v>
      </c>
      <c r="M65" s="42" t="s">
        <v>841</v>
      </c>
      <c r="N65" s="52" t="str">
        <f t="shared" si="5"/>
        <v>(14Bis,'PS-14Bis-OK1','Poste de Sectionnement n°14Bis OK1','Saturday-01-jj','Saturday-01-jj',,1,),</v>
      </c>
    </row>
    <row r="66" spans="1:14" ht="20.100000000000001" customHeight="1" x14ac:dyDescent="0.25">
      <c r="A66" s="39">
        <v>15</v>
      </c>
      <c r="B66" s="48" t="str">
        <f t="shared" si="10"/>
        <v>PS-15-OK1</v>
      </c>
      <c r="C66" s="52" t="str">
        <f t="shared" si="11"/>
        <v>Poste de Sectionnement n°15 OK1</v>
      </c>
      <c r="D66" s="19">
        <v>26299</v>
      </c>
      <c r="E66" s="19">
        <v>26299</v>
      </c>
      <c r="F66" s="42"/>
      <c r="G66" s="42">
        <v>1</v>
      </c>
      <c r="H66" s="42"/>
      <c r="I66" s="42" t="s">
        <v>309</v>
      </c>
      <c r="J66" s="42" t="s">
        <v>824</v>
      </c>
      <c r="K66" s="53">
        <f t="shared" si="8"/>
        <v>670</v>
      </c>
      <c r="L66" s="44">
        <f t="shared" si="9"/>
        <v>547.42700000000002</v>
      </c>
      <c r="M66" s="42" t="s">
        <v>842</v>
      </c>
      <c r="N66" s="52" t="str">
        <f t="shared" si="5"/>
        <v>(15,'PS-15-OK1','Poste de Sectionnement n°15 OK1','Saturday-01-jj','Saturday-01-jj',,1,),</v>
      </c>
    </row>
    <row r="67" spans="1:14" ht="20.100000000000001" customHeight="1" x14ac:dyDescent="0.25">
      <c r="A67" s="39">
        <v>16</v>
      </c>
      <c r="B67" s="48" t="str">
        <f t="shared" si="10"/>
        <v>PS-16-OK1</v>
      </c>
      <c r="C67" s="52" t="str">
        <f t="shared" si="11"/>
        <v>Poste de Sectionnement n°16 OK1</v>
      </c>
      <c r="D67" s="19">
        <v>26299</v>
      </c>
      <c r="E67" s="19">
        <v>26299</v>
      </c>
      <c r="F67" s="42"/>
      <c r="G67" s="42">
        <v>1</v>
      </c>
      <c r="H67" s="42"/>
      <c r="I67" s="42" t="s">
        <v>309</v>
      </c>
      <c r="J67" s="42" t="s">
        <v>825</v>
      </c>
      <c r="K67" s="53">
        <f t="shared" si="8"/>
        <v>600</v>
      </c>
      <c r="L67" s="44">
        <f t="shared" si="9"/>
        <v>576.28499999999997</v>
      </c>
      <c r="M67" s="42" t="s">
        <v>843</v>
      </c>
      <c r="N67" s="52" t="str">
        <f t="shared" si="5"/>
        <v>(16,'PS-16-OK1','Poste de Sectionnement n°16 OK1','Saturday-01-jj','Saturday-01-jj',,1,),</v>
      </c>
    </row>
    <row r="68" spans="1:14" ht="20.100000000000001" customHeight="1" x14ac:dyDescent="0.25">
      <c r="A68" s="39" t="s">
        <v>850</v>
      </c>
      <c r="B68" s="48" t="str">
        <f t="shared" ref="B68" si="18">CONCATENATE("PS-",TEXT(A68,"00"),"-",I68)</f>
        <v>PS-16Bis-OK1</v>
      </c>
      <c r="C68" s="52" t="str">
        <f t="shared" ref="C68" si="19">CONCATENATE("Poste de Sectionnement n°",TEXT(A68,"00")," ",I68)</f>
        <v>Poste de Sectionnement n°16Bis OK1</v>
      </c>
      <c r="D68" s="19">
        <v>26299</v>
      </c>
      <c r="E68" s="19">
        <v>26299</v>
      </c>
      <c r="F68" s="42"/>
      <c r="G68" s="42">
        <v>1</v>
      </c>
      <c r="H68" s="42"/>
      <c r="I68" s="42" t="s">
        <v>309</v>
      </c>
      <c r="J68" s="42" t="s">
        <v>826</v>
      </c>
      <c r="K68" s="53">
        <f t="shared" ref="K68" si="20">VALUE(RIGHT(J68,LEN(J68)-SEARCH("/",J68)))</f>
        <v>460</v>
      </c>
      <c r="L68" s="44">
        <f t="shared" ref="L68" si="21">VALUE(SUBSTITUTE(LEFT(J68,SEARCH("/",J68)-1),"+",","))</f>
        <v>596.13699999999994</v>
      </c>
      <c r="M68" s="42" t="s">
        <v>844</v>
      </c>
      <c r="N68" s="52" t="str">
        <f t="shared" si="5"/>
        <v>(16Bis,'PS-16Bis-OK1','Poste de Sectionnement n°16Bis OK1','Saturday-01-jj','Saturday-01-jj',,1,),</v>
      </c>
    </row>
    <row r="69" spans="1:14" ht="20.100000000000001" customHeight="1" x14ac:dyDescent="0.25">
      <c r="A69" s="39">
        <v>17</v>
      </c>
      <c r="B69" s="48" t="str">
        <f t="shared" si="10"/>
        <v>PS-17-OK1</v>
      </c>
      <c r="C69" s="52" t="str">
        <f t="shared" si="11"/>
        <v>Poste de Sectionnement n°17 OK1</v>
      </c>
      <c r="D69" s="19">
        <v>26299</v>
      </c>
      <c r="E69" s="19">
        <v>26299</v>
      </c>
      <c r="F69" s="42"/>
      <c r="G69" s="42">
        <v>1</v>
      </c>
      <c r="H69" s="42"/>
      <c r="I69" s="42" t="s">
        <v>309</v>
      </c>
      <c r="J69" s="42" t="s">
        <v>827</v>
      </c>
      <c r="K69" s="53">
        <f t="shared" si="8"/>
        <v>12</v>
      </c>
      <c r="L69" s="44">
        <f t="shared" si="9"/>
        <v>615.01199999999994</v>
      </c>
      <c r="M69" s="42" t="s">
        <v>845</v>
      </c>
      <c r="N69" s="52" t="str">
        <f t="shared" si="5"/>
        <v>(17,'PS-17-OK1','Poste de Sectionnement n°17 OK1','Saturday-01-jj','Saturday-01-jj',,1,),</v>
      </c>
    </row>
    <row r="70" spans="1:14" ht="20.100000000000001" customHeight="1" x14ac:dyDescent="0.25">
      <c r="A70" s="39">
        <v>18</v>
      </c>
      <c r="B70" s="48" t="str">
        <f t="shared" si="10"/>
        <v>PS-18-OK1</v>
      </c>
      <c r="C70" s="52" t="str">
        <f t="shared" si="11"/>
        <v>Poste de Sectionnement n°18 OK1</v>
      </c>
      <c r="D70" s="19">
        <v>26299</v>
      </c>
      <c r="E70" s="19">
        <v>26299</v>
      </c>
      <c r="F70" s="42"/>
      <c r="G70" s="42">
        <v>1</v>
      </c>
      <c r="H70" s="42"/>
      <c r="I70" s="42" t="s">
        <v>309</v>
      </c>
      <c r="J70" s="42" t="s">
        <v>828</v>
      </c>
      <c r="K70" s="53">
        <f t="shared" si="8"/>
        <v>12</v>
      </c>
      <c r="L70" s="44">
        <f t="shared" si="9"/>
        <v>646.74699999999996</v>
      </c>
      <c r="M70" s="42" t="s">
        <v>846</v>
      </c>
      <c r="N70" s="52" t="str">
        <f t="shared" si="5"/>
        <v>(18,'PS-18-OK1','Poste de Sectionnement n°18 OK1','Saturday-01-jj','Saturday-01-jj',,1,),</v>
      </c>
    </row>
    <row r="71" spans="1:14" ht="20.100000000000001" customHeight="1" x14ac:dyDescent="0.25">
      <c r="A71" s="39">
        <v>1</v>
      </c>
      <c r="B71" s="40" t="str">
        <f t="shared" si="10"/>
        <v>PS-01-OB1</v>
      </c>
      <c r="C71" s="52" t="str">
        <f t="shared" si="11"/>
        <v>Poste de Sectionnement n°01 OB1</v>
      </c>
      <c r="D71" s="19">
        <v>21864</v>
      </c>
      <c r="E71" s="19">
        <v>21864</v>
      </c>
      <c r="F71" s="42"/>
      <c r="G71" s="42">
        <v>1</v>
      </c>
      <c r="H71" s="42"/>
      <c r="I71" s="42" t="s">
        <v>312</v>
      </c>
      <c r="J71" s="42" t="s">
        <v>852</v>
      </c>
      <c r="K71" s="53">
        <f t="shared" ref="K71:K76" si="22">VALUE(RIGHT(J71,LEN(J71)-SEARCH("/",J71)))</f>
        <v>119.9</v>
      </c>
      <c r="L71" s="44">
        <f t="shared" ref="L71:L76" si="23">VALUE(SUBSTITUTE(LEFT(J71,SEARCH("/",J71)-1),"+",","))</f>
        <v>64.447999999999993</v>
      </c>
      <c r="M71" s="42" t="s">
        <v>858</v>
      </c>
      <c r="N71" s="52" t="str">
        <f t="shared" si="5"/>
        <v>(1,'PS-01-OB1','Poste de Sectionnement n°01 OB1','Tuesday-11-jj','Tuesday-11-jj',,1,),</v>
      </c>
    </row>
    <row r="72" spans="1:14" ht="20.100000000000001" customHeight="1" x14ac:dyDescent="0.25">
      <c r="A72" s="39">
        <v>2</v>
      </c>
      <c r="B72" s="40" t="str">
        <f t="shared" ref="B72:B77" si="24">CONCATENATE("PS-",TEXT(A72,"00"),"-",I72)</f>
        <v>PS-02-OB1</v>
      </c>
      <c r="C72" s="52" t="str">
        <f t="shared" ref="C72:C77" si="25">CONCATENATE("Poste de Sectionnement n°",TEXT(A72,"00")," ",I72)</f>
        <v>Poste de Sectionnement n°02 OB1</v>
      </c>
      <c r="D72" s="19">
        <v>21864</v>
      </c>
      <c r="E72" s="19">
        <v>21864</v>
      </c>
      <c r="F72" s="42"/>
      <c r="G72" s="42">
        <v>1</v>
      </c>
      <c r="H72" s="42"/>
      <c r="I72" s="42" t="s">
        <v>312</v>
      </c>
      <c r="J72" s="42" t="s">
        <v>853</v>
      </c>
      <c r="K72" s="53">
        <f t="shared" si="22"/>
        <v>89.5</v>
      </c>
      <c r="L72" s="44">
        <f t="shared" si="23"/>
        <v>134.96</v>
      </c>
      <c r="M72" s="42" t="s">
        <v>859</v>
      </c>
      <c r="N72" s="52" t="str">
        <f t="shared" si="5"/>
        <v>(2,'PS-02-OB1','Poste de Sectionnement n°02 OB1','Tuesday-11-jj','Tuesday-11-jj',,1,),</v>
      </c>
    </row>
    <row r="73" spans="1:14" ht="20.100000000000001" customHeight="1" x14ac:dyDescent="0.25">
      <c r="A73" s="39">
        <v>3</v>
      </c>
      <c r="B73" s="40" t="str">
        <f t="shared" si="24"/>
        <v>PS-03-OB1</v>
      </c>
      <c r="C73" s="52" t="str">
        <f t="shared" si="25"/>
        <v>Poste de Sectionnement n°03 OB1</v>
      </c>
      <c r="D73" s="19">
        <v>21864</v>
      </c>
      <c r="E73" s="19">
        <v>21864</v>
      </c>
      <c r="F73" s="42"/>
      <c r="G73" s="42">
        <v>1</v>
      </c>
      <c r="H73" s="42"/>
      <c r="I73" s="42" t="s">
        <v>312</v>
      </c>
      <c r="J73" s="42" t="s">
        <v>854</v>
      </c>
      <c r="K73" s="53">
        <f t="shared" si="22"/>
        <v>82.82</v>
      </c>
      <c r="L73" s="44">
        <f t="shared" si="23"/>
        <v>265.02999999999997</v>
      </c>
      <c r="M73" s="42" t="s">
        <v>860</v>
      </c>
      <c r="N73" s="52" t="str">
        <f t="shared" si="5"/>
        <v>(3,'PS-03-OB1','Poste de Sectionnement n°03 OB1','Tuesday-11-jj','Tuesday-11-jj',,1,),</v>
      </c>
    </row>
    <row r="74" spans="1:14" ht="20.100000000000001" customHeight="1" x14ac:dyDescent="0.25">
      <c r="A74" s="39">
        <v>4</v>
      </c>
      <c r="B74" s="40" t="str">
        <f t="shared" si="24"/>
        <v>PS-04-OB1</v>
      </c>
      <c r="C74" s="52" t="str">
        <f t="shared" si="25"/>
        <v>Poste de Sectionnement n°04 OB1</v>
      </c>
      <c r="D74" s="19">
        <v>21864</v>
      </c>
      <c r="E74" s="19">
        <v>21864</v>
      </c>
      <c r="F74" s="42"/>
      <c r="G74" s="42">
        <v>1</v>
      </c>
      <c r="H74" s="42"/>
      <c r="I74" s="42" t="s">
        <v>312</v>
      </c>
      <c r="J74" s="42" t="s">
        <v>855</v>
      </c>
      <c r="K74" s="53">
        <f t="shared" si="22"/>
        <v>46.96</v>
      </c>
      <c r="L74" s="44">
        <f t="shared" si="23"/>
        <v>313.54000000000002</v>
      </c>
      <c r="M74" s="42" t="s">
        <v>861</v>
      </c>
      <c r="N74" s="52" t="str">
        <f t="shared" si="5"/>
        <v>(4,'PS-04-OB1','Poste de Sectionnement n°04 OB1','Tuesday-11-jj','Tuesday-11-jj',,1,),</v>
      </c>
    </row>
    <row r="75" spans="1:14" ht="20.100000000000001" customHeight="1" x14ac:dyDescent="0.25">
      <c r="A75" s="39" t="s">
        <v>851</v>
      </c>
      <c r="B75" s="40" t="str">
        <f t="shared" si="24"/>
        <v>PS-04Bis-OB1</v>
      </c>
      <c r="C75" s="52" t="str">
        <f t="shared" si="25"/>
        <v>Poste de Sectionnement n°04Bis OB1</v>
      </c>
      <c r="D75" s="19">
        <v>21864</v>
      </c>
      <c r="E75" s="19">
        <v>21864</v>
      </c>
      <c r="F75" s="42"/>
      <c r="G75" s="42">
        <v>1</v>
      </c>
      <c r="H75" s="42"/>
      <c r="I75" s="42" t="s">
        <v>312</v>
      </c>
      <c r="J75" s="42" t="s">
        <v>856</v>
      </c>
      <c r="K75" s="53">
        <f t="shared" si="22"/>
        <v>294.27699999999999</v>
      </c>
      <c r="L75" s="44">
        <f t="shared" si="23"/>
        <v>373.43099999999998</v>
      </c>
      <c r="M75" s="42" t="s">
        <v>862</v>
      </c>
      <c r="N75" s="52" t="str">
        <f t="shared" si="5"/>
        <v>(04Bis,'PS-04Bis-OB1','Poste de Sectionnement n°04Bis OB1','Tuesday-11-jj','Tuesday-11-jj',,1,),</v>
      </c>
    </row>
    <row r="76" spans="1:14" ht="20.100000000000001" customHeight="1" x14ac:dyDescent="0.25">
      <c r="A76" s="39">
        <v>5</v>
      </c>
      <c r="B76" s="40" t="str">
        <f t="shared" si="24"/>
        <v>PS-05-OB1</v>
      </c>
      <c r="C76" s="52" t="str">
        <f t="shared" si="25"/>
        <v>Poste de Sectionnement n°05 OB1</v>
      </c>
      <c r="D76" s="19">
        <v>21864</v>
      </c>
      <c r="E76" s="19">
        <v>21864</v>
      </c>
      <c r="F76" s="42"/>
      <c r="G76" s="42">
        <v>1</v>
      </c>
      <c r="H76" s="42"/>
      <c r="I76" s="42" t="s">
        <v>312</v>
      </c>
      <c r="J76" s="42" t="s">
        <v>857</v>
      </c>
      <c r="K76" s="53">
        <f t="shared" si="22"/>
        <v>419.75</v>
      </c>
      <c r="L76" s="44">
        <f t="shared" si="23"/>
        <v>449.6</v>
      </c>
      <c r="M76" s="42" t="s">
        <v>863</v>
      </c>
      <c r="N76" s="52" t="str">
        <f t="shared" si="5"/>
        <v>(5,'PS-05-OB1','Poste de Sectionnement n°05 OB1','Tuesday-11-jj','Tuesday-11-jj',,1,),</v>
      </c>
    </row>
    <row r="77" spans="1:14" ht="20.100000000000001" customHeight="1" x14ac:dyDescent="0.25">
      <c r="A77" s="39" t="s">
        <v>866</v>
      </c>
      <c r="B77" s="40" t="str">
        <f t="shared" si="24"/>
        <v>PS-N01-ROB1</v>
      </c>
      <c r="C77" s="52" t="str">
        <f t="shared" si="25"/>
        <v>Poste de Sectionnement n°N01 ROB1</v>
      </c>
      <c r="D77" s="19">
        <v>44089</v>
      </c>
      <c r="E77" s="19">
        <v>44089</v>
      </c>
      <c r="F77" s="42"/>
      <c r="G77" s="42">
        <v>1</v>
      </c>
      <c r="H77" s="42"/>
      <c r="I77" s="42" t="s">
        <v>864</v>
      </c>
      <c r="J77" s="42" t="s">
        <v>881</v>
      </c>
      <c r="K77" s="53">
        <f t="shared" ref="K77:K96" si="26">VALUE(RIGHT(J77,LEN(J77)-SEARCH("/",J77)))</f>
        <v>527</v>
      </c>
      <c r="L77" s="44">
        <f t="shared" ref="L77:L96" si="27">VALUE(SUBSTITUTE(LEFT(J77,SEARCH("/",J77)-1),"+",","))</f>
        <v>10.201000000000001</v>
      </c>
      <c r="M77" s="42" t="s">
        <v>968</v>
      </c>
      <c r="N77" s="52" t="str">
        <f t="shared" ref="N77:N96" si="28">CONCATENATE("(",A77,",'",B77,"','",C77,"','",TEXT(D77,"aaaa-mm-jj"),"','",TEXT(E77,"aaaa-mm-jj"),"',",F77,",",G77,",",H77,"),")</f>
        <v>(N01,'PS-N01-ROB1','Poste de Sectionnement n°N01 ROB1','Tuesday-09-jj','Tuesday-09-jj',,1,),</v>
      </c>
    </row>
    <row r="78" spans="1:14" ht="20.100000000000001" customHeight="1" x14ac:dyDescent="0.25">
      <c r="A78" s="39" t="s">
        <v>867</v>
      </c>
      <c r="B78" s="40" t="str">
        <f t="shared" ref="B78:B82" si="29">CONCATENATE("PS-",TEXT(A78,"00"),"-",I78)</f>
        <v>PS-N02-ROB1</v>
      </c>
      <c r="C78" s="52" t="str">
        <f t="shared" ref="C78:C82" si="30">CONCATENATE("Poste de Sectionnement n°",TEXT(A78,"00")," ",I78)</f>
        <v>Poste de Sectionnement n°N02 ROB1</v>
      </c>
      <c r="D78" s="19">
        <v>44089</v>
      </c>
      <c r="E78" s="19">
        <v>44089</v>
      </c>
      <c r="F78" s="42"/>
      <c r="G78" s="42">
        <v>1</v>
      </c>
      <c r="H78" s="42"/>
      <c r="I78" s="42" t="s">
        <v>864</v>
      </c>
      <c r="J78" s="42" t="s">
        <v>882</v>
      </c>
      <c r="K78" s="53">
        <f t="shared" si="26"/>
        <v>669.4</v>
      </c>
      <c r="L78" s="44">
        <f t="shared" si="27"/>
        <v>23.334</v>
      </c>
      <c r="M78" s="42" t="s">
        <v>969</v>
      </c>
      <c r="N78" s="52" t="str">
        <f t="shared" si="28"/>
        <v>(N02,'PS-N02-ROB1','Poste de Sectionnement n°N02 ROB1','Tuesday-09-jj','Tuesday-09-jj',,1,),</v>
      </c>
    </row>
    <row r="79" spans="1:14" ht="20.100000000000001" customHeight="1" x14ac:dyDescent="0.25">
      <c r="A79" s="39" t="s">
        <v>868</v>
      </c>
      <c r="B79" s="40" t="str">
        <f t="shared" si="29"/>
        <v>PS-N03-ROB1</v>
      </c>
      <c r="C79" s="52" t="str">
        <f t="shared" si="30"/>
        <v>Poste de Sectionnement n°N03 ROB1</v>
      </c>
      <c r="D79" s="19">
        <v>44089</v>
      </c>
      <c r="E79" s="19">
        <v>44089</v>
      </c>
      <c r="F79" s="42"/>
      <c r="G79" s="42">
        <v>1</v>
      </c>
      <c r="H79" s="42"/>
      <c r="I79" s="42" t="s">
        <v>864</v>
      </c>
      <c r="J79" s="42" t="s">
        <v>883</v>
      </c>
      <c r="K79" s="53">
        <f t="shared" si="26"/>
        <v>828.3</v>
      </c>
      <c r="L79" s="44">
        <f t="shared" si="27"/>
        <v>35.04</v>
      </c>
      <c r="M79" s="42" t="s">
        <v>969</v>
      </c>
      <c r="N79" s="52" t="str">
        <f t="shared" si="28"/>
        <v>(N03,'PS-N03-ROB1','Poste de Sectionnement n°N03 ROB1','Tuesday-09-jj','Tuesday-09-jj',,1,),</v>
      </c>
    </row>
    <row r="80" spans="1:14" ht="20.100000000000001" customHeight="1" x14ac:dyDescent="0.25">
      <c r="A80" s="39" t="s">
        <v>871</v>
      </c>
      <c r="B80" s="40" t="str">
        <f t="shared" si="29"/>
        <v>PS-N03Bis-ROB1</v>
      </c>
      <c r="C80" s="52" t="str">
        <f t="shared" si="30"/>
        <v>Poste de Sectionnement n°N03Bis ROB1</v>
      </c>
      <c r="D80" s="19">
        <v>44089</v>
      </c>
      <c r="E80" s="19">
        <v>44089</v>
      </c>
      <c r="F80" s="42"/>
      <c r="G80" s="42">
        <v>1</v>
      </c>
      <c r="H80" s="42"/>
      <c r="I80" s="42" t="s">
        <v>864</v>
      </c>
      <c r="J80" s="42" t="s">
        <v>884</v>
      </c>
      <c r="K80" s="53">
        <f t="shared" si="26"/>
        <v>1032.25</v>
      </c>
      <c r="L80" s="44">
        <f t="shared" si="27"/>
        <v>45.691000000000003</v>
      </c>
      <c r="M80" s="42" t="s">
        <v>970</v>
      </c>
      <c r="N80" s="52" t="str">
        <f t="shared" si="28"/>
        <v>(N03Bis,'PS-N03Bis-ROB1','Poste de Sectionnement n°N03Bis ROB1','Tuesday-09-jj','Tuesday-09-jj',,1,),</v>
      </c>
    </row>
    <row r="81" spans="1:14" ht="20.100000000000001" customHeight="1" x14ac:dyDescent="0.25">
      <c r="A81" s="39" t="s">
        <v>869</v>
      </c>
      <c r="B81" s="40" t="str">
        <f>CONCATENATE("PS-",TEXT(A81,"00"),"-",I81)</f>
        <v>PS-N04-ROB1</v>
      </c>
      <c r="C81" s="52" t="str">
        <f>CONCATENATE("Poste de Sectionnement n°",TEXT(A81,"00")," ",I81)</f>
        <v>Poste de Sectionnement n°N04 ROB1</v>
      </c>
      <c r="D81" s="19">
        <v>44089</v>
      </c>
      <c r="E81" s="19">
        <v>44089</v>
      </c>
      <c r="F81" s="42"/>
      <c r="G81" s="42">
        <v>1</v>
      </c>
      <c r="H81" s="42"/>
      <c r="I81" s="42" t="s">
        <v>864</v>
      </c>
      <c r="J81" s="42" t="s">
        <v>885</v>
      </c>
      <c r="K81" s="53">
        <f t="shared" si="26"/>
        <v>645.59</v>
      </c>
      <c r="L81" s="44">
        <f t="shared" si="27"/>
        <v>55.241</v>
      </c>
      <c r="M81" s="42" t="s">
        <v>970</v>
      </c>
      <c r="N81" s="52" t="str">
        <f t="shared" si="28"/>
        <v>(N04,'PS-N04-ROB1','Poste de Sectionnement n°N04 ROB1','Tuesday-09-jj','Tuesday-09-jj',,1,),</v>
      </c>
    </row>
    <row r="82" spans="1:14" ht="20.100000000000001" customHeight="1" x14ac:dyDescent="0.25">
      <c r="A82" s="39" t="s">
        <v>870</v>
      </c>
      <c r="B82" s="40" t="str">
        <f t="shared" si="29"/>
        <v>PS-N05-ROB1</v>
      </c>
      <c r="C82" s="52" t="str">
        <f t="shared" si="30"/>
        <v>Poste de Sectionnement n°N05 ROB1</v>
      </c>
      <c r="D82" s="19">
        <v>44089</v>
      </c>
      <c r="E82" s="19">
        <v>44089</v>
      </c>
      <c r="F82" s="42"/>
      <c r="G82" s="42">
        <v>1</v>
      </c>
      <c r="H82" s="42"/>
      <c r="I82" s="42" t="s">
        <v>864</v>
      </c>
      <c r="J82" s="42" t="s">
        <v>886</v>
      </c>
      <c r="K82" s="53">
        <f t="shared" si="26"/>
        <v>499.52</v>
      </c>
      <c r="L82" s="44">
        <f t="shared" si="27"/>
        <v>66.156999999999996</v>
      </c>
      <c r="M82" s="42" t="s">
        <v>970</v>
      </c>
      <c r="N82" s="52" t="str">
        <f t="shared" si="28"/>
        <v>(N05,'PS-N05-ROB1','Poste de Sectionnement n°N05 ROB1','Tuesday-09-jj','Tuesday-09-jj',,1,),</v>
      </c>
    </row>
    <row r="83" spans="1:14" ht="20.100000000000001" customHeight="1" x14ac:dyDescent="0.25">
      <c r="A83" s="39" t="s">
        <v>872</v>
      </c>
      <c r="B83" s="40" t="str">
        <f t="shared" ref="B83:B91" si="31">CONCATENATE("PS-",TEXT(A83,"00"),"-",I83)</f>
        <v>PS-N06-ROB1</v>
      </c>
      <c r="C83" s="52" t="str">
        <f t="shared" ref="C83:C91" si="32">CONCATENATE("Poste de Sectionnement n°",TEXT(A83,"00")," ",I83)</f>
        <v>Poste de Sectionnement n°N06 ROB1</v>
      </c>
      <c r="D83" s="19">
        <v>44089</v>
      </c>
      <c r="E83" s="19">
        <v>44089</v>
      </c>
      <c r="F83" s="42"/>
      <c r="G83" s="42">
        <v>1</v>
      </c>
      <c r="H83" s="42"/>
      <c r="I83" s="42" t="s">
        <v>864</v>
      </c>
      <c r="J83" s="42" t="s">
        <v>887</v>
      </c>
      <c r="K83" s="53">
        <f t="shared" si="26"/>
        <v>383.8</v>
      </c>
      <c r="L83" s="44">
        <f t="shared" si="27"/>
        <v>80.11</v>
      </c>
      <c r="M83" s="42" t="s">
        <v>971</v>
      </c>
      <c r="N83" s="52" t="str">
        <f t="shared" si="28"/>
        <v>(N06,'PS-N06-ROB1','Poste de Sectionnement n°N06 ROB1','Tuesday-09-jj','Tuesday-09-jj',,1,),</v>
      </c>
    </row>
    <row r="84" spans="1:14" ht="20.100000000000001" customHeight="1" x14ac:dyDescent="0.25">
      <c r="A84" s="39" t="s">
        <v>880</v>
      </c>
      <c r="B84" s="40" t="str">
        <f t="shared" si="31"/>
        <v>PS-N06Bis-ROB1</v>
      </c>
      <c r="C84" s="52" t="str">
        <f t="shared" si="32"/>
        <v>Poste de Sectionnement n°N06Bis ROB1</v>
      </c>
      <c r="D84" s="19">
        <v>44089</v>
      </c>
      <c r="E84" s="19">
        <v>44089</v>
      </c>
      <c r="F84" s="42"/>
      <c r="G84" s="42">
        <v>1</v>
      </c>
      <c r="H84" s="42"/>
      <c r="I84" s="42" t="s">
        <v>864</v>
      </c>
      <c r="J84" s="42" t="s">
        <v>888</v>
      </c>
      <c r="K84" s="53">
        <f t="shared" si="26"/>
        <v>348.31</v>
      </c>
      <c r="L84" s="44">
        <f t="shared" si="27"/>
        <v>87.917000000000002</v>
      </c>
      <c r="M84" s="42" t="s">
        <v>972</v>
      </c>
      <c r="N84" s="52" t="str">
        <f t="shared" si="28"/>
        <v>(N06Bis,'PS-N06Bis-ROB1','Poste de Sectionnement n°N06Bis ROB1','Tuesday-09-jj','Tuesday-09-jj',,1,),</v>
      </c>
    </row>
    <row r="85" spans="1:14" ht="20.100000000000001" customHeight="1" x14ac:dyDescent="0.25">
      <c r="A85" s="39" t="s">
        <v>873</v>
      </c>
      <c r="B85" s="40" t="str">
        <f t="shared" si="31"/>
        <v>PS-N07-ROB1</v>
      </c>
      <c r="C85" s="52" t="str">
        <f t="shared" si="32"/>
        <v>Poste de Sectionnement n°N07 ROB1</v>
      </c>
      <c r="D85" s="19">
        <v>44089</v>
      </c>
      <c r="E85" s="19">
        <v>44089</v>
      </c>
      <c r="F85" s="42"/>
      <c r="G85" s="42">
        <v>1</v>
      </c>
      <c r="H85" s="42"/>
      <c r="I85" s="42" t="s">
        <v>864</v>
      </c>
      <c r="J85" s="42" t="s">
        <v>889</v>
      </c>
      <c r="K85" s="53">
        <f t="shared" si="26"/>
        <v>228.55</v>
      </c>
      <c r="L85" s="44">
        <f t="shared" si="27"/>
        <v>99.33</v>
      </c>
      <c r="M85" s="42" t="s">
        <v>973</v>
      </c>
      <c r="N85" s="52" t="str">
        <f t="shared" si="28"/>
        <v>(N07,'PS-N07-ROB1','Poste de Sectionnement n°N07 ROB1','Tuesday-09-jj','Tuesday-09-jj',,1,),</v>
      </c>
    </row>
    <row r="86" spans="1:14" ht="20.100000000000001" customHeight="1" x14ac:dyDescent="0.25">
      <c r="A86" s="39" t="s">
        <v>874</v>
      </c>
      <c r="B86" s="40" t="str">
        <f t="shared" si="31"/>
        <v>PS-N08-ROB1</v>
      </c>
      <c r="C86" s="52" t="str">
        <f t="shared" si="32"/>
        <v>Poste de Sectionnement n°N08 ROB1</v>
      </c>
      <c r="D86" s="19">
        <v>44089</v>
      </c>
      <c r="E86" s="19">
        <v>44089</v>
      </c>
      <c r="F86" s="42"/>
      <c r="G86" s="42">
        <v>1</v>
      </c>
      <c r="H86" s="42"/>
      <c r="I86" s="42" t="s">
        <v>864</v>
      </c>
      <c r="J86" s="42" t="s">
        <v>890</v>
      </c>
      <c r="K86" s="53">
        <f t="shared" si="26"/>
        <v>183.24</v>
      </c>
      <c r="L86" s="44">
        <f t="shared" si="27"/>
        <v>111.46299999999999</v>
      </c>
      <c r="M86" s="42" t="s">
        <v>974</v>
      </c>
      <c r="N86" s="52" t="str">
        <f t="shared" si="28"/>
        <v>(N08,'PS-N08-ROB1','Poste de Sectionnement n°N08 ROB1','Tuesday-09-jj','Tuesday-09-jj',,1,),</v>
      </c>
    </row>
    <row r="87" spans="1:14" ht="20.100000000000001" customHeight="1" x14ac:dyDescent="0.25">
      <c r="A87" s="39" t="s">
        <v>875</v>
      </c>
      <c r="B87" s="40" t="str">
        <f t="shared" si="31"/>
        <v>PS-N09-ROB1</v>
      </c>
      <c r="C87" s="52" t="str">
        <f t="shared" si="32"/>
        <v>Poste de Sectionnement n°N09 ROB1</v>
      </c>
      <c r="D87" s="19">
        <v>44089</v>
      </c>
      <c r="E87" s="19">
        <v>44089</v>
      </c>
      <c r="F87" s="42"/>
      <c r="G87" s="42">
        <v>1</v>
      </c>
      <c r="H87" s="42"/>
      <c r="I87" s="42" t="s">
        <v>864</v>
      </c>
      <c r="J87" s="42" t="s">
        <v>891</v>
      </c>
      <c r="K87" s="53">
        <f t="shared" si="26"/>
        <v>138.97</v>
      </c>
      <c r="L87" s="44">
        <f t="shared" si="27"/>
        <v>122.13</v>
      </c>
      <c r="M87" s="42" t="s">
        <v>975</v>
      </c>
      <c r="N87" s="52" t="str">
        <f t="shared" si="28"/>
        <v>(N09,'PS-N09-ROB1','Poste de Sectionnement n°N09 ROB1','Tuesday-09-jj','Tuesday-09-jj',,1,),</v>
      </c>
    </row>
    <row r="88" spans="1:14" ht="20.100000000000001" customHeight="1" x14ac:dyDescent="0.25">
      <c r="A88" s="39" t="s">
        <v>876</v>
      </c>
      <c r="B88" s="40" t="str">
        <f t="shared" si="31"/>
        <v>PS-N10-ROB1</v>
      </c>
      <c r="C88" s="52" t="str">
        <f t="shared" si="32"/>
        <v>Poste de Sectionnement n°N10 ROB1</v>
      </c>
      <c r="D88" s="19">
        <v>44089</v>
      </c>
      <c r="E88" s="19">
        <v>44089</v>
      </c>
      <c r="F88" s="42"/>
      <c r="G88" s="42">
        <v>1</v>
      </c>
      <c r="H88" s="42"/>
      <c r="I88" s="42" t="s">
        <v>864</v>
      </c>
      <c r="J88" s="42" t="s">
        <v>892</v>
      </c>
      <c r="K88" s="53">
        <f t="shared" si="26"/>
        <v>97.74</v>
      </c>
      <c r="L88" s="44">
        <f t="shared" si="27"/>
        <v>133.07</v>
      </c>
      <c r="M88" s="42" t="s">
        <v>976</v>
      </c>
      <c r="N88" s="52" t="str">
        <f t="shared" si="28"/>
        <v>(N10,'PS-N10-ROB1','Poste de Sectionnement n°N10 ROB1','Tuesday-09-jj','Tuesday-09-jj',,1,),</v>
      </c>
    </row>
    <row r="89" spans="1:14" ht="20.100000000000001" customHeight="1" x14ac:dyDescent="0.25">
      <c r="A89" s="39" t="s">
        <v>877</v>
      </c>
      <c r="B89" s="40" t="str">
        <f t="shared" si="31"/>
        <v>PS-N11-ROB1</v>
      </c>
      <c r="C89" s="52" t="str">
        <f t="shared" si="32"/>
        <v>Poste de Sectionnement n°N11 ROB1</v>
      </c>
      <c r="D89" s="19">
        <v>44089</v>
      </c>
      <c r="E89" s="19">
        <v>44089</v>
      </c>
      <c r="F89" s="42"/>
      <c r="G89" s="42">
        <v>1</v>
      </c>
      <c r="H89" s="42"/>
      <c r="I89" s="42" t="s">
        <v>864</v>
      </c>
      <c r="J89" s="42" t="s">
        <v>893</v>
      </c>
      <c r="K89" s="53">
        <f t="shared" si="26"/>
        <v>64.069999999999993</v>
      </c>
      <c r="L89" s="44">
        <f t="shared" si="27"/>
        <v>145.178</v>
      </c>
      <c r="M89" s="42" t="s">
        <v>977</v>
      </c>
      <c r="N89" s="52" t="str">
        <f t="shared" si="28"/>
        <v>(N11,'PS-N11-ROB1','Poste de Sectionnement n°N11 ROB1','Tuesday-09-jj','Tuesday-09-jj',,1,),</v>
      </c>
    </row>
    <row r="90" spans="1:14" ht="20.100000000000001" customHeight="1" x14ac:dyDescent="0.25">
      <c r="A90" s="39" t="s">
        <v>878</v>
      </c>
      <c r="B90" s="40" t="str">
        <f t="shared" si="31"/>
        <v>PS-N12-ROB1</v>
      </c>
      <c r="C90" s="52" t="str">
        <f t="shared" si="32"/>
        <v>Poste de Sectionnement n°N12 ROB1</v>
      </c>
      <c r="D90" s="19">
        <v>44089</v>
      </c>
      <c r="E90" s="19">
        <v>44089</v>
      </c>
      <c r="F90" s="42"/>
      <c r="G90" s="42">
        <v>1</v>
      </c>
      <c r="H90" s="42"/>
      <c r="I90" s="42" t="s">
        <v>864</v>
      </c>
      <c r="J90" s="42" t="s">
        <v>894</v>
      </c>
      <c r="K90" s="53">
        <f t="shared" si="26"/>
        <v>33.68</v>
      </c>
      <c r="L90" s="44">
        <f t="shared" si="27"/>
        <v>155.577</v>
      </c>
      <c r="M90" s="42" t="s">
        <v>978</v>
      </c>
      <c r="N90" s="52" t="str">
        <f t="shared" si="28"/>
        <v>(N12,'PS-N12-ROB1','Poste de Sectionnement n°N12 ROB1','Tuesday-09-jj','Tuesday-09-jj',,1,),</v>
      </c>
    </row>
    <row r="91" spans="1:14" ht="20.100000000000001" customHeight="1" x14ac:dyDescent="0.25">
      <c r="A91" s="39" t="s">
        <v>879</v>
      </c>
      <c r="B91" s="40" t="str">
        <f t="shared" si="31"/>
        <v>PS-N13-ROB1</v>
      </c>
      <c r="C91" s="52" t="str">
        <f t="shared" si="32"/>
        <v>Poste de Sectionnement n°N13 ROB1</v>
      </c>
      <c r="D91" s="19">
        <v>44089</v>
      </c>
      <c r="E91" s="19">
        <v>44089</v>
      </c>
      <c r="F91" s="42"/>
      <c r="G91" s="42">
        <v>1</v>
      </c>
      <c r="H91" s="42"/>
      <c r="I91" s="42" t="s">
        <v>864</v>
      </c>
      <c r="J91" s="42" t="s">
        <v>895</v>
      </c>
      <c r="K91" s="53">
        <f t="shared" si="26"/>
        <v>13.17</v>
      </c>
      <c r="L91" s="44">
        <f t="shared" si="27"/>
        <v>166.18100000000001</v>
      </c>
      <c r="M91" s="42" t="s">
        <v>979</v>
      </c>
      <c r="N91" s="52" t="str">
        <f t="shared" si="28"/>
        <v>(N13,'PS-N13-ROB1','Poste de Sectionnement n°N13 ROB1','Tuesday-09-jj','Tuesday-09-jj',,1,),</v>
      </c>
    </row>
    <row r="92" spans="1:14" ht="20.100000000000001" customHeight="1" x14ac:dyDescent="0.25">
      <c r="A92" s="39" t="s">
        <v>865</v>
      </c>
      <c r="B92" s="40" t="str">
        <f t="shared" ref="B92:B113" si="33">CONCATENATE("PS-",TEXT(A92,"00"),"-",I92)</f>
        <v>PS-S01-ROB1</v>
      </c>
      <c r="C92" s="52" t="str">
        <f t="shared" ref="C92:C113" si="34">CONCATENATE("Poste de Sectionnement n°",TEXT(A92,"00")," ",I92)</f>
        <v>Poste de Sectionnement n°S01 ROB1</v>
      </c>
      <c r="D92" s="19">
        <v>45231</v>
      </c>
      <c r="E92" s="19">
        <v>45231</v>
      </c>
      <c r="F92" s="42"/>
      <c r="G92" s="42">
        <v>1</v>
      </c>
      <c r="H92" s="42"/>
      <c r="I92" s="42" t="s">
        <v>864</v>
      </c>
      <c r="J92" s="42" t="s">
        <v>917</v>
      </c>
      <c r="K92" s="53">
        <f t="shared" si="26"/>
        <v>163</v>
      </c>
      <c r="L92" s="44">
        <f t="shared" si="27"/>
        <v>19</v>
      </c>
      <c r="M92" s="42" t="s">
        <v>939</v>
      </c>
      <c r="N92" s="52" t="str">
        <f t="shared" si="28"/>
        <v>(S01,'PS-S01-ROB1','Poste de Sectionnement n°S01 ROB1','Wednesday-11-jj','Wednesday-11-jj',,1,),</v>
      </c>
    </row>
    <row r="93" spans="1:14" ht="20.100000000000001" customHeight="1" x14ac:dyDescent="0.25">
      <c r="A93" s="39" t="s">
        <v>896</v>
      </c>
      <c r="B93" s="40" t="str">
        <f t="shared" si="33"/>
        <v>PS-S02-ROB1</v>
      </c>
      <c r="C93" s="52" t="str">
        <f t="shared" si="34"/>
        <v>Poste de Sectionnement n°S02 ROB1</v>
      </c>
      <c r="D93" s="19">
        <v>45231</v>
      </c>
      <c r="E93" s="19">
        <v>45231</v>
      </c>
      <c r="F93" s="42"/>
      <c r="G93" s="42">
        <v>1</v>
      </c>
      <c r="H93" s="42"/>
      <c r="I93" s="42" t="s">
        <v>864</v>
      </c>
      <c r="J93" s="42" t="s">
        <v>918</v>
      </c>
      <c r="K93" s="53">
        <f t="shared" si="26"/>
        <v>140</v>
      </c>
      <c r="L93" s="44">
        <f t="shared" si="27"/>
        <v>38</v>
      </c>
      <c r="M93" s="42" t="s">
        <v>939</v>
      </c>
      <c r="N93" s="52" t="str">
        <f t="shared" si="28"/>
        <v>(S02,'PS-S02-ROB1','Poste de Sectionnement n°S02 ROB1','Wednesday-11-jj','Wednesday-11-jj',,1,),</v>
      </c>
    </row>
    <row r="94" spans="1:14" ht="20.100000000000001" customHeight="1" x14ac:dyDescent="0.25">
      <c r="A94" s="39" t="s">
        <v>897</v>
      </c>
      <c r="B94" s="40" t="str">
        <f t="shared" si="33"/>
        <v>PS-S03-ROB1</v>
      </c>
      <c r="C94" s="52" t="str">
        <f t="shared" si="34"/>
        <v>Poste de Sectionnement n°S03 ROB1</v>
      </c>
      <c r="D94" s="19">
        <v>45231</v>
      </c>
      <c r="E94" s="19">
        <v>45231</v>
      </c>
      <c r="F94" s="42"/>
      <c r="G94" s="42">
        <v>1</v>
      </c>
      <c r="H94" s="42"/>
      <c r="I94" s="42" t="s">
        <v>864</v>
      </c>
      <c r="J94" s="42" t="s">
        <v>919</v>
      </c>
      <c r="K94" s="53">
        <f t="shared" si="26"/>
        <v>130</v>
      </c>
      <c r="L94" s="44">
        <f t="shared" si="27"/>
        <v>60</v>
      </c>
      <c r="M94" s="42" t="s">
        <v>940</v>
      </c>
      <c r="N94" s="52" t="str">
        <f t="shared" si="28"/>
        <v>(S03,'PS-S03-ROB1','Poste de Sectionnement n°S03 ROB1','Wednesday-11-jj','Wednesday-11-jj',,1,),</v>
      </c>
    </row>
    <row r="95" spans="1:14" ht="20.100000000000001" customHeight="1" x14ac:dyDescent="0.25">
      <c r="A95" s="39" t="s">
        <v>898</v>
      </c>
      <c r="B95" s="40" t="str">
        <f t="shared" si="33"/>
        <v>PS-S04-ROB1</v>
      </c>
      <c r="C95" s="52" t="str">
        <f t="shared" si="34"/>
        <v>Poste de Sectionnement n°S04 ROB1</v>
      </c>
      <c r="D95" s="19">
        <v>45231</v>
      </c>
      <c r="E95" s="19">
        <v>45231</v>
      </c>
      <c r="F95" s="42"/>
      <c r="G95" s="42">
        <v>1</v>
      </c>
      <c r="H95" s="42"/>
      <c r="I95" s="42" t="s">
        <v>864</v>
      </c>
      <c r="J95" s="42" t="s">
        <v>920</v>
      </c>
      <c r="K95" s="53">
        <f t="shared" si="26"/>
        <v>123</v>
      </c>
      <c r="L95" s="44">
        <f t="shared" si="27"/>
        <v>77</v>
      </c>
      <c r="M95" s="42" t="s">
        <v>940</v>
      </c>
      <c r="N95" s="52" t="str">
        <f t="shared" si="28"/>
        <v>(S04,'PS-S04-ROB1','Poste de Sectionnement n°S04 ROB1','Wednesday-11-jj','Wednesday-11-jj',,1,),</v>
      </c>
    </row>
    <row r="96" spans="1:14" ht="20.100000000000001" customHeight="1" x14ac:dyDescent="0.25">
      <c r="A96" s="39" t="s">
        <v>899</v>
      </c>
      <c r="B96" s="40" t="str">
        <f t="shared" si="33"/>
        <v>PS-S05-ROB1</v>
      </c>
      <c r="C96" s="52" t="str">
        <f t="shared" si="34"/>
        <v>Poste de Sectionnement n°S05 ROB1</v>
      </c>
      <c r="D96" s="19">
        <v>45231</v>
      </c>
      <c r="E96" s="19">
        <v>45231</v>
      </c>
      <c r="F96" s="42"/>
      <c r="G96" s="42">
        <v>1</v>
      </c>
      <c r="H96" s="42"/>
      <c r="I96" s="42" t="s">
        <v>864</v>
      </c>
      <c r="J96" s="42" t="s">
        <v>921</v>
      </c>
      <c r="K96" s="53">
        <f t="shared" si="26"/>
        <v>106</v>
      </c>
      <c r="L96" s="44">
        <f t="shared" si="27"/>
        <v>97</v>
      </c>
      <c r="M96" s="42" t="s">
        <v>940</v>
      </c>
      <c r="N96" s="52" t="str">
        <f t="shared" si="28"/>
        <v>(S05,'PS-S05-ROB1','Poste de Sectionnement n°S05 ROB1','Wednesday-11-jj','Wednesday-11-jj',,1,),</v>
      </c>
    </row>
    <row r="97" spans="1:14" ht="20.100000000000001" customHeight="1" x14ac:dyDescent="0.25">
      <c r="A97" s="39" t="s">
        <v>900</v>
      </c>
      <c r="B97" s="40" t="str">
        <f t="shared" si="33"/>
        <v>PS-S06-ROB1</v>
      </c>
      <c r="C97" s="52" t="str">
        <f t="shared" si="34"/>
        <v>Poste de Sectionnement n°S06 ROB1</v>
      </c>
      <c r="D97" s="19">
        <v>45231</v>
      </c>
      <c r="E97" s="19">
        <v>45231</v>
      </c>
      <c r="F97" s="42"/>
      <c r="G97" s="42">
        <v>1</v>
      </c>
      <c r="H97" s="42"/>
      <c r="I97" s="42" t="s">
        <v>864</v>
      </c>
      <c r="J97" s="42" t="s">
        <v>922</v>
      </c>
      <c r="K97" s="53">
        <f t="shared" ref="K97:K113" si="35">VALUE(RIGHT(J97,LEN(J97)-SEARCH("/",J97)))</f>
        <v>98</v>
      </c>
      <c r="L97" s="44">
        <f t="shared" ref="L97:L113" si="36">VALUE(SUBSTITUTE(LEFT(J97,SEARCH("/",J97)-1),"+",","))</f>
        <v>117</v>
      </c>
      <c r="M97" s="42" t="s">
        <v>940</v>
      </c>
      <c r="N97" s="52" t="str">
        <f t="shared" ref="N97:N113" si="37">CONCATENATE("(",A97,",'",B97,"','",C97,"','",TEXT(D97,"aaaa-mm-jj"),"','",TEXT(E97,"aaaa-mm-jj"),"',",F97,",",G97,",",H97,"),")</f>
        <v>(S06,'PS-S06-ROB1','Poste de Sectionnement n°S06 ROB1','Wednesday-11-jj','Wednesday-11-jj',,1,),</v>
      </c>
    </row>
    <row r="98" spans="1:14" ht="20.100000000000001" customHeight="1" x14ac:dyDescent="0.25">
      <c r="A98" s="39" t="s">
        <v>901</v>
      </c>
      <c r="B98" s="40" t="str">
        <f t="shared" si="33"/>
        <v>PS-S07-ROB1</v>
      </c>
      <c r="C98" s="52" t="str">
        <f t="shared" si="34"/>
        <v>Poste de Sectionnement n°S07 ROB1</v>
      </c>
      <c r="D98" s="19">
        <v>45231</v>
      </c>
      <c r="E98" s="19">
        <v>45231</v>
      </c>
      <c r="F98" s="42"/>
      <c r="G98" s="42">
        <v>1</v>
      </c>
      <c r="H98" s="42"/>
      <c r="I98" s="42" t="s">
        <v>864</v>
      </c>
      <c r="J98" s="42" t="s">
        <v>923</v>
      </c>
      <c r="K98" s="53">
        <f t="shared" si="35"/>
        <v>86</v>
      </c>
      <c r="L98" s="44">
        <f t="shared" si="36"/>
        <v>135</v>
      </c>
      <c r="M98" s="42" t="s">
        <v>941</v>
      </c>
      <c r="N98" s="52" t="str">
        <f t="shared" si="37"/>
        <v>(S07,'PS-S07-ROB1','Poste de Sectionnement n°S07 ROB1','Wednesday-11-jj','Wednesday-11-jj',,1,),</v>
      </c>
    </row>
    <row r="99" spans="1:14" ht="20.100000000000001" customHeight="1" x14ac:dyDescent="0.25">
      <c r="A99" s="39" t="s">
        <v>902</v>
      </c>
      <c r="B99" s="40" t="str">
        <f t="shared" si="33"/>
        <v>PS-S08-ROB1</v>
      </c>
      <c r="C99" s="52" t="str">
        <f t="shared" si="34"/>
        <v>Poste de Sectionnement n°S08 ROB1</v>
      </c>
      <c r="D99" s="19">
        <v>45231</v>
      </c>
      <c r="E99" s="19">
        <v>45231</v>
      </c>
      <c r="F99" s="42"/>
      <c r="G99" s="42">
        <v>1</v>
      </c>
      <c r="H99" s="42"/>
      <c r="I99" s="42" t="s">
        <v>864</v>
      </c>
      <c r="J99" s="42" t="s">
        <v>924</v>
      </c>
      <c r="K99" s="53">
        <f t="shared" si="35"/>
        <v>69</v>
      </c>
      <c r="L99" s="44">
        <f t="shared" si="36"/>
        <v>154</v>
      </c>
      <c r="M99" s="42" t="s">
        <v>942</v>
      </c>
      <c r="N99" s="52" t="str">
        <f t="shared" si="37"/>
        <v>(S08,'PS-S08-ROB1','Poste de Sectionnement n°S08 ROB1','Wednesday-11-jj','Wednesday-11-jj',,1,),</v>
      </c>
    </row>
    <row r="100" spans="1:14" ht="20.100000000000001" customHeight="1" x14ac:dyDescent="0.25">
      <c r="A100" s="39" t="s">
        <v>903</v>
      </c>
      <c r="B100" s="40" t="str">
        <f t="shared" si="33"/>
        <v>PS-S09-ROB1</v>
      </c>
      <c r="C100" s="52" t="str">
        <f t="shared" si="34"/>
        <v>Poste de Sectionnement n°S09 ROB1</v>
      </c>
      <c r="D100" s="19">
        <v>45231</v>
      </c>
      <c r="E100" s="19">
        <v>45231</v>
      </c>
      <c r="F100" s="42"/>
      <c r="G100" s="42">
        <v>1</v>
      </c>
      <c r="H100" s="42"/>
      <c r="I100" s="42" t="s">
        <v>864</v>
      </c>
      <c r="J100" s="42" t="s">
        <v>925</v>
      </c>
      <c r="K100" s="53">
        <f t="shared" si="35"/>
        <v>71</v>
      </c>
      <c r="L100" s="44">
        <f t="shared" si="36"/>
        <v>174</v>
      </c>
      <c r="M100" s="42" t="s">
        <v>943</v>
      </c>
      <c r="N100" s="52" t="str">
        <f t="shared" si="37"/>
        <v>(S09,'PS-S09-ROB1','Poste de Sectionnement n°S09 ROB1','Wednesday-11-jj','Wednesday-11-jj',,1,),</v>
      </c>
    </row>
    <row r="101" spans="1:14" ht="20.100000000000001" customHeight="1" x14ac:dyDescent="0.25">
      <c r="A101" s="39" t="s">
        <v>904</v>
      </c>
      <c r="B101" s="40" t="str">
        <f t="shared" si="33"/>
        <v>PS-S10-ROB1</v>
      </c>
      <c r="C101" s="52" t="str">
        <f t="shared" si="34"/>
        <v>Poste de Sectionnement n°S10 ROB1</v>
      </c>
      <c r="D101" s="19">
        <v>46388</v>
      </c>
      <c r="E101" s="19">
        <v>46388</v>
      </c>
      <c r="F101" s="42"/>
      <c r="G101" s="42">
        <v>1</v>
      </c>
      <c r="H101" s="42"/>
      <c r="I101" s="42" t="s">
        <v>864</v>
      </c>
      <c r="J101" s="42" t="s">
        <v>926</v>
      </c>
      <c r="K101" s="53">
        <f t="shared" si="35"/>
        <v>106</v>
      </c>
      <c r="L101" s="44">
        <f t="shared" si="36"/>
        <v>211</v>
      </c>
      <c r="M101" s="42" t="s">
        <v>944</v>
      </c>
      <c r="N101" s="52" t="str">
        <f t="shared" si="37"/>
        <v>(S10,'PS-S10-ROB1','Poste de Sectionnement n°S10 ROB1','Friday-01-jj','Friday-01-jj',,1,),</v>
      </c>
    </row>
    <row r="102" spans="1:14" ht="20.100000000000001" customHeight="1" x14ac:dyDescent="0.25">
      <c r="A102" s="39" t="s">
        <v>905</v>
      </c>
      <c r="B102" s="40" t="str">
        <f t="shared" si="33"/>
        <v>PS-S11-ROB1</v>
      </c>
      <c r="C102" s="52" t="str">
        <f t="shared" si="34"/>
        <v>Poste de Sectionnement n°S11 ROB1</v>
      </c>
      <c r="D102" s="19">
        <v>46388</v>
      </c>
      <c r="E102" s="19">
        <v>46388</v>
      </c>
      <c r="F102" s="42"/>
      <c r="G102" s="42">
        <v>1</v>
      </c>
      <c r="H102" s="42"/>
      <c r="I102" s="42" t="s">
        <v>864</v>
      </c>
      <c r="J102" s="42" t="s">
        <v>927</v>
      </c>
      <c r="K102" s="53">
        <f t="shared" si="35"/>
        <v>63</v>
      </c>
      <c r="L102" s="44">
        <f t="shared" si="36"/>
        <v>231</v>
      </c>
      <c r="M102" s="42" t="s">
        <v>945</v>
      </c>
      <c r="N102" s="52" t="str">
        <f t="shared" si="37"/>
        <v>(S11,'PS-S11-ROB1','Poste de Sectionnement n°S11 ROB1','Friday-01-jj','Friday-01-jj',,1,),</v>
      </c>
    </row>
    <row r="103" spans="1:14" ht="20.100000000000001" customHeight="1" x14ac:dyDescent="0.25">
      <c r="A103" s="39" t="s">
        <v>906</v>
      </c>
      <c r="B103" s="40" t="str">
        <f t="shared" si="33"/>
        <v>PS-S12-ROB1</v>
      </c>
      <c r="C103" s="52" t="str">
        <f t="shared" si="34"/>
        <v>Poste de Sectionnement n°S12 ROB1</v>
      </c>
      <c r="D103" s="19">
        <v>46388</v>
      </c>
      <c r="E103" s="19">
        <v>46388</v>
      </c>
      <c r="F103" s="42"/>
      <c r="G103" s="42">
        <v>1</v>
      </c>
      <c r="H103" s="42"/>
      <c r="I103" s="42" t="s">
        <v>864</v>
      </c>
      <c r="J103" s="42" t="s">
        <v>928</v>
      </c>
      <c r="K103" s="53">
        <f t="shared" si="35"/>
        <v>79</v>
      </c>
      <c r="L103" s="44">
        <f t="shared" si="36"/>
        <v>251</v>
      </c>
      <c r="M103" s="42" t="s">
        <v>946</v>
      </c>
      <c r="N103" s="52" t="str">
        <f t="shared" si="37"/>
        <v>(S12,'PS-S12-ROB1','Poste de Sectionnement n°S12 ROB1','Friday-01-jj','Friday-01-jj',,1,),</v>
      </c>
    </row>
    <row r="104" spans="1:14" ht="20.100000000000001" customHeight="1" x14ac:dyDescent="0.25">
      <c r="A104" s="39" t="s">
        <v>907</v>
      </c>
      <c r="B104" s="40" t="str">
        <f t="shared" si="33"/>
        <v>PS-S13-ROB1</v>
      </c>
      <c r="C104" s="52" t="str">
        <f t="shared" si="34"/>
        <v>Poste de Sectionnement n°S13 ROB1</v>
      </c>
      <c r="D104" s="19">
        <v>46388</v>
      </c>
      <c r="E104" s="19">
        <v>46388</v>
      </c>
      <c r="F104" s="42"/>
      <c r="G104" s="42">
        <v>1</v>
      </c>
      <c r="H104" s="42"/>
      <c r="I104" s="42" t="s">
        <v>864</v>
      </c>
      <c r="J104" s="42" t="s">
        <v>929</v>
      </c>
      <c r="K104" s="53">
        <f t="shared" si="35"/>
        <v>81</v>
      </c>
      <c r="L104" s="44">
        <f t="shared" si="36"/>
        <v>271</v>
      </c>
      <c r="M104" s="42" t="s">
        <v>947</v>
      </c>
      <c r="N104" s="52" t="str">
        <f t="shared" si="37"/>
        <v>(S13,'PS-S13-ROB1','Poste de Sectionnement n°S13 ROB1','Friday-01-jj','Friday-01-jj',,1,),</v>
      </c>
    </row>
    <row r="105" spans="1:14" ht="20.100000000000001" customHeight="1" x14ac:dyDescent="0.25">
      <c r="A105" s="39" t="s">
        <v>908</v>
      </c>
      <c r="B105" s="40" t="str">
        <f t="shared" si="33"/>
        <v>PS-S14-ROB1</v>
      </c>
      <c r="C105" s="52" t="str">
        <f t="shared" si="34"/>
        <v>Poste de Sectionnement n°S14 ROB1</v>
      </c>
      <c r="D105" s="19">
        <v>46388</v>
      </c>
      <c r="E105" s="19">
        <v>46388</v>
      </c>
      <c r="F105" s="42"/>
      <c r="G105" s="42">
        <v>1</v>
      </c>
      <c r="H105" s="42"/>
      <c r="I105" s="42" t="s">
        <v>864</v>
      </c>
      <c r="J105" s="42" t="s">
        <v>930</v>
      </c>
      <c r="K105" s="53">
        <f t="shared" si="35"/>
        <v>80</v>
      </c>
      <c r="L105" s="44">
        <f t="shared" si="36"/>
        <v>291</v>
      </c>
      <c r="M105" s="42" t="s">
        <v>948</v>
      </c>
      <c r="N105" s="52" t="str">
        <f t="shared" si="37"/>
        <v>(S14,'PS-S14-ROB1','Poste de Sectionnement n°S14 ROB1','Friday-01-jj','Friday-01-jj',,1,),</v>
      </c>
    </row>
    <row r="106" spans="1:14" ht="20.100000000000001" customHeight="1" x14ac:dyDescent="0.25">
      <c r="A106" s="39" t="s">
        <v>909</v>
      </c>
      <c r="B106" s="40" t="str">
        <f t="shared" si="33"/>
        <v>PS-S15-ROB1</v>
      </c>
      <c r="C106" s="52" t="str">
        <f t="shared" si="34"/>
        <v>Poste de Sectionnement n°S15 ROB1</v>
      </c>
      <c r="D106" s="19">
        <v>46388</v>
      </c>
      <c r="E106" s="19">
        <v>46388</v>
      </c>
      <c r="F106" s="42"/>
      <c r="G106" s="42">
        <v>1</v>
      </c>
      <c r="H106" s="42"/>
      <c r="I106" s="42" t="s">
        <v>864</v>
      </c>
      <c r="J106" s="42" t="s">
        <v>931</v>
      </c>
      <c r="K106" s="53">
        <f t="shared" si="35"/>
        <v>70</v>
      </c>
      <c r="L106" s="44">
        <f t="shared" si="36"/>
        <v>311</v>
      </c>
      <c r="M106" s="42" t="s">
        <v>948</v>
      </c>
      <c r="N106" s="52" t="str">
        <f t="shared" si="37"/>
        <v>(S15,'PS-S15-ROB1','Poste de Sectionnement n°S15 ROB1','Friday-01-jj','Friday-01-jj',,1,),</v>
      </c>
    </row>
    <row r="107" spans="1:14" ht="20.100000000000001" customHeight="1" x14ac:dyDescent="0.25">
      <c r="A107" s="39" t="s">
        <v>910</v>
      </c>
      <c r="B107" s="40" t="str">
        <f t="shared" si="33"/>
        <v>PS-S16-ROB1</v>
      </c>
      <c r="C107" s="52" t="str">
        <f t="shared" si="34"/>
        <v>Poste de Sectionnement n°S16 ROB1</v>
      </c>
      <c r="D107" s="19">
        <v>46388</v>
      </c>
      <c r="E107" s="19">
        <v>46388</v>
      </c>
      <c r="F107" s="42"/>
      <c r="G107" s="42">
        <v>1</v>
      </c>
      <c r="H107" s="42"/>
      <c r="I107" s="42" t="s">
        <v>864</v>
      </c>
      <c r="J107" s="42" t="s">
        <v>932</v>
      </c>
      <c r="K107" s="53">
        <f t="shared" si="35"/>
        <v>215</v>
      </c>
      <c r="L107" s="44">
        <f t="shared" si="36"/>
        <v>331</v>
      </c>
      <c r="M107" s="42" t="s">
        <v>949</v>
      </c>
      <c r="N107" s="52" t="str">
        <f t="shared" si="37"/>
        <v>(S16,'PS-S16-ROB1','Poste de Sectionnement n°S16 ROB1','Friday-01-jj','Friday-01-jj',,1,),</v>
      </c>
    </row>
    <row r="108" spans="1:14" ht="20.100000000000001" customHeight="1" x14ac:dyDescent="0.25">
      <c r="A108" s="39" t="s">
        <v>911</v>
      </c>
      <c r="B108" s="40" t="str">
        <f t="shared" si="33"/>
        <v>PS-S17-ROB1</v>
      </c>
      <c r="C108" s="52" t="str">
        <f t="shared" si="34"/>
        <v>Poste de Sectionnement n°S17 ROB1</v>
      </c>
      <c r="D108" s="19">
        <v>46388</v>
      </c>
      <c r="E108" s="19">
        <v>46388</v>
      </c>
      <c r="F108" s="42"/>
      <c r="G108" s="42">
        <v>1</v>
      </c>
      <c r="H108" s="42"/>
      <c r="I108" s="42" t="s">
        <v>864</v>
      </c>
      <c r="J108" s="42" t="s">
        <v>933</v>
      </c>
      <c r="K108" s="53">
        <f t="shared" si="35"/>
        <v>324</v>
      </c>
      <c r="L108" s="44">
        <f t="shared" si="36"/>
        <v>370</v>
      </c>
      <c r="M108" s="42" t="s">
        <v>950</v>
      </c>
      <c r="N108" s="52" t="str">
        <f t="shared" si="37"/>
        <v>(S17,'PS-S17-ROB1','Poste de Sectionnement n°S17 ROB1','Friday-01-jj','Friday-01-jj',,1,),</v>
      </c>
    </row>
    <row r="109" spans="1:14" ht="20.100000000000001" customHeight="1" x14ac:dyDescent="0.25">
      <c r="A109" s="39" t="s">
        <v>912</v>
      </c>
      <c r="B109" s="40" t="str">
        <f t="shared" si="33"/>
        <v>PS-S18-ROB1</v>
      </c>
      <c r="C109" s="52" t="str">
        <f t="shared" si="34"/>
        <v>Poste de Sectionnement n°S18 ROB1</v>
      </c>
      <c r="D109" s="19">
        <v>46388</v>
      </c>
      <c r="E109" s="19">
        <v>46388</v>
      </c>
      <c r="F109" s="42"/>
      <c r="G109" s="42">
        <v>1</v>
      </c>
      <c r="H109" s="42"/>
      <c r="I109" s="42" t="s">
        <v>864</v>
      </c>
      <c r="J109" s="42" t="s">
        <v>934</v>
      </c>
      <c r="K109" s="53">
        <f t="shared" si="35"/>
        <v>437</v>
      </c>
      <c r="L109" s="44">
        <f t="shared" si="36"/>
        <v>389</v>
      </c>
      <c r="M109" s="42" t="s">
        <v>950</v>
      </c>
      <c r="N109" s="52" t="str">
        <f t="shared" si="37"/>
        <v>(S18,'PS-S18-ROB1','Poste de Sectionnement n°S18 ROB1','Friday-01-jj','Friday-01-jj',,1,),</v>
      </c>
    </row>
    <row r="110" spans="1:14" ht="20.100000000000001" customHeight="1" x14ac:dyDescent="0.25">
      <c r="A110" s="39" t="s">
        <v>913</v>
      </c>
      <c r="B110" s="40" t="str">
        <f t="shared" si="33"/>
        <v>PS-S19-ROB1</v>
      </c>
      <c r="C110" s="52" t="str">
        <f t="shared" si="34"/>
        <v>Poste de Sectionnement n°S19 ROB1</v>
      </c>
      <c r="D110" s="19">
        <v>46388</v>
      </c>
      <c r="E110" s="19">
        <v>46388</v>
      </c>
      <c r="F110" s="42"/>
      <c r="G110" s="42">
        <v>1</v>
      </c>
      <c r="H110" s="42"/>
      <c r="I110" s="42" t="s">
        <v>864</v>
      </c>
      <c r="J110" s="42" t="s">
        <v>935</v>
      </c>
      <c r="K110" s="53">
        <f t="shared" si="35"/>
        <v>461</v>
      </c>
      <c r="L110" s="44">
        <f t="shared" si="36"/>
        <v>408</v>
      </c>
      <c r="M110" s="42" t="s">
        <v>950</v>
      </c>
      <c r="N110" s="52" t="str">
        <f t="shared" si="37"/>
        <v>(S19,'PS-S19-ROB1','Poste de Sectionnement n°S19 ROB1','Friday-01-jj','Friday-01-jj',,1,),</v>
      </c>
    </row>
    <row r="111" spans="1:14" ht="20.100000000000001" customHeight="1" x14ac:dyDescent="0.25">
      <c r="A111" s="39" t="s">
        <v>914</v>
      </c>
      <c r="B111" s="40" t="str">
        <f t="shared" si="33"/>
        <v>PS-S20-ROB1</v>
      </c>
      <c r="C111" s="52" t="str">
        <f t="shared" si="34"/>
        <v>Poste de Sectionnement n°S20 ROB1</v>
      </c>
      <c r="D111" s="19">
        <v>46388</v>
      </c>
      <c r="E111" s="19">
        <v>46388</v>
      </c>
      <c r="F111" s="42"/>
      <c r="G111" s="42">
        <v>1</v>
      </c>
      <c r="H111" s="42"/>
      <c r="I111" s="42" t="s">
        <v>864</v>
      </c>
      <c r="J111" s="42" t="s">
        <v>936</v>
      </c>
      <c r="K111" s="53">
        <f t="shared" si="35"/>
        <v>417</v>
      </c>
      <c r="L111" s="44">
        <f t="shared" si="36"/>
        <v>430</v>
      </c>
      <c r="M111" s="42" t="s">
        <v>951</v>
      </c>
      <c r="N111" s="52" t="str">
        <f t="shared" si="37"/>
        <v>(S20,'PS-S20-ROB1','Poste de Sectionnement n°S20 ROB1','Friday-01-jj','Friday-01-jj',,1,),</v>
      </c>
    </row>
    <row r="112" spans="1:14" ht="20.100000000000001" customHeight="1" x14ac:dyDescent="0.25">
      <c r="A112" s="39" t="s">
        <v>915</v>
      </c>
      <c r="B112" s="40" t="str">
        <f t="shared" si="33"/>
        <v>PS-S21-ROB1</v>
      </c>
      <c r="C112" s="52" t="str">
        <f t="shared" si="34"/>
        <v>Poste de Sectionnement n°S21 ROB1</v>
      </c>
      <c r="D112" s="19">
        <v>46388</v>
      </c>
      <c r="E112" s="19">
        <v>46388</v>
      </c>
      <c r="F112" s="42"/>
      <c r="G112" s="42">
        <v>1</v>
      </c>
      <c r="H112" s="42"/>
      <c r="I112" s="42" t="s">
        <v>864</v>
      </c>
      <c r="J112" s="42" t="s">
        <v>937</v>
      </c>
      <c r="K112" s="53">
        <f t="shared" si="35"/>
        <v>422</v>
      </c>
      <c r="L112" s="44">
        <f t="shared" si="36"/>
        <v>450</v>
      </c>
      <c r="M112" s="42" t="s">
        <v>952</v>
      </c>
      <c r="N112" s="52" t="str">
        <f t="shared" si="37"/>
        <v>(S21,'PS-S21-ROB1','Poste de Sectionnement n°S21 ROB1','Friday-01-jj','Friday-01-jj',,1,),</v>
      </c>
    </row>
    <row r="113" spans="1:14" ht="20.100000000000001" customHeight="1" x14ac:dyDescent="0.25">
      <c r="A113" s="39" t="s">
        <v>916</v>
      </c>
      <c r="B113" s="40" t="str">
        <f t="shared" si="33"/>
        <v>PS-S22-ROB1</v>
      </c>
      <c r="C113" s="52" t="str">
        <f t="shared" si="34"/>
        <v>Poste de Sectionnement n°S22 ROB1</v>
      </c>
      <c r="D113" s="19">
        <v>46388</v>
      </c>
      <c r="E113" s="19">
        <v>46388</v>
      </c>
      <c r="F113" s="42"/>
      <c r="G113" s="42">
        <v>1</v>
      </c>
      <c r="H113" s="42"/>
      <c r="I113" s="42" t="s">
        <v>864</v>
      </c>
      <c r="J113" s="42" t="s">
        <v>938</v>
      </c>
      <c r="K113" s="53">
        <f t="shared" si="35"/>
        <v>420</v>
      </c>
      <c r="L113" s="44">
        <f t="shared" si="36"/>
        <v>477</v>
      </c>
      <c r="M113" s="42" t="s">
        <v>953</v>
      </c>
      <c r="N113" s="52" t="str">
        <f t="shared" si="37"/>
        <v>(S22,'PS-S22-ROB1','Poste de Sectionnement n°S22 ROB1','Friday-01-jj','Friday-01-jj',,1,),</v>
      </c>
    </row>
    <row r="114" spans="1:14" ht="20.100000000000001" customHeight="1" x14ac:dyDescent="0.25">
      <c r="A114" s="39">
        <v>1</v>
      </c>
      <c r="B114" s="40" t="str">
        <f t="shared" ref="B114:B121" si="38">CONCATENATE("PS-",TEXT(A114,"00"),"-",I114)</f>
        <v>PS-01-OG1</v>
      </c>
      <c r="C114" s="52" t="str">
        <f t="shared" ref="C114:C121" si="39">CONCATENATE("Poste de Sectionnement n°",TEXT(A114,"00")," ",I114)</f>
        <v>Poste de Sectionnement n°01 OG1</v>
      </c>
      <c r="D114" s="19">
        <v>38537</v>
      </c>
      <c r="E114" s="19">
        <v>38537</v>
      </c>
      <c r="F114" s="42"/>
      <c r="G114" s="42">
        <v>1</v>
      </c>
      <c r="H114" s="42"/>
      <c r="I114" s="42" t="s">
        <v>318</v>
      </c>
      <c r="J114" s="42" t="s">
        <v>961</v>
      </c>
      <c r="K114" s="53">
        <f t="shared" ref="K114:K120" si="40">VALUE(RIGHT(J114,LEN(J114)-SEARCH("/",J114)))</f>
        <v>429</v>
      </c>
      <c r="L114" s="44">
        <f t="shared" ref="L114:L120" si="41">VALUE(SUBSTITUTE(LEFT(J114,SEARCH("/",J114)-1),"+",","))</f>
        <v>18.920000000000002</v>
      </c>
      <c r="M114" s="42" t="s">
        <v>954</v>
      </c>
      <c r="N114" s="52" t="str">
        <f t="shared" ref="N114:N148" si="42">CONCATENATE("(",A114,",'",B114,"','",C114,"','",TEXT(D114,"aaaa-mm-jj"),"','",TEXT(E114,"aaaa-mm-jj"),"',",F114,",",G114,",",H114,"),")</f>
        <v>(1,'PS-01-OG1','Poste de Sectionnement n°01 OG1','Monday-07-jj','Monday-07-jj',,1,),</v>
      </c>
    </row>
    <row r="115" spans="1:14" ht="20.100000000000001" customHeight="1" x14ac:dyDescent="0.25">
      <c r="A115" s="39">
        <v>2</v>
      </c>
      <c r="B115" s="40" t="str">
        <f t="shared" si="38"/>
        <v>PS-02-OG1</v>
      </c>
      <c r="C115" s="52" t="str">
        <f t="shared" si="39"/>
        <v>Poste de Sectionnement n°02 OG1</v>
      </c>
      <c r="D115" s="19">
        <v>38537</v>
      </c>
      <c r="E115" s="19">
        <v>38537</v>
      </c>
      <c r="F115" s="42"/>
      <c r="G115" s="42">
        <v>1</v>
      </c>
      <c r="H115" s="42"/>
      <c r="I115" s="42" t="s">
        <v>318</v>
      </c>
      <c r="J115" s="42" t="s">
        <v>962</v>
      </c>
      <c r="K115" s="53">
        <f t="shared" si="40"/>
        <v>594</v>
      </c>
      <c r="L115" s="44">
        <f t="shared" si="41"/>
        <v>37.94</v>
      </c>
      <c r="M115" s="42" t="s">
        <v>955</v>
      </c>
      <c r="N115" s="52" t="str">
        <f t="shared" si="42"/>
        <v>(2,'PS-02-OG1','Poste de Sectionnement n°02 OG1','Monday-07-jj','Monday-07-jj',,1,),</v>
      </c>
    </row>
    <row r="116" spans="1:14" ht="20.100000000000001" customHeight="1" x14ac:dyDescent="0.25">
      <c r="A116" s="39">
        <v>3</v>
      </c>
      <c r="B116" s="40" t="str">
        <f t="shared" si="38"/>
        <v>PS-03-OG1</v>
      </c>
      <c r="C116" s="52" t="str">
        <f t="shared" si="39"/>
        <v>Poste de Sectionnement n°03 OG1</v>
      </c>
      <c r="D116" s="19">
        <v>38537</v>
      </c>
      <c r="E116" s="19">
        <v>38537</v>
      </c>
      <c r="F116" s="42"/>
      <c r="G116" s="42">
        <v>1</v>
      </c>
      <c r="H116" s="42"/>
      <c r="I116" s="42" t="s">
        <v>318</v>
      </c>
      <c r="J116" s="42" t="s">
        <v>963</v>
      </c>
      <c r="K116" s="53">
        <f t="shared" si="40"/>
        <v>733</v>
      </c>
      <c r="L116" s="44">
        <f t="shared" si="41"/>
        <v>60.2</v>
      </c>
      <c r="M116" s="42" t="s">
        <v>956</v>
      </c>
      <c r="N116" s="52" t="str">
        <f t="shared" si="42"/>
        <v>(3,'PS-03-OG1','Poste de Sectionnement n°03 OG1','Monday-07-jj','Monday-07-jj',,1,),</v>
      </c>
    </row>
    <row r="117" spans="1:14" ht="20.100000000000001" customHeight="1" x14ac:dyDescent="0.25">
      <c r="A117" s="39">
        <v>4</v>
      </c>
      <c r="B117" s="40" t="str">
        <f t="shared" si="38"/>
        <v>PS-04-OG1</v>
      </c>
      <c r="C117" s="52" t="str">
        <f t="shared" si="39"/>
        <v>Poste de Sectionnement n°04 OG1</v>
      </c>
      <c r="D117" s="19">
        <v>38537</v>
      </c>
      <c r="E117" s="19">
        <v>38537</v>
      </c>
      <c r="F117" s="42"/>
      <c r="G117" s="42">
        <v>1</v>
      </c>
      <c r="H117" s="42"/>
      <c r="I117" s="42" t="s">
        <v>318</v>
      </c>
      <c r="J117" s="42" t="s">
        <v>964</v>
      </c>
      <c r="K117" s="53">
        <f t="shared" si="40"/>
        <v>726</v>
      </c>
      <c r="L117" s="44">
        <f t="shared" si="41"/>
        <v>78.84</v>
      </c>
      <c r="M117" s="42" t="s">
        <v>957</v>
      </c>
      <c r="N117" s="52" t="str">
        <f t="shared" si="42"/>
        <v>(4,'PS-04-OG1','Poste de Sectionnement n°04 OG1','Monday-07-jj','Monday-07-jj',,1,),</v>
      </c>
    </row>
    <row r="118" spans="1:14" ht="20.100000000000001" customHeight="1" x14ac:dyDescent="0.25">
      <c r="A118" s="39">
        <v>5</v>
      </c>
      <c r="B118" s="40" t="str">
        <f t="shared" si="38"/>
        <v>PS-05-OG1</v>
      </c>
      <c r="C118" s="52" t="str">
        <f t="shared" si="39"/>
        <v>Poste de Sectionnement n°05 OG1</v>
      </c>
      <c r="D118" s="19">
        <v>38537</v>
      </c>
      <c r="E118" s="19">
        <v>38537</v>
      </c>
      <c r="F118" s="42"/>
      <c r="G118" s="42">
        <v>1</v>
      </c>
      <c r="H118" s="42"/>
      <c r="I118" s="42" t="s">
        <v>318</v>
      </c>
      <c r="J118" s="42" t="s">
        <v>965</v>
      </c>
      <c r="K118" s="53">
        <f t="shared" si="40"/>
        <v>451</v>
      </c>
      <c r="L118" s="44">
        <f t="shared" si="41"/>
        <v>99.5</v>
      </c>
      <c r="M118" s="42" t="s">
        <v>958</v>
      </c>
      <c r="N118" s="52" t="str">
        <f t="shared" si="42"/>
        <v>(5,'PS-05-OG1','Poste de Sectionnement n°05 OG1','Monday-07-jj','Monday-07-jj',,1,),</v>
      </c>
    </row>
    <row r="119" spans="1:14" ht="20.100000000000001" customHeight="1" x14ac:dyDescent="0.25">
      <c r="A119" s="39">
        <v>6</v>
      </c>
      <c r="B119" s="40" t="str">
        <f t="shared" si="38"/>
        <v>PS-06-OG1</v>
      </c>
      <c r="C119" s="52" t="str">
        <f t="shared" si="39"/>
        <v>Poste de Sectionnement n°06 OG1</v>
      </c>
      <c r="D119" s="19">
        <v>38537</v>
      </c>
      <c r="E119" s="19">
        <v>38537</v>
      </c>
      <c r="F119" s="42"/>
      <c r="G119" s="42">
        <v>1</v>
      </c>
      <c r="H119" s="42"/>
      <c r="I119" s="42" t="s">
        <v>318</v>
      </c>
      <c r="J119" s="42" t="s">
        <v>966</v>
      </c>
      <c r="K119" s="53">
        <f t="shared" si="40"/>
        <v>772</v>
      </c>
      <c r="L119" s="44">
        <f t="shared" si="41"/>
        <v>123.82</v>
      </c>
      <c r="M119" s="42" t="s">
        <v>959</v>
      </c>
      <c r="N119" s="52" t="str">
        <f t="shared" si="42"/>
        <v>(6,'PS-06-OG1','Poste de Sectionnement n°06 OG1','Monday-07-jj','Monday-07-jj',,1,),</v>
      </c>
    </row>
    <row r="120" spans="1:14" ht="20.100000000000001" customHeight="1" x14ac:dyDescent="0.25">
      <c r="A120" s="39">
        <v>7</v>
      </c>
      <c r="B120" s="40" t="str">
        <f t="shared" si="38"/>
        <v>PS-07-OG1</v>
      </c>
      <c r="C120" s="52" t="str">
        <f t="shared" si="39"/>
        <v>Poste de Sectionnement n°07 OG1</v>
      </c>
      <c r="D120" s="19">
        <v>38537</v>
      </c>
      <c r="E120" s="19">
        <v>38537</v>
      </c>
      <c r="F120" s="42"/>
      <c r="G120" s="42">
        <v>1</v>
      </c>
      <c r="H120" s="42"/>
      <c r="I120" s="42" t="s">
        <v>318</v>
      </c>
      <c r="J120" s="42" t="s">
        <v>967</v>
      </c>
      <c r="K120" s="53">
        <f t="shared" si="40"/>
        <v>84</v>
      </c>
      <c r="L120" s="44">
        <f t="shared" si="41"/>
        <v>132.44999999999999</v>
      </c>
      <c r="M120" s="42" t="s">
        <v>960</v>
      </c>
      <c r="N120" s="52" t="str">
        <f t="shared" si="42"/>
        <v>(7,'PS-07-OG1','Poste de Sectionnement n°07 OG1','Monday-07-jj','Monday-07-jj',,1,),</v>
      </c>
    </row>
    <row r="121" spans="1:14" ht="20.100000000000001" customHeight="1" x14ac:dyDescent="0.25">
      <c r="A121" s="39">
        <v>1</v>
      </c>
      <c r="B121" s="40" t="str">
        <f t="shared" si="38"/>
        <v>PS-01-OT1</v>
      </c>
      <c r="C121" s="52" t="str">
        <f t="shared" si="39"/>
        <v>Poste de Sectionnement n°01 OT1</v>
      </c>
      <c r="D121" s="19">
        <v>21916</v>
      </c>
      <c r="E121" s="19">
        <v>21916</v>
      </c>
      <c r="F121" s="42"/>
      <c r="G121" s="42">
        <v>1</v>
      </c>
      <c r="H121" s="42"/>
      <c r="I121" s="42" t="s">
        <v>321</v>
      </c>
      <c r="J121" s="42" t="s">
        <v>980</v>
      </c>
      <c r="K121" s="53">
        <f t="shared" ref="K121:K127" si="43">VALUE(RIGHT(J121,LEN(J121)-SEARCH("/",J121)))</f>
        <v>544</v>
      </c>
      <c r="L121" s="44">
        <f t="shared" ref="L121:L127" si="44">VALUE(SUBSTITUTE(LEFT(J121,SEARCH("/",J121)-1),"+",","))</f>
        <v>54.1</v>
      </c>
      <c r="M121" s="42" t="s">
        <v>987</v>
      </c>
      <c r="N121" s="52" t="str">
        <f t="shared" si="42"/>
        <v>(1,'PS-01-OT1','Poste de Sectionnement n°01 OT1','Friday-01-jj','Friday-01-jj',,1,),</v>
      </c>
    </row>
    <row r="122" spans="1:14" ht="20.100000000000001" customHeight="1" x14ac:dyDescent="0.25">
      <c r="A122" s="39">
        <v>2</v>
      </c>
      <c r="B122" s="40" t="str">
        <f t="shared" ref="B122:B133" si="45">CONCATENATE("PS-",TEXT(A122,"00"),"-",I122)</f>
        <v>PS-02-OT1</v>
      </c>
      <c r="C122" s="52" t="str">
        <f t="shared" ref="C122:C133" si="46">CONCATENATE("Poste de Sectionnement n°",TEXT(A122,"00")," ",I122)</f>
        <v>Poste de Sectionnement n°02 OT1</v>
      </c>
      <c r="D122" s="19">
        <v>21916</v>
      </c>
      <c r="E122" s="19">
        <v>21916</v>
      </c>
      <c r="F122" s="42"/>
      <c r="G122" s="42">
        <v>1</v>
      </c>
      <c r="H122" s="42"/>
      <c r="I122" s="42" t="s">
        <v>321</v>
      </c>
      <c r="J122" s="42" t="s">
        <v>981</v>
      </c>
      <c r="K122" s="53">
        <f t="shared" si="43"/>
        <v>662</v>
      </c>
      <c r="L122" s="44">
        <f t="shared" si="44"/>
        <v>83.9</v>
      </c>
      <c r="M122" s="42" t="s">
        <v>987</v>
      </c>
      <c r="N122" s="52" t="str">
        <f t="shared" si="42"/>
        <v>(2,'PS-02-OT1','Poste de Sectionnement n°02 OT1','Friday-01-jj','Friday-01-jj',,1,),</v>
      </c>
    </row>
    <row r="123" spans="1:14" ht="20.100000000000001" customHeight="1" x14ac:dyDescent="0.25">
      <c r="A123" s="39">
        <v>3</v>
      </c>
      <c r="B123" s="40" t="str">
        <f t="shared" si="45"/>
        <v>PS-03-OT1</v>
      </c>
      <c r="C123" s="52" t="str">
        <f t="shared" si="46"/>
        <v>Poste de Sectionnement n°03 OT1</v>
      </c>
      <c r="D123" s="19">
        <v>21916</v>
      </c>
      <c r="E123" s="19">
        <v>21916</v>
      </c>
      <c r="F123" s="42"/>
      <c r="G123" s="42">
        <v>1</v>
      </c>
      <c r="H123" s="42"/>
      <c r="I123" s="42" t="s">
        <v>321</v>
      </c>
      <c r="J123" s="42" t="s">
        <v>982</v>
      </c>
      <c r="K123" s="53">
        <f t="shared" si="43"/>
        <v>600</v>
      </c>
      <c r="L123" s="44">
        <f t="shared" si="44"/>
        <v>123.1</v>
      </c>
      <c r="M123" s="42" t="s">
        <v>987</v>
      </c>
      <c r="N123" s="52" t="str">
        <f t="shared" si="42"/>
        <v>(3,'PS-03-OT1','Poste de Sectionnement n°03 OT1','Friday-01-jj','Friday-01-jj',,1,),</v>
      </c>
    </row>
    <row r="124" spans="1:14" ht="20.100000000000001" customHeight="1" x14ac:dyDescent="0.25">
      <c r="A124" s="39">
        <v>4</v>
      </c>
      <c r="B124" s="40" t="str">
        <f t="shared" si="45"/>
        <v>PS-04-OT1</v>
      </c>
      <c r="C124" s="52" t="str">
        <f t="shared" si="46"/>
        <v>Poste de Sectionnement n°04 OT1</v>
      </c>
      <c r="D124" s="19">
        <v>21916</v>
      </c>
      <c r="E124" s="19">
        <v>21916</v>
      </c>
      <c r="F124" s="42"/>
      <c r="G124" s="42">
        <v>1</v>
      </c>
      <c r="H124" s="42"/>
      <c r="I124" s="42" t="s">
        <v>321</v>
      </c>
      <c r="J124" s="42" t="s">
        <v>983</v>
      </c>
      <c r="K124" s="53">
        <f t="shared" si="43"/>
        <v>525</v>
      </c>
      <c r="L124" s="44">
        <f t="shared" si="44"/>
        <v>151</v>
      </c>
      <c r="M124" s="42" t="s">
        <v>988</v>
      </c>
      <c r="N124" s="52" t="str">
        <f t="shared" si="42"/>
        <v>(4,'PS-04-OT1','Poste de Sectionnement n°04 OT1','Friday-01-jj','Friday-01-jj',,1,),</v>
      </c>
    </row>
    <row r="125" spans="1:14" ht="20.100000000000001" customHeight="1" x14ac:dyDescent="0.25">
      <c r="A125" s="39">
        <v>5</v>
      </c>
      <c r="B125" s="40" t="str">
        <f t="shared" si="45"/>
        <v>PS-05-OT1</v>
      </c>
      <c r="C125" s="52" t="str">
        <f t="shared" si="46"/>
        <v>Poste de Sectionnement n°05 OT1</v>
      </c>
      <c r="D125" s="19">
        <v>21916</v>
      </c>
      <c r="E125" s="19">
        <v>21916</v>
      </c>
      <c r="F125" s="42"/>
      <c r="G125" s="42">
        <v>1</v>
      </c>
      <c r="H125" s="42"/>
      <c r="I125" s="42" t="s">
        <v>321</v>
      </c>
      <c r="J125" s="42" t="s">
        <v>984</v>
      </c>
      <c r="K125" s="53">
        <f t="shared" si="43"/>
        <v>400</v>
      </c>
      <c r="L125" s="44">
        <f t="shared" si="44"/>
        <v>210.1</v>
      </c>
      <c r="M125" s="42" t="s">
        <v>988</v>
      </c>
      <c r="N125" s="52" t="str">
        <f t="shared" si="42"/>
        <v>(5,'PS-05-OT1','Poste de Sectionnement n°05 OT1','Friday-01-jj','Friday-01-jj',,1,),</v>
      </c>
    </row>
    <row r="126" spans="1:14" ht="20.100000000000001" customHeight="1" x14ac:dyDescent="0.25">
      <c r="A126" s="39">
        <v>6</v>
      </c>
      <c r="B126" s="40" t="str">
        <f t="shared" si="45"/>
        <v>PS-06-OT1</v>
      </c>
      <c r="C126" s="52" t="str">
        <f t="shared" si="46"/>
        <v>Poste de Sectionnement n°06 OT1</v>
      </c>
      <c r="D126" s="19">
        <v>21916</v>
      </c>
      <c r="E126" s="19">
        <v>21916</v>
      </c>
      <c r="F126" s="42"/>
      <c r="G126" s="42">
        <v>1</v>
      </c>
      <c r="H126" s="42"/>
      <c r="I126" s="42" t="s">
        <v>321</v>
      </c>
      <c r="J126" s="42" t="s">
        <v>985</v>
      </c>
      <c r="K126" s="53">
        <f t="shared" si="43"/>
        <v>315</v>
      </c>
      <c r="L126" s="44">
        <f t="shared" si="44"/>
        <v>240.7</v>
      </c>
      <c r="M126" s="42" t="s">
        <v>988</v>
      </c>
      <c r="N126" s="52" t="str">
        <f t="shared" si="42"/>
        <v>(6,'PS-06-OT1','Poste de Sectionnement n°06 OT1','Friday-01-jj','Friday-01-jj',,1,),</v>
      </c>
    </row>
    <row r="127" spans="1:14" ht="20.100000000000001" customHeight="1" x14ac:dyDescent="0.25">
      <c r="A127" s="39">
        <v>7</v>
      </c>
      <c r="B127" s="40" t="str">
        <f t="shared" si="45"/>
        <v>PS-07-OT1</v>
      </c>
      <c r="C127" s="52" t="str">
        <f t="shared" si="46"/>
        <v>Poste de Sectionnement n°07 OT1</v>
      </c>
      <c r="D127" s="19">
        <v>21916</v>
      </c>
      <c r="E127" s="19">
        <v>21916</v>
      </c>
      <c r="F127" s="42"/>
      <c r="G127" s="42">
        <v>1</v>
      </c>
      <c r="H127" s="42"/>
      <c r="I127" s="42" t="s">
        <v>321</v>
      </c>
      <c r="J127" s="42" t="s">
        <v>986</v>
      </c>
      <c r="K127" s="53">
        <f t="shared" si="43"/>
        <v>280</v>
      </c>
      <c r="L127" s="44">
        <f t="shared" si="44"/>
        <v>263.89999999999998</v>
      </c>
      <c r="M127" s="42" t="s">
        <v>988</v>
      </c>
      <c r="N127" s="52" t="str">
        <f t="shared" si="42"/>
        <v>(7,'PS-07-OT1','Poste de Sectionnement n°07 OT1','Friday-01-jj','Friday-01-jj',,1,),</v>
      </c>
    </row>
    <row r="128" spans="1:14" ht="20.100000000000001" customHeight="1" x14ac:dyDescent="0.25">
      <c r="A128" s="39">
        <v>1</v>
      </c>
      <c r="B128" s="40" t="str">
        <f t="shared" si="45"/>
        <v>PS-01-OD1</v>
      </c>
      <c r="C128" s="52" t="str">
        <f t="shared" si="46"/>
        <v>Poste de Sectionnement n°01 OD1</v>
      </c>
      <c r="D128" s="19">
        <v>28207</v>
      </c>
      <c r="E128" s="19">
        <v>28207</v>
      </c>
      <c r="F128" s="42"/>
      <c r="G128" s="42">
        <v>1</v>
      </c>
      <c r="H128" s="42"/>
      <c r="I128" s="42" t="s">
        <v>336</v>
      </c>
      <c r="J128" s="42" t="s">
        <v>989</v>
      </c>
      <c r="K128" s="53">
        <f t="shared" ref="K128:K131" si="47">VALUE(RIGHT(J128,LEN(J128)-SEARCH("/",J128)))</f>
        <v>224</v>
      </c>
      <c r="L128" s="44">
        <f t="shared" ref="L128:L131" si="48">VALUE(SUBSTITUTE(LEFT(J128,SEARCH("/",J128)-1),"+",","))</f>
        <v>32.4</v>
      </c>
      <c r="M128" s="42" t="s">
        <v>993</v>
      </c>
      <c r="N128" s="52" t="str">
        <f t="shared" si="42"/>
        <v>(1,'PS-01-OD1','Poste de Sectionnement n°01 OD1','Wednesday-03-jj','Wednesday-03-jj',,1,),</v>
      </c>
    </row>
    <row r="129" spans="1:14" ht="20.100000000000001" customHeight="1" x14ac:dyDescent="0.25">
      <c r="A129" s="39">
        <v>2</v>
      </c>
      <c r="B129" s="40" t="str">
        <f t="shared" si="45"/>
        <v>PS-02-OD1</v>
      </c>
      <c r="C129" s="52" t="str">
        <f t="shared" si="46"/>
        <v>Poste de Sectionnement n°02 OD1</v>
      </c>
      <c r="D129" s="19">
        <v>28207</v>
      </c>
      <c r="E129" s="19">
        <v>28207</v>
      </c>
      <c r="F129" s="42"/>
      <c r="G129" s="42">
        <v>1</v>
      </c>
      <c r="H129" s="42"/>
      <c r="I129" s="42" t="s">
        <v>336</v>
      </c>
      <c r="J129" s="42" t="s">
        <v>990</v>
      </c>
      <c r="K129" s="53">
        <f t="shared" si="47"/>
        <v>195</v>
      </c>
      <c r="L129" s="44">
        <f t="shared" si="48"/>
        <v>74.8</v>
      </c>
      <c r="M129" s="42" t="s">
        <v>993</v>
      </c>
      <c r="N129" s="52" t="str">
        <f t="shared" si="42"/>
        <v>(2,'PS-02-OD1','Poste de Sectionnement n°02 OD1','Wednesday-03-jj','Wednesday-03-jj',,1,),</v>
      </c>
    </row>
    <row r="130" spans="1:14" ht="20.100000000000001" customHeight="1" x14ac:dyDescent="0.25">
      <c r="A130" s="39">
        <v>3</v>
      </c>
      <c r="B130" s="40" t="str">
        <f t="shared" si="45"/>
        <v>PS-03-OD1</v>
      </c>
      <c r="C130" s="52" t="str">
        <f t="shared" si="46"/>
        <v>Poste de Sectionnement n°03 OD1</v>
      </c>
      <c r="D130" s="19">
        <v>28207</v>
      </c>
      <c r="E130" s="19">
        <v>28207</v>
      </c>
      <c r="F130" s="42"/>
      <c r="G130" s="42">
        <v>1</v>
      </c>
      <c r="H130" s="42"/>
      <c r="I130" s="42" t="s">
        <v>336</v>
      </c>
      <c r="J130" s="42" t="s">
        <v>991</v>
      </c>
      <c r="K130" s="53">
        <f t="shared" si="47"/>
        <v>162</v>
      </c>
      <c r="L130" s="44">
        <f t="shared" si="48"/>
        <v>144.80000000000001</v>
      </c>
      <c r="M130" s="42" t="s">
        <v>993</v>
      </c>
      <c r="N130" s="52" t="str">
        <f t="shared" si="42"/>
        <v>(3,'PS-03-OD1','Poste de Sectionnement n°03 OD1','Wednesday-03-jj','Wednesday-03-jj',,1,),</v>
      </c>
    </row>
    <row r="131" spans="1:14" ht="20.100000000000001" customHeight="1" x14ac:dyDescent="0.25">
      <c r="A131" s="39">
        <v>4</v>
      </c>
      <c r="B131" s="40" t="str">
        <f t="shared" si="45"/>
        <v>PS-04-OD1</v>
      </c>
      <c r="C131" s="52" t="str">
        <f t="shared" si="46"/>
        <v>Poste de Sectionnement n°04 OD1</v>
      </c>
      <c r="D131" s="19">
        <v>28207</v>
      </c>
      <c r="E131" s="19">
        <v>28207</v>
      </c>
      <c r="F131" s="42"/>
      <c r="G131" s="42">
        <v>1</v>
      </c>
      <c r="H131" s="42"/>
      <c r="I131" s="42" t="s">
        <v>336</v>
      </c>
      <c r="J131" s="42" t="s">
        <v>992</v>
      </c>
      <c r="K131" s="53">
        <f t="shared" si="47"/>
        <v>162</v>
      </c>
      <c r="L131" s="44">
        <f t="shared" si="48"/>
        <v>239.2</v>
      </c>
      <c r="M131" s="42" t="s">
        <v>993</v>
      </c>
      <c r="N131" s="52" t="str">
        <f t="shared" si="42"/>
        <v>(4,'PS-04-OD1','Poste de Sectionnement n°04 OD1','Wednesday-03-jj','Wednesday-03-jj',,1,),</v>
      </c>
    </row>
    <row r="132" spans="1:14" ht="20.100000000000001" customHeight="1" x14ac:dyDescent="0.25">
      <c r="A132" s="39">
        <v>1</v>
      </c>
      <c r="B132" s="40" t="str">
        <f t="shared" si="45"/>
        <v>PS-01-ROD1</v>
      </c>
      <c r="C132" s="52" t="str">
        <f t="shared" si="46"/>
        <v>Poste de Sectionnement n°01 ROD1</v>
      </c>
      <c r="D132" s="19">
        <v>45444</v>
      </c>
      <c r="E132" s="19">
        <v>45444</v>
      </c>
      <c r="F132" s="42"/>
      <c r="G132" s="42">
        <v>1</v>
      </c>
      <c r="H132" s="42"/>
      <c r="I132" s="42" t="s">
        <v>339</v>
      </c>
      <c r="J132" s="42" t="s">
        <v>994</v>
      </c>
      <c r="K132" s="53">
        <f t="shared" ref="K132:K143" si="49">VALUE(RIGHT(J132,LEN(J132)-SEARCH("/",J132)))</f>
        <v>211</v>
      </c>
      <c r="L132" s="44">
        <f t="shared" ref="L132:L143" si="50">VALUE(SUBSTITUTE(LEFT(J132,SEARCH("/",J132)-1),"+",","))</f>
        <v>25.238</v>
      </c>
      <c r="M132" s="42" t="s">
        <v>993</v>
      </c>
      <c r="N132" s="52" t="str">
        <f t="shared" si="42"/>
        <v>(1,'PS-01-ROD1','Poste de Sectionnement n°01 ROD1','Saturday-06-jj','Saturday-06-jj',,1,),</v>
      </c>
    </row>
    <row r="133" spans="1:14" ht="20.100000000000001" customHeight="1" x14ac:dyDescent="0.25">
      <c r="A133" s="39">
        <v>2</v>
      </c>
      <c r="B133" s="40" t="str">
        <f t="shared" si="45"/>
        <v>PS-02-ROD1</v>
      </c>
      <c r="C133" s="52" t="str">
        <f t="shared" si="46"/>
        <v>Poste de Sectionnement n°02 ROD1</v>
      </c>
      <c r="D133" s="19">
        <v>45444</v>
      </c>
      <c r="E133" s="19">
        <v>45444</v>
      </c>
      <c r="F133" s="42"/>
      <c r="G133" s="42">
        <v>1</v>
      </c>
      <c r="H133" s="42"/>
      <c r="I133" s="42" t="s">
        <v>339</v>
      </c>
      <c r="J133" s="42" t="s">
        <v>995</v>
      </c>
      <c r="K133" s="53">
        <f t="shared" si="49"/>
        <v>197</v>
      </c>
      <c r="L133" s="44">
        <f t="shared" si="50"/>
        <v>50.671999999999997</v>
      </c>
      <c r="M133" s="42" t="s">
        <v>993</v>
      </c>
      <c r="N133" s="52" t="str">
        <f t="shared" si="42"/>
        <v>(2,'PS-02-ROD1','Poste de Sectionnement n°02 ROD1','Saturday-06-jj','Saturday-06-jj',,1,),</v>
      </c>
    </row>
    <row r="134" spans="1:14" ht="20.100000000000001" customHeight="1" x14ac:dyDescent="0.25">
      <c r="A134" s="39">
        <v>3</v>
      </c>
      <c r="B134" s="40" t="str">
        <f t="shared" ref="B134:B142" si="51">CONCATENATE("PS-",TEXT(A134,"00"),"-",I134)</f>
        <v>PS-03-ROD1</v>
      </c>
      <c r="C134" s="52" t="str">
        <f t="shared" ref="C134:C142" si="52">CONCATENATE("Poste de Sectionnement n°",TEXT(A134,"00")," ",I134)</f>
        <v>Poste de Sectionnement n°03 ROD1</v>
      </c>
      <c r="D134" s="19">
        <v>45444</v>
      </c>
      <c r="E134" s="19">
        <v>45444</v>
      </c>
      <c r="F134" s="42"/>
      <c r="G134" s="42">
        <v>1</v>
      </c>
      <c r="H134" s="42"/>
      <c r="I134" s="42" t="s">
        <v>339</v>
      </c>
      <c r="J134" s="42" t="s">
        <v>996</v>
      </c>
      <c r="K134" s="53">
        <f t="shared" si="49"/>
        <v>200</v>
      </c>
      <c r="L134" s="44">
        <f t="shared" si="50"/>
        <v>74.968999999999994</v>
      </c>
      <c r="M134" s="42" t="s">
        <v>993</v>
      </c>
      <c r="N134" s="52" t="str">
        <f t="shared" si="42"/>
        <v>(3,'PS-03-ROD1','Poste de Sectionnement n°03 ROD1','Saturday-06-jj','Saturday-06-jj',,1,),</v>
      </c>
    </row>
    <row r="135" spans="1:14" ht="20.100000000000001" customHeight="1" x14ac:dyDescent="0.25">
      <c r="A135" s="39">
        <v>4</v>
      </c>
      <c r="B135" s="40" t="str">
        <f t="shared" si="51"/>
        <v>PS-04-ROD1</v>
      </c>
      <c r="C135" s="52" t="str">
        <f t="shared" si="52"/>
        <v>Poste de Sectionnement n°04 ROD1</v>
      </c>
      <c r="D135" s="19">
        <v>45444</v>
      </c>
      <c r="E135" s="19">
        <v>45444</v>
      </c>
      <c r="F135" s="42"/>
      <c r="G135" s="42">
        <v>1</v>
      </c>
      <c r="H135" s="42"/>
      <c r="I135" s="42" t="s">
        <v>339</v>
      </c>
      <c r="J135" s="42" t="s">
        <v>997</v>
      </c>
      <c r="K135" s="53">
        <f t="shared" si="49"/>
        <v>166</v>
      </c>
      <c r="L135" s="44">
        <f t="shared" si="50"/>
        <v>102.209</v>
      </c>
      <c r="M135" s="42" t="s">
        <v>993</v>
      </c>
      <c r="N135" s="52" t="str">
        <f t="shared" si="42"/>
        <v>(4,'PS-04-ROD1','Poste de Sectionnement n°04 ROD1','Saturday-06-jj','Saturday-06-jj',,1,),</v>
      </c>
    </row>
    <row r="136" spans="1:14" ht="20.100000000000001" customHeight="1" x14ac:dyDescent="0.25">
      <c r="A136" s="39">
        <v>5</v>
      </c>
      <c r="B136" s="40" t="str">
        <f t="shared" si="51"/>
        <v>PS-05-ROD1</v>
      </c>
      <c r="C136" s="52" t="str">
        <f t="shared" si="52"/>
        <v>Poste de Sectionnement n°05 ROD1</v>
      </c>
      <c r="D136" s="19">
        <v>45444</v>
      </c>
      <c r="E136" s="19">
        <v>45444</v>
      </c>
      <c r="F136" s="42"/>
      <c r="G136" s="42">
        <v>1</v>
      </c>
      <c r="H136" s="42"/>
      <c r="I136" s="42" t="s">
        <v>339</v>
      </c>
      <c r="J136" s="42" t="s">
        <v>998</v>
      </c>
      <c r="K136" s="53">
        <f t="shared" si="49"/>
        <v>162</v>
      </c>
      <c r="L136" s="44">
        <f t="shared" si="50"/>
        <v>119.709</v>
      </c>
      <c r="M136" s="42" t="s">
        <v>993</v>
      </c>
      <c r="N136" s="52" t="str">
        <f t="shared" si="42"/>
        <v>(5,'PS-05-ROD1','Poste de Sectionnement n°05 ROD1','Saturday-06-jj','Saturday-06-jj',,1,),</v>
      </c>
    </row>
    <row r="137" spans="1:14" ht="20.100000000000001" customHeight="1" x14ac:dyDescent="0.25">
      <c r="A137" s="39">
        <v>6</v>
      </c>
      <c r="B137" s="40" t="str">
        <f t="shared" si="51"/>
        <v>PS-06-ROD1</v>
      </c>
      <c r="C137" s="52" t="str">
        <f t="shared" si="52"/>
        <v>Poste de Sectionnement n°06 ROD1</v>
      </c>
      <c r="D137" s="19">
        <v>46143</v>
      </c>
      <c r="E137" s="19">
        <v>46143</v>
      </c>
      <c r="F137" s="42"/>
      <c r="G137" s="42">
        <v>1</v>
      </c>
      <c r="H137" s="42"/>
      <c r="I137" s="42" t="s">
        <v>339</v>
      </c>
      <c r="J137" s="42" t="s">
        <v>999</v>
      </c>
      <c r="K137" s="53">
        <f t="shared" si="49"/>
        <v>155</v>
      </c>
      <c r="L137" s="44">
        <f t="shared" si="50"/>
        <v>159.51300000000001</v>
      </c>
      <c r="M137" s="42" t="s">
        <v>993</v>
      </c>
      <c r="N137" s="52" t="str">
        <f t="shared" si="42"/>
        <v>(6,'PS-06-ROD1','Poste de Sectionnement n°06 ROD1','Friday-05-jj','Friday-05-jj',,1,),</v>
      </c>
    </row>
    <row r="138" spans="1:14" ht="20.100000000000001" customHeight="1" x14ac:dyDescent="0.25">
      <c r="A138" s="39">
        <v>7</v>
      </c>
      <c r="B138" s="40" t="str">
        <f t="shared" si="51"/>
        <v>PS-07-ROD1</v>
      </c>
      <c r="C138" s="52" t="str">
        <f t="shared" si="52"/>
        <v>Poste de Sectionnement n°07 ROD1</v>
      </c>
      <c r="D138" s="19">
        <v>46143</v>
      </c>
      <c r="E138" s="19">
        <v>46143</v>
      </c>
      <c r="F138" s="42"/>
      <c r="G138" s="42">
        <v>1</v>
      </c>
      <c r="H138" s="42"/>
      <c r="I138" s="42" t="s">
        <v>339</v>
      </c>
      <c r="J138" s="42" t="s">
        <v>1000</v>
      </c>
      <c r="K138" s="53">
        <f t="shared" si="49"/>
        <v>169</v>
      </c>
      <c r="L138" s="44">
        <f t="shared" si="50"/>
        <v>182.024</v>
      </c>
      <c r="M138" s="42" t="s">
        <v>993</v>
      </c>
      <c r="N138" s="52" t="str">
        <f t="shared" si="42"/>
        <v>(7,'PS-07-ROD1','Poste de Sectionnement n°07 ROD1','Friday-05-jj','Friday-05-jj',,1,),</v>
      </c>
    </row>
    <row r="139" spans="1:14" ht="20.100000000000001" customHeight="1" x14ac:dyDescent="0.25">
      <c r="A139" s="39">
        <v>8</v>
      </c>
      <c r="B139" s="40" t="str">
        <f t="shared" si="51"/>
        <v>PS-08-ROD1</v>
      </c>
      <c r="C139" s="52" t="str">
        <f t="shared" si="52"/>
        <v>Poste de Sectionnement n°08 ROD1</v>
      </c>
      <c r="D139" s="19">
        <v>46143</v>
      </c>
      <c r="E139" s="19">
        <v>46143</v>
      </c>
      <c r="F139" s="42"/>
      <c r="G139" s="42">
        <v>1</v>
      </c>
      <c r="H139" s="42"/>
      <c r="I139" s="42" t="s">
        <v>339</v>
      </c>
      <c r="J139" s="42" t="s">
        <v>1001</v>
      </c>
      <c r="K139" s="53">
        <f t="shared" si="49"/>
        <v>151</v>
      </c>
      <c r="L139" s="44">
        <f t="shared" si="50"/>
        <v>204.429</v>
      </c>
      <c r="M139" s="42" t="s">
        <v>993</v>
      </c>
      <c r="N139" s="52" t="str">
        <f t="shared" si="42"/>
        <v>(8,'PS-08-ROD1','Poste de Sectionnement n°08 ROD1','Friday-05-jj','Friday-05-jj',,1,),</v>
      </c>
    </row>
    <row r="140" spans="1:14" ht="20.100000000000001" customHeight="1" x14ac:dyDescent="0.25">
      <c r="A140" s="39">
        <v>9</v>
      </c>
      <c r="B140" s="40" t="str">
        <f t="shared" si="51"/>
        <v>PS-09-ROD1</v>
      </c>
      <c r="C140" s="52" t="str">
        <f t="shared" si="52"/>
        <v>Poste de Sectionnement n°09 ROD1</v>
      </c>
      <c r="D140" s="19">
        <v>46143</v>
      </c>
      <c r="E140" s="19">
        <v>46143</v>
      </c>
      <c r="F140" s="42"/>
      <c r="G140" s="42">
        <v>1</v>
      </c>
      <c r="H140" s="42"/>
      <c r="I140" s="42" t="s">
        <v>339</v>
      </c>
      <c r="J140" s="42" t="s">
        <v>1002</v>
      </c>
      <c r="K140" s="53">
        <f t="shared" si="49"/>
        <v>154</v>
      </c>
      <c r="L140" s="44">
        <f t="shared" si="50"/>
        <v>227.00200000000001</v>
      </c>
      <c r="M140" s="42" t="s">
        <v>993</v>
      </c>
      <c r="N140" s="52" t="str">
        <f t="shared" si="42"/>
        <v>(9,'PS-09-ROD1','Poste de Sectionnement n°09 ROD1','Friday-05-jj','Friday-05-jj',,1,),</v>
      </c>
    </row>
    <row r="141" spans="1:14" ht="20.100000000000001" customHeight="1" x14ac:dyDescent="0.25">
      <c r="A141" s="39">
        <v>10</v>
      </c>
      <c r="B141" s="40" t="str">
        <f t="shared" si="51"/>
        <v>PS-10-ROD1</v>
      </c>
      <c r="C141" s="52" t="str">
        <f t="shared" si="52"/>
        <v>Poste de Sectionnement n°10 ROD1</v>
      </c>
      <c r="D141" s="19">
        <v>46143</v>
      </c>
      <c r="E141" s="19">
        <v>46143</v>
      </c>
      <c r="F141" s="42"/>
      <c r="G141" s="42">
        <v>1</v>
      </c>
      <c r="H141" s="42"/>
      <c r="I141" s="42" t="s">
        <v>339</v>
      </c>
      <c r="J141" s="42" t="s">
        <v>1003</v>
      </c>
      <c r="K141" s="53">
        <f t="shared" si="49"/>
        <v>155</v>
      </c>
      <c r="L141" s="44">
        <f t="shared" si="50"/>
        <v>248.065</v>
      </c>
      <c r="M141" s="42" t="s">
        <v>993</v>
      </c>
      <c r="N141" s="52" t="str">
        <f t="shared" si="42"/>
        <v>(10,'PS-10-ROD1','Poste de Sectionnement n°10 ROD1','Friday-05-jj','Friday-05-jj',,1,),</v>
      </c>
    </row>
    <row r="142" spans="1:14" ht="20.100000000000001" customHeight="1" x14ac:dyDescent="0.25">
      <c r="A142" s="39">
        <v>1</v>
      </c>
      <c r="B142" s="40" t="str">
        <f t="shared" si="51"/>
        <v>PS-01-OH2</v>
      </c>
      <c r="C142" s="52" t="str">
        <f t="shared" si="52"/>
        <v>Poste de Sectionnement n°01 OH2</v>
      </c>
      <c r="D142" s="19">
        <v>26399</v>
      </c>
      <c r="E142" s="19">
        <v>26399</v>
      </c>
      <c r="F142" s="42"/>
      <c r="G142" s="42">
        <v>1</v>
      </c>
      <c r="H142" s="42"/>
      <c r="I142" s="42" t="s">
        <v>328</v>
      </c>
      <c r="J142" s="42" t="s">
        <v>1004</v>
      </c>
      <c r="K142" s="53">
        <f t="shared" si="49"/>
        <v>155</v>
      </c>
      <c r="L142" s="44">
        <f t="shared" si="50"/>
        <v>19.7</v>
      </c>
      <c r="M142" s="42" t="s">
        <v>1006</v>
      </c>
      <c r="N142" s="52" t="str">
        <f t="shared" si="42"/>
        <v>(1,'PS-01-OH2','Poste de Sectionnement n°01 OH2','Monday-04-jj','Monday-04-jj',,1,),</v>
      </c>
    </row>
    <row r="143" spans="1:14" ht="20.100000000000001" customHeight="1" x14ac:dyDescent="0.25">
      <c r="A143" s="39">
        <v>2</v>
      </c>
      <c r="B143" s="40" t="str">
        <f t="shared" ref="B143:B145" si="53">CONCATENATE("PS-",TEXT(A143,"00"),"-",I143)</f>
        <v>PS-02-OH2</v>
      </c>
      <c r="C143" s="52" t="str">
        <f t="shared" ref="C143:C145" si="54">CONCATENATE("Poste de Sectionnement n°",TEXT(A143,"00")," ",I143)</f>
        <v>Poste de Sectionnement n°02 OH2</v>
      </c>
      <c r="D143" s="19">
        <v>26399</v>
      </c>
      <c r="E143" s="19">
        <v>26399</v>
      </c>
      <c r="F143" s="42"/>
      <c r="G143" s="42">
        <v>1</v>
      </c>
      <c r="H143" s="42"/>
      <c r="I143" s="42" t="s">
        <v>328</v>
      </c>
      <c r="J143" s="42" t="s">
        <v>1005</v>
      </c>
      <c r="K143" s="53">
        <f t="shared" si="49"/>
        <v>145</v>
      </c>
      <c r="L143" s="44">
        <f t="shared" si="50"/>
        <v>62</v>
      </c>
      <c r="M143" s="42" t="s">
        <v>1006</v>
      </c>
      <c r="N143" s="52" t="str">
        <f t="shared" si="42"/>
        <v>(2,'PS-02-OH2','Poste de Sectionnement n°02 OH2','Monday-04-jj','Monday-04-jj',,1,),</v>
      </c>
    </row>
    <row r="144" spans="1:14" ht="20.100000000000001" customHeight="1" x14ac:dyDescent="0.25">
      <c r="A144" s="39">
        <v>1</v>
      </c>
      <c r="B144" s="40" t="str">
        <f t="shared" si="53"/>
        <v>PS-01-OH3</v>
      </c>
      <c r="C144" s="52" t="str">
        <f t="shared" si="54"/>
        <v>Poste de Sectionnement n°01 OH3</v>
      </c>
      <c r="D144" s="19">
        <v>36161</v>
      </c>
      <c r="E144" s="19">
        <v>36161</v>
      </c>
      <c r="F144" s="42"/>
      <c r="G144" s="42">
        <v>1</v>
      </c>
      <c r="H144" s="42"/>
      <c r="I144" s="42" t="s">
        <v>331</v>
      </c>
      <c r="J144" s="42" t="s">
        <v>1040</v>
      </c>
      <c r="K144" s="53">
        <f t="shared" ref="K144:K151" si="55">VALUE(RIGHT(J144,LEN(J144)-SEARCH("/",J144)))</f>
        <v>196</v>
      </c>
      <c r="L144" s="44">
        <f t="shared" ref="L144:L151" si="56">VALUE(SUBSTITUTE(LEFT(J144,SEARCH("/",J144)-1),"+",","))</f>
        <v>31.4</v>
      </c>
      <c r="M144" s="42" t="s">
        <v>1048</v>
      </c>
      <c r="N144" s="52" t="str">
        <f t="shared" si="42"/>
        <v>(1,'PS-01-OH3','Poste de Sectionnement n°01 OH3','Friday-01-jj','Friday-01-jj',,1,),</v>
      </c>
    </row>
    <row r="145" spans="1:14" ht="20.100000000000001" customHeight="1" x14ac:dyDescent="0.25">
      <c r="A145" s="39">
        <v>2</v>
      </c>
      <c r="B145" s="40" t="str">
        <f t="shared" si="53"/>
        <v>PS-02-OH3</v>
      </c>
      <c r="C145" s="52" t="str">
        <f t="shared" si="54"/>
        <v>Poste de Sectionnement n°02 OH3</v>
      </c>
      <c r="D145" s="19">
        <v>36161</v>
      </c>
      <c r="E145" s="19">
        <v>36161</v>
      </c>
      <c r="F145" s="42"/>
      <c r="G145" s="42">
        <v>1</v>
      </c>
      <c r="H145" s="42"/>
      <c r="I145" s="42" t="s">
        <v>331</v>
      </c>
      <c r="J145" s="42" t="s">
        <v>1041</v>
      </c>
      <c r="K145" s="53">
        <f t="shared" si="55"/>
        <v>185</v>
      </c>
      <c r="L145" s="44">
        <f t="shared" si="56"/>
        <v>63.5</v>
      </c>
      <c r="M145" s="42" t="s">
        <v>1048</v>
      </c>
      <c r="N145" s="52" t="str">
        <f t="shared" si="42"/>
        <v>(2,'PS-02-OH3','Poste de Sectionnement n°02 OH3','Friday-01-jj','Friday-01-jj',,1,),</v>
      </c>
    </row>
    <row r="146" spans="1:14" ht="20.100000000000001" customHeight="1" x14ac:dyDescent="0.25">
      <c r="A146" s="39">
        <v>3</v>
      </c>
      <c r="B146" s="40" t="str">
        <f t="shared" ref="B146:B163" si="57">CONCATENATE("PS-",TEXT(A146,"00"),"-",I146)</f>
        <v>PS-03-OH3</v>
      </c>
      <c r="C146" s="52" t="str">
        <f t="shared" ref="C146:C163" si="58">CONCATENATE("Poste de Sectionnement n°",TEXT(A146,"00")," ",I146)</f>
        <v>Poste de Sectionnement n°03 OH3</v>
      </c>
      <c r="D146" s="19">
        <v>36161</v>
      </c>
      <c r="E146" s="19">
        <v>36161</v>
      </c>
      <c r="F146" s="42"/>
      <c r="G146" s="42">
        <v>1</v>
      </c>
      <c r="H146" s="42"/>
      <c r="I146" s="42" t="s">
        <v>331</v>
      </c>
      <c r="J146" s="42" t="s">
        <v>1042</v>
      </c>
      <c r="K146" s="53">
        <f t="shared" si="55"/>
        <v>187</v>
      </c>
      <c r="L146" s="44">
        <f t="shared" si="56"/>
        <v>93.4</v>
      </c>
      <c r="M146" s="42" t="s">
        <v>1006</v>
      </c>
      <c r="N146" s="52" t="str">
        <f t="shared" si="42"/>
        <v>(3,'PS-03-OH3','Poste de Sectionnement n°03 OH3','Friday-01-jj','Friday-01-jj',,1,),</v>
      </c>
    </row>
    <row r="147" spans="1:14" ht="20.100000000000001" customHeight="1" x14ac:dyDescent="0.25">
      <c r="A147" s="39">
        <v>4</v>
      </c>
      <c r="B147" s="40" t="str">
        <f t="shared" si="57"/>
        <v>PS-04-OH3</v>
      </c>
      <c r="C147" s="52" t="str">
        <f t="shared" si="58"/>
        <v>Poste de Sectionnement n°04 OH3</v>
      </c>
      <c r="D147" s="19">
        <v>36161</v>
      </c>
      <c r="E147" s="19">
        <v>36161</v>
      </c>
      <c r="F147" s="42"/>
      <c r="G147" s="42">
        <v>1</v>
      </c>
      <c r="H147" s="42"/>
      <c r="I147" s="42" t="s">
        <v>331</v>
      </c>
      <c r="J147" s="42" t="s">
        <v>1043</v>
      </c>
      <c r="K147" s="53">
        <f t="shared" si="55"/>
        <v>190</v>
      </c>
      <c r="L147" s="44">
        <f t="shared" si="56"/>
        <v>123.4</v>
      </c>
      <c r="M147" s="42" t="s">
        <v>1006</v>
      </c>
      <c r="N147" s="52" t="str">
        <f t="shared" si="42"/>
        <v>(4,'PS-04-OH3','Poste de Sectionnement n°04 OH3','Friday-01-jj','Friday-01-jj',,1,),</v>
      </c>
    </row>
    <row r="148" spans="1:14" ht="20.100000000000001" customHeight="1" x14ac:dyDescent="0.25">
      <c r="A148" s="39">
        <v>5</v>
      </c>
      <c r="B148" s="40" t="str">
        <f t="shared" si="57"/>
        <v>PS-05-OH3</v>
      </c>
      <c r="C148" s="52" t="str">
        <f t="shared" si="58"/>
        <v>Poste de Sectionnement n°05 OH3</v>
      </c>
      <c r="D148" s="19">
        <v>36161</v>
      </c>
      <c r="E148" s="19">
        <v>36161</v>
      </c>
      <c r="F148" s="42"/>
      <c r="G148" s="42">
        <v>1</v>
      </c>
      <c r="H148" s="42"/>
      <c r="I148" s="42" t="s">
        <v>331</v>
      </c>
      <c r="J148" s="42" t="s">
        <v>1044</v>
      </c>
      <c r="K148" s="53">
        <f t="shared" si="55"/>
        <v>184</v>
      </c>
      <c r="L148" s="44">
        <f t="shared" si="56"/>
        <v>173.3</v>
      </c>
      <c r="M148" s="42" t="s">
        <v>1006</v>
      </c>
      <c r="N148" s="52" t="str">
        <f t="shared" si="42"/>
        <v>(5,'PS-05-OH3','Poste de Sectionnement n°05 OH3','Friday-01-jj','Friday-01-jj',,1,),</v>
      </c>
    </row>
    <row r="149" spans="1:14" ht="20.100000000000001" customHeight="1" x14ac:dyDescent="0.25">
      <c r="A149" s="39">
        <v>6</v>
      </c>
      <c r="B149" s="40" t="str">
        <f t="shared" si="57"/>
        <v>PS-06-OH3</v>
      </c>
      <c r="C149" s="52" t="str">
        <f t="shared" si="58"/>
        <v>Poste de Sectionnement n°06 OH3</v>
      </c>
      <c r="D149" s="19">
        <v>36161</v>
      </c>
      <c r="E149" s="19">
        <v>36161</v>
      </c>
      <c r="F149" s="42"/>
      <c r="G149" s="42">
        <v>1</v>
      </c>
      <c r="H149" s="42"/>
      <c r="I149" s="42" t="s">
        <v>331</v>
      </c>
      <c r="J149" s="42" t="s">
        <v>1045</v>
      </c>
      <c r="K149" s="53">
        <f t="shared" si="55"/>
        <v>165</v>
      </c>
      <c r="L149" s="44">
        <f t="shared" si="56"/>
        <v>204</v>
      </c>
      <c r="M149" s="42" t="s">
        <v>1006</v>
      </c>
      <c r="N149" s="52" t="str">
        <f t="shared" ref="N149:N212" si="59">CONCATENATE("(",A149,",'",B149,"','",C149,"','",TEXT(D149,"aaaa-mm-jj"),"','",TEXT(E149,"aaaa-mm-jj"),"',",F149,",",G149,",",H149,"),")</f>
        <v>(6,'PS-06-OH3','Poste de Sectionnement n°06 OH3','Friday-01-jj','Friday-01-jj',,1,),</v>
      </c>
    </row>
    <row r="150" spans="1:14" ht="20.100000000000001" customHeight="1" x14ac:dyDescent="0.25">
      <c r="A150" s="39">
        <v>7</v>
      </c>
      <c r="B150" s="40" t="str">
        <f t="shared" si="57"/>
        <v>PS-07-OH3</v>
      </c>
      <c r="C150" s="52" t="str">
        <f t="shared" si="58"/>
        <v>Poste de Sectionnement n°07 OH3</v>
      </c>
      <c r="D150" s="19">
        <v>36161</v>
      </c>
      <c r="E150" s="19">
        <v>36161</v>
      </c>
      <c r="F150" s="42"/>
      <c r="G150" s="42">
        <v>1</v>
      </c>
      <c r="H150" s="42"/>
      <c r="I150" s="42" t="s">
        <v>331</v>
      </c>
      <c r="J150" s="42" t="s">
        <v>1046</v>
      </c>
      <c r="K150" s="53">
        <f t="shared" si="55"/>
        <v>156.79</v>
      </c>
      <c r="L150" s="44">
        <f t="shared" si="56"/>
        <v>233</v>
      </c>
      <c r="M150" s="42" t="s">
        <v>1006</v>
      </c>
      <c r="N150" s="52" t="str">
        <f t="shared" si="59"/>
        <v>(7,'PS-07-OH3','Poste de Sectionnement n°07 OH3','Friday-01-jj','Friday-01-jj',,1,),</v>
      </c>
    </row>
    <row r="151" spans="1:14" ht="20.100000000000001" customHeight="1" x14ac:dyDescent="0.25">
      <c r="A151" s="39">
        <v>8</v>
      </c>
      <c r="B151" s="11" t="str">
        <f t="shared" si="57"/>
        <v>PS-08-OH3</v>
      </c>
      <c r="C151" s="9" t="str">
        <f t="shared" si="58"/>
        <v>Poste de Sectionnement n°08 OH3</v>
      </c>
      <c r="D151" s="12">
        <v>36161</v>
      </c>
      <c r="E151" s="12">
        <v>36161</v>
      </c>
      <c r="F151" s="13"/>
      <c r="G151" s="42">
        <v>1</v>
      </c>
      <c r="H151" s="13"/>
      <c r="I151" s="13" t="s">
        <v>331</v>
      </c>
      <c r="J151" s="13" t="s">
        <v>1047</v>
      </c>
      <c r="K151" s="59">
        <f t="shared" si="55"/>
        <v>169.65</v>
      </c>
      <c r="L151" s="60">
        <f t="shared" si="56"/>
        <v>262</v>
      </c>
      <c r="M151" s="42" t="s">
        <v>1006</v>
      </c>
      <c r="N151" s="52" t="str">
        <f t="shared" si="59"/>
        <v>(8,'PS-08-OH3','Poste de Sectionnement n°08 OH3','Friday-01-jj','Friday-01-jj',,1,),</v>
      </c>
    </row>
    <row r="152" spans="1:14" ht="20.100000000000001" customHeight="1" x14ac:dyDescent="0.25">
      <c r="A152" s="39">
        <v>1</v>
      </c>
      <c r="B152" s="11" t="str">
        <f t="shared" si="57"/>
        <v>PS-01-OH4</v>
      </c>
      <c r="C152" s="9" t="str">
        <f t="shared" si="58"/>
        <v>Poste de Sectionnement n°01 OH4</v>
      </c>
      <c r="D152" s="12">
        <v>36161</v>
      </c>
      <c r="E152" s="12">
        <v>36161</v>
      </c>
      <c r="F152" s="13"/>
      <c r="G152" s="42">
        <v>1</v>
      </c>
      <c r="H152" s="13"/>
      <c r="I152" s="13" t="s">
        <v>333</v>
      </c>
      <c r="J152" s="13" t="s">
        <v>1040</v>
      </c>
      <c r="K152" s="59">
        <f t="shared" ref="K152:K159" si="60">VALUE(RIGHT(J152,LEN(J152)-SEARCH("/",J152)))</f>
        <v>196</v>
      </c>
      <c r="L152" s="60">
        <f t="shared" ref="L152:L159" si="61">VALUE(SUBSTITUTE(LEFT(J152,SEARCH("/",J152)-1),"+",","))</f>
        <v>31.4</v>
      </c>
      <c r="M152" s="42" t="s">
        <v>1048</v>
      </c>
      <c r="N152" s="52" t="str">
        <f t="shared" si="59"/>
        <v>(1,'PS-01-OH4','Poste de Sectionnement n°01 OH4','Friday-01-jj','Friday-01-jj',,1,),</v>
      </c>
    </row>
    <row r="153" spans="1:14" ht="20.100000000000001" customHeight="1" x14ac:dyDescent="0.25">
      <c r="A153" s="39">
        <v>2</v>
      </c>
      <c r="B153" s="11" t="str">
        <f t="shared" si="57"/>
        <v>PS-02-OH4</v>
      </c>
      <c r="C153" s="9" t="str">
        <f t="shared" si="58"/>
        <v>Poste de Sectionnement n°02 OH4</v>
      </c>
      <c r="D153" s="12">
        <v>36161</v>
      </c>
      <c r="E153" s="12">
        <v>36161</v>
      </c>
      <c r="F153" s="13"/>
      <c r="G153" s="42">
        <v>1</v>
      </c>
      <c r="H153" s="13"/>
      <c r="I153" s="13" t="s">
        <v>333</v>
      </c>
      <c r="J153" s="13" t="s">
        <v>1041</v>
      </c>
      <c r="K153" s="59">
        <f t="shared" si="60"/>
        <v>185</v>
      </c>
      <c r="L153" s="60">
        <f t="shared" si="61"/>
        <v>63.5</v>
      </c>
      <c r="M153" s="42" t="s">
        <v>1048</v>
      </c>
      <c r="N153" s="52" t="str">
        <f t="shared" si="59"/>
        <v>(2,'PS-02-OH4','Poste de Sectionnement n°02 OH4','Friday-01-jj','Friday-01-jj',,1,),</v>
      </c>
    </row>
    <row r="154" spans="1:14" ht="20.100000000000001" customHeight="1" x14ac:dyDescent="0.25">
      <c r="A154" s="39">
        <v>3</v>
      </c>
      <c r="B154" s="11" t="str">
        <f t="shared" si="57"/>
        <v>PS-03-OH4</v>
      </c>
      <c r="C154" s="9" t="str">
        <f t="shared" si="58"/>
        <v>Poste de Sectionnement n°03 OH4</v>
      </c>
      <c r="D154" s="12">
        <v>36161</v>
      </c>
      <c r="E154" s="12">
        <v>36161</v>
      </c>
      <c r="F154" s="13"/>
      <c r="G154" s="42">
        <v>1</v>
      </c>
      <c r="H154" s="13"/>
      <c r="I154" s="13" t="s">
        <v>333</v>
      </c>
      <c r="J154" s="13" t="s">
        <v>1049</v>
      </c>
      <c r="K154" s="59">
        <f t="shared" si="60"/>
        <v>187</v>
      </c>
      <c r="L154" s="60">
        <f t="shared" si="61"/>
        <v>93.5</v>
      </c>
      <c r="M154" s="42" t="s">
        <v>1006</v>
      </c>
      <c r="N154" s="52" t="str">
        <f t="shared" si="59"/>
        <v>(3,'PS-03-OH4','Poste de Sectionnement n°03 OH4','Friday-01-jj','Friday-01-jj',,1,),</v>
      </c>
    </row>
    <row r="155" spans="1:14" ht="20.100000000000001" customHeight="1" x14ac:dyDescent="0.25">
      <c r="A155" s="39">
        <v>4</v>
      </c>
      <c r="B155" s="11" t="str">
        <f t="shared" si="57"/>
        <v>PS-04-OH4</v>
      </c>
      <c r="C155" s="9" t="str">
        <f t="shared" si="58"/>
        <v>Poste de Sectionnement n°04 OH4</v>
      </c>
      <c r="D155" s="12">
        <v>36161</v>
      </c>
      <c r="E155" s="12">
        <v>36161</v>
      </c>
      <c r="F155" s="13"/>
      <c r="G155" s="42">
        <v>1</v>
      </c>
      <c r="H155" s="13"/>
      <c r="I155" s="13" t="s">
        <v>333</v>
      </c>
      <c r="J155" s="13" t="s">
        <v>1043</v>
      </c>
      <c r="K155" s="59">
        <f t="shared" si="60"/>
        <v>190</v>
      </c>
      <c r="L155" s="60">
        <f t="shared" si="61"/>
        <v>123.4</v>
      </c>
      <c r="M155" s="42" t="s">
        <v>1006</v>
      </c>
      <c r="N155" s="52" t="str">
        <f t="shared" si="59"/>
        <v>(4,'PS-04-OH4','Poste de Sectionnement n°04 OH4','Friday-01-jj','Friday-01-jj',,1,),</v>
      </c>
    </row>
    <row r="156" spans="1:14" ht="20.100000000000001" customHeight="1" x14ac:dyDescent="0.25">
      <c r="A156" s="39">
        <v>5</v>
      </c>
      <c r="B156" s="11" t="str">
        <f t="shared" si="57"/>
        <v>PS-05-OH4</v>
      </c>
      <c r="C156" s="9" t="str">
        <f t="shared" si="58"/>
        <v>Poste de Sectionnement n°05 OH4</v>
      </c>
      <c r="D156" s="12">
        <v>36161</v>
      </c>
      <c r="E156" s="12">
        <v>36161</v>
      </c>
      <c r="F156" s="13"/>
      <c r="G156" s="42">
        <v>1</v>
      </c>
      <c r="H156" s="13"/>
      <c r="I156" s="13" t="s">
        <v>333</v>
      </c>
      <c r="J156" s="13" t="s">
        <v>1050</v>
      </c>
      <c r="K156" s="59">
        <f t="shared" si="60"/>
        <v>184</v>
      </c>
      <c r="L156" s="60">
        <f t="shared" si="61"/>
        <v>173.245</v>
      </c>
      <c r="M156" s="42" t="s">
        <v>1006</v>
      </c>
      <c r="N156" s="52" t="str">
        <f t="shared" si="59"/>
        <v>(5,'PS-05-OH4','Poste de Sectionnement n°05 OH4','Friday-01-jj','Friday-01-jj',,1,),</v>
      </c>
    </row>
    <row r="157" spans="1:14" ht="20.100000000000001" customHeight="1" x14ac:dyDescent="0.25">
      <c r="A157" s="39">
        <v>6</v>
      </c>
      <c r="B157" s="11" t="str">
        <f t="shared" si="57"/>
        <v>PS-06-OH4</v>
      </c>
      <c r="C157" s="9" t="str">
        <f t="shared" si="58"/>
        <v>Poste de Sectionnement n°06 OH4</v>
      </c>
      <c r="D157" s="12">
        <v>36161</v>
      </c>
      <c r="E157" s="12">
        <v>36161</v>
      </c>
      <c r="F157" s="13"/>
      <c r="G157" s="42">
        <v>1</v>
      </c>
      <c r="H157" s="13"/>
      <c r="I157" s="13" t="s">
        <v>333</v>
      </c>
      <c r="J157" s="13" t="s">
        <v>1051</v>
      </c>
      <c r="K157" s="59">
        <f t="shared" si="60"/>
        <v>165</v>
      </c>
      <c r="L157" s="60">
        <f t="shared" si="61"/>
        <v>204.01</v>
      </c>
      <c r="M157" s="42" t="s">
        <v>1006</v>
      </c>
      <c r="N157" s="52" t="str">
        <f t="shared" si="59"/>
        <v>(6,'PS-06-OH4','Poste de Sectionnement n°06 OH4','Friday-01-jj','Friday-01-jj',,1,),</v>
      </c>
    </row>
    <row r="158" spans="1:14" ht="20.100000000000001" customHeight="1" x14ac:dyDescent="0.25">
      <c r="A158" s="39">
        <v>7</v>
      </c>
      <c r="B158" s="11" t="str">
        <f t="shared" si="57"/>
        <v>PS-07-OH4</v>
      </c>
      <c r="C158" s="9" t="str">
        <f t="shared" si="58"/>
        <v>Poste de Sectionnement n°07 OH4</v>
      </c>
      <c r="D158" s="12">
        <v>36161</v>
      </c>
      <c r="E158" s="12">
        <v>36161</v>
      </c>
      <c r="F158" s="13"/>
      <c r="G158" s="42">
        <v>1</v>
      </c>
      <c r="H158" s="13"/>
      <c r="I158" s="13" t="s">
        <v>333</v>
      </c>
      <c r="J158" s="13" t="s">
        <v>1052</v>
      </c>
      <c r="K158" s="59">
        <f t="shared" si="60"/>
        <v>156.79</v>
      </c>
      <c r="L158" s="60">
        <f t="shared" si="61"/>
        <v>233.041</v>
      </c>
      <c r="M158" s="42" t="s">
        <v>1006</v>
      </c>
      <c r="N158" s="52" t="str">
        <f t="shared" si="59"/>
        <v>(7,'PS-07-OH4','Poste de Sectionnement n°07 OH4','Friday-01-jj','Friday-01-jj',,1,),</v>
      </c>
    </row>
    <row r="159" spans="1:14" ht="20.100000000000001" customHeight="1" x14ac:dyDescent="0.25">
      <c r="A159" s="39">
        <v>8</v>
      </c>
      <c r="B159" s="11" t="str">
        <f t="shared" si="57"/>
        <v>PS-08-OH4</v>
      </c>
      <c r="C159" s="9" t="str">
        <f t="shared" si="58"/>
        <v>Poste de Sectionnement n°08 OH4</v>
      </c>
      <c r="D159" s="12">
        <v>36161</v>
      </c>
      <c r="E159" s="12">
        <v>36161</v>
      </c>
      <c r="F159" s="13"/>
      <c r="G159" s="42">
        <v>1</v>
      </c>
      <c r="H159" s="13"/>
      <c r="I159" s="13" t="s">
        <v>333</v>
      </c>
      <c r="J159" s="13" t="s">
        <v>1053</v>
      </c>
      <c r="K159" s="59">
        <f t="shared" si="60"/>
        <v>169.65</v>
      </c>
      <c r="L159" s="60">
        <f t="shared" si="61"/>
        <v>263</v>
      </c>
      <c r="M159" s="42" t="s">
        <v>1006</v>
      </c>
      <c r="N159" s="52" t="str">
        <f t="shared" si="59"/>
        <v>(8,'PS-08-OH4','Poste de Sectionnement n°08 OH4','Friday-01-jj','Friday-01-jj',,1,),</v>
      </c>
    </row>
    <row r="160" spans="1:14" ht="20.100000000000001" customHeight="1" x14ac:dyDescent="0.25">
      <c r="A160" s="39">
        <v>1</v>
      </c>
      <c r="B160" s="40" t="str">
        <f t="shared" si="57"/>
        <v>PS-01-NZ1</v>
      </c>
      <c r="C160" s="52" t="str">
        <f t="shared" si="58"/>
        <v>Poste de Sectionnement n°01 NZ1</v>
      </c>
      <c r="D160" s="19">
        <v>28795</v>
      </c>
      <c r="E160" s="19">
        <v>28795</v>
      </c>
      <c r="F160" s="42"/>
      <c r="G160" s="42">
        <v>1</v>
      </c>
      <c r="H160" s="42"/>
      <c r="I160" s="42" t="s">
        <v>345</v>
      </c>
      <c r="J160" s="42" t="s">
        <v>1054</v>
      </c>
      <c r="K160" s="61">
        <v>780</v>
      </c>
      <c r="L160" s="44">
        <f>VALUE(SUBSTITUTE(J160,"+",","))</f>
        <v>0.44600000000000001</v>
      </c>
      <c r="M160" s="42" t="s">
        <v>1081</v>
      </c>
      <c r="N160" s="52" t="str">
        <f t="shared" si="59"/>
        <v>(1,'PS-01-NZ1','Poste de Sectionnement n°01 NZ1','Wednesday-11-jj','Wednesday-11-jj',,1,),</v>
      </c>
    </row>
    <row r="161" spans="1:14" ht="20.100000000000001" customHeight="1" x14ac:dyDescent="0.25">
      <c r="A161" s="39">
        <v>2</v>
      </c>
      <c r="B161" s="40" t="str">
        <f t="shared" si="57"/>
        <v>PS-02-NZ1</v>
      </c>
      <c r="C161" s="52" t="str">
        <f t="shared" si="58"/>
        <v>Poste de Sectionnement n°02 NZ1</v>
      </c>
      <c r="D161" s="19">
        <v>28795</v>
      </c>
      <c r="E161" s="19">
        <v>28795</v>
      </c>
      <c r="F161" s="42"/>
      <c r="G161" s="42">
        <v>1</v>
      </c>
      <c r="H161" s="42"/>
      <c r="I161" s="42" t="s">
        <v>345</v>
      </c>
      <c r="J161" s="42" t="s">
        <v>1055</v>
      </c>
      <c r="K161" s="61">
        <v>752</v>
      </c>
      <c r="L161" s="44">
        <f t="shared" ref="L161:L183" si="62">VALUE(SUBSTITUTE(J161,"+",","))</f>
        <v>7</v>
      </c>
      <c r="M161" s="42" t="s">
        <v>1081</v>
      </c>
      <c r="N161" s="52" t="str">
        <f t="shared" si="59"/>
        <v>(2,'PS-02-NZ1','Poste de Sectionnement n°02 NZ1','Wednesday-11-jj','Wednesday-11-jj',,1,),</v>
      </c>
    </row>
    <row r="162" spans="1:14" ht="20.100000000000001" customHeight="1" x14ac:dyDescent="0.25">
      <c r="A162" s="39">
        <v>3</v>
      </c>
      <c r="B162" s="40" t="str">
        <f t="shared" si="57"/>
        <v>PS-03-NZ1</v>
      </c>
      <c r="C162" s="52" t="str">
        <f t="shared" si="58"/>
        <v>Poste de Sectionnement n°03 NZ1</v>
      </c>
      <c r="D162" s="19">
        <v>28795</v>
      </c>
      <c r="E162" s="19">
        <v>28795</v>
      </c>
      <c r="F162" s="42"/>
      <c r="G162" s="42">
        <v>1</v>
      </c>
      <c r="H162" s="42"/>
      <c r="I162" s="42" t="s">
        <v>345</v>
      </c>
      <c r="J162" s="42" t="s">
        <v>1056</v>
      </c>
      <c r="K162" s="61">
        <v>767</v>
      </c>
      <c r="L162" s="44">
        <f t="shared" si="62"/>
        <v>22.96</v>
      </c>
      <c r="M162" s="42" t="s">
        <v>1082</v>
      </c>
      <c r="N162" s="52" t="str">
        <f t="shared" si="59"/>
        <v>(3,'PS-03-NZ1','Poste de Sectionnement n°03 NZ1','Wednesday-11-jj','Wednesday-11-jj',,1,),</v>
      </c>
    </row>
    <row r="163" spans="1:14" ht="20.100000000000001" customHeight="1" x14ac:dyDescent="0.25">
      <c r="A163" s="39">
        <v>4</v>
      </c>
      <c r="B163" s="40" t="str">
        <f t="shared" si="57"/>
        <v>PS-04-NZ1</v>
      </c>
      <c r="C163" s="52" t="str">
        <f t="shared" si="58"/>
        <v>Poste de Sectionnement n°04 NZ1</v>
      </c>
      <c r="D163" s="19">
        <v>28795</v>
      </c>
      <c r="E163" s="19">
        <v>28795</v>
      </c>
      <c r="F163" s="42"/>
      <c r="G163" s="42">
        <v>1</v>
      </c>
      <c r="H163" s="42"/>
      <c r="I163" s="42" t="s">
        <v>345</v>
      </c>
      <c r="J163" s="42" t="s">
        <v>1057</v>
      </c>
      <c r="K163" s="61">
        <v>840</v>
      </c>
      <c r="L163" s="44">
        <f t="shared" si="62"/>
        <v>77</v>
      </c>
      <c r="M163" s="42" t="s">
        <v>1082</v>
      </c>
      <c r="N163" s="52" t="str">
        <f t="shared" si="59"/>
        <v>(4,'PS-04-NZ1','Poste de Sectionnement n°04 NZ1','Wednesday-11-jj','Wednesday-11-jj',,1,),</v>
      </c>
    </row>
    <row r="164" spans="1:14" ht="20.100000000000001" customHeight="1" x14ac:dyDescent="0.25">
      <c r="A164" s="39">
        <v>5</v>
      </c>
      <c r="B164" s="40" t="str">
        <f t="shared" ref="B164:B185" si="63">CONCATENATE("PS-",TEXT(A164,"00"),"-",I164)</f>
        <v>PS-05-NZ1</v>
      </c>
      <c r="C164" s="52" t="str">
        <f t="shared" ref="C164:C185" si="64">CONCATENATE("Poste de Sectionnement n°",TEXT(A164,"00")," ",I164)</f>
        <v>Poste de Sectionnement n°05 NZ1</v>
      </c>
      <c r="D164" s="19">
        <v>28795</v>
      </c>
      <c r="E164" s="19">
        <v>28795</v>
      </c>
      <c r="F164" s="42"/>
      <c r="G164" s="42">
        <v>1</v>
      </c>
      <c r="H164" s="42"/>
      <c r="I164" s="42" t="s">
        <v>345</v>
      </c>
      <c r="J164" s="42" t="s">
        <v>1058</v>
      </c>
      <c r="K164" s="44">
        <v>806</v>
      </c>
      <c r="L164" s="44">
        <f t="shared" si="62"/>
        <v>95</v>
      </c>
      <c r="M164" s="42" t="s">
        <v>1083</v>
      </c>
      <c r="N164" s="52" t="str">
        <f t="shared" si="59"/>
        <v>(5,'PS-05-NZ1','Poste de Sectionnement n°05 NZ1','Wednesday-11-jj','Wednesday-11-jj',,1,),</v>
      </c>
    </row>
    <row r="165" spans="1:14" ht="20.100000000000001" customHeight="1" x14ac:dyDescent="0.25">
      <c r="A165" s="39">
        <v>6</v>
      </c>
      <c r="B165" s="40" t="str">
        <f t="shared" si="63"/>
        <v>PS-06-NZ1</v>
      </c>
      <c r="C165" s="52" t="str">
        <f t="shared" si="64"/>
        <v>Poste de Sectionnement n°06 NZ1</v>
      </c>
      <c r="D165" s="19">
        <v>28795</v>
      </c>
      <c r="E165" s="19">
        <v>28795</v>
      </c>
      <c r="F165" s="42"/>
      <c r="G165" s="42">
        <v>1</v>
      </c>
      <c r="H165" s="42"/>
      <c r="I165" s="42" t="s">
        <v>345</v>
      </c>
      <c r="J165" s="42" t="s">
        <v>1059</v>
      </c>
      <c r="K165" s="44">
        <v>878</v>
      </c>
      <c r="L165" s="44">
        <f t="shared" si="62"/>
        <v>109.274</v>
      </c>
      <c r="M165" s="42" t="s">
        <v>1084</v>
      </c>
      <c r="N165" s="52" t="str">
        <f t="shared" si="59"/>
        <v>(6,'PS-06-NZ1','Poste de Sectionnement n°06 NZ1','Wednesday-11-jj','Wednesday-11-jj',,1,),</v>
      </c>
    </row>
    <row r="166" spans="1:14" ht="20.100000000000001" customHeight="1" x14ac:dyDescent="0.25">
      <c r="A166" s="39">
        <v>7</v>
      </c>
      <c r="B166" s="40" t="str">
        <f t="shared" si="63"/>
        <v>PS-07-NZ1</v>
      </c>
      <c r="C166" s="52" t="str">
        <f t="shared" si="64"/>
        <v>Poste de Sectionnement n°07 NZ1</v>
      </c>
      <c r="D166" s="19">
        <v>28795</v>
      </c>
      <c r="E166" s="19">
        <v>28795</v>
      </c>
      <c r="F166" s="42"/>
      <c r="G166" s="42">
        <v>1</v>
      </c>
      <c r="H166" s="42"/>
      <c r="I166" s="42" t="s">
        <v>345</v>
      </c>
      <c r="J166" s="42" t="s">
        <v>1059</v>
      </c>
      <c r="K166" s="44">
        <v>890</v>
      </c>
      <c r="L166" s="44">
        <f t="shared" si="62"/>
        <v>109.274</v>
      </c>
      <c r="M166" s="42" t="s">
        <v>1084</v>
      </c>
      <c r="N166" s="52" t="str">
        <f t="shared" si="59"/>
        <v>(7,'PS-07-NZ1','Poste de Sectionnement n°07 NZ1','Wednesday-11-jj','Wednesday-11-jj',,1,),</v>
      </c>
    </row>
    <row r="167" spans="1:14" ht="20.100000000000001" customHeight="1" x14ac:dyDescent="0.25">
      <c r="A167" s="39">
        <v>8</v>
      </c>
      <c r="B167" s="40" t="str">
        <f t="shared" si="63"/>
        <v>PS-08-NZ1</v>
      </c>
      <c r="C167" s="52" t="str">
        <f t="shared" si="64"/>
        <v>Poste de Sectionnement n°08 NZ1</v>
      </c>
      <c r="D167" s="19">
        <v>28795</v>
      </c>
      <c r="E167" s="19">
        <v>28795</v>
      </c>
      <c r="F167" s="42"/>
      <c r="G167" s="42">
        <v>1</v>
      </c>
      <c r="H167" s="42"/>
      <c r="I167" s="42" t="s">
        <v>345</v>
      </c>
      <c r="J167" s="42" t="s">
        <v>1060</v>
      </c>
      <c r="K167" s="44">
        <v>1057</v>
      </c>
      <c r="L167" s="44">
        <f t="shared" si="62"/>
        <v>139.08600000000001</v>
      </c>
      <c r="M167" s="42" t="s">
        <v>1084</v>
      </c>
      <c r="N167" s="52" t="str">
        <f t="shared" si="59"/>
        <v>(8,'PS-08-NZ1','Poste de Sectionnement n°08 NZ1','Wednesday-11-jj','Wednesday-11-jj',,1,),</v>
      </c>
    </row>
    <row r="168" spans="1:14" ht="20.100000000000001" customHeight="1" x14ac:dyDescent="0.25">
      <c r="A168" s="39">
        <v>9</v>
      </c>
      <c r="B168" s="40" t="str">
        <f t="shared" si="63"/>
        <v>PS-09-NZ1</v>
      </c>
      <c r="C168" s="52" t="str">
        <f t="shared" si="64"/>
        <v>Poste de Sectionnement n°09 NZ1</v>
      </c>
      <c r="D168" s="19">
        <v>28795</v>
      </c>
      <c r="E168" s="19">
        <v>28795</v>
      </c>
      <c r="F168" s="42"/>
      <c r="G168" s="42">
        <v>1</v>
      </c>
      <c r="H168" s="42"/>
      <c r="I168" s="42" t="s">
        <v>345</v>
      </c>
      <c r="J168" s="42" t="s">
        <v>1061</v>
      </c>
      <c r="K168" s="44">
        <v>1007</v>
      </c>
      <c r="L168" s="44">
        <f t="shared" si="62"/>
        <v>194.55099999999999</v>
      </c>
      <c r="M168" s="42" t="s">
        <v>1095</v>
      </c>
      <c r="N168" s="52" t="str">
        <f t="shared" si="59"/>
        <v>(9,'PS-09-NZ1','Poste de Sectionnement n°09 NZ1','Wednesday-11-jj','Wednesday-11-jj',,1,),</v>
      </c>
    </row>
    <row r="169" spans="1:14" ht="20.100000000000001" customHeight="1" x14ac:dyDescent="0.25">
      <c r="A169" s="39">
        <v>10</v>
      </c>
      <c r="B169" s="40" t="str">
        <f t="shared" si="63"/>
        <v>PS-10-NZ1</v>
      </c>
      <c r="C169" s="52" t="str">
        <f t="shared" si="64"/>
        <v>Poste de Sectionnement n°10 NZ1</v>
      </c>
      <c r="D169" s="19">
        <v>28795</v>
      </c>
      <c r="E169" s="19">
        <v>28795</v>
      </c>
      <c r="F169" s="42"/>
      <c r="G169" s="42">
        <v>1</v>
      </c>
      <c r="H169" s="42"/>
      <c r="I169" s="42" t="s">
        <v>345</v>
      </c>
      <c r="J169" s="42" t="s">
        <v>1062</v>
      </c>
      <c r="K169" s="44">
        <v>978</v>
      </c>
      <c r="L169" s="44">
        <f t="shared" si="62"/>
        <v>230.02199999999999</v>
      </c>
      <c r="M169" s="42" t="s">
        <v>1085</v>
      </c>
      <c r="N169" s="52" t="str">
        <f t="shared" si="59"/>
        <v>(10,'PS-10-NZ1','Poste de Sectionnement n°10 NZ1','Wednesday-11-jj','Wednesday-11-jj',,1,),</v>
      </c>
    </row>
    <row r="170" spans="1:14" ht="20.100000000000001" customHeight="1" x14ac:dyDescent="0.25">
      <c r="A170" s="39">
        <v>11</v>
      </c>
      <c r="B170" s="40" t="str">
        <f t="shared" si="63"/>
        <v>PS-11-NZ1</v>
      </c>
      <c r="C170" s="52" t="str">
        <f t="shared" si="64"/>
        <v>Poste de Sectionnement n°11 NZ1</v>
      </c>
      <c r="D170" s="19">
        <v>28795</v>
      </c>
      <c r="E170" s="19">
        <v>28795</v>
      </c>
      <c r="F170" s="42"/>
      <c r="G170" s="42">
        <v>1</v>
      </c>
      <c r="H170" s="42"/>
      <c r="I170" s="42" t="s">
        <v>345</v>
      </c>
      <c r="J170" s="42" t="s">
        <v>1062</v>
      </c>
      <c r="K170" s="44">
        <v>977</v>
      </c>
      <c r="L170" s="44">
        <f t="shared" si="62"/>
        <v>230.02199999999999</v>
      </c>
      <c r="M170" s="42" t="s">
        <v>1085</v>
      </c>
      <c r="N170" s="52" t="str">
        <f t="shared" si="59"/>
        <v>(11,'PS-11-NZ1','Poste de Sectionnement n°11 NZ1','Wednesday-11-jj','Wednesday-11-jj',,1,),</v>
      </c>
    </row>
    <row r="171" spans="1:14" ht="20.100000000000001" customHeight="1" x14ac:dyDescent="0.25">
      <c r="A171" s="39">
        <v>12</v>
      </c>
      <c r="B171" s="40" t="str">
        <f t="shared" si="63"/>
        <v>PS-12-NZ1</v>
      </c>
      <c r="C171" s="52" t="str">
        <f t="shared" si="64"/>
        <v>Poste de Sectionnement n°12 NZ1</v>
      </c>
      <c r="D171" s="19">
        <v>28795</v>
      </c>
      <c r="E171" s="19">
        <v>28795</v>
      </c>
      <c r="F171" s="42"/>
      <c r="G171" s="42">
        <v>1</v>
      </c>
      <c r="H171" s="42"/>
      <c r="I171" s="42" t="s">
        <v>345</v>
      </c>
      <c r="J171" s="42" t="s">
        <v>1063</v>
      </c>
      <c r="K171" s="44">
        <v>1102</v>
      </c>
      <c r="L171" s="44">
        <f t="shared" si="62"/>
        <v>247.4</v>
      </c>
      <c r="M171" s="42" t="s">
        <v>1085</v>
      </c>
      <c r="N171" s="52" t="str">
        <f t="shared" si="59"/>
        <v>(12,'PS-12-NZ1','Poste de Sectionnement n°12 NZ1','Wednesday-11-jj','Wednesday-11-jj',,1,),</v>
      </c>
    </row>
    <row r="172" spans="1:14" ht="20.100000000000001" customHeight="1" x14ac:dyDescent="0.25">
      <c r="A172" s="39">
        <v>13</v>
      </c>
      <c r="B172" s="40" t="str">
        <f t="shared" si="63"/>
        <v>PS-13-NZ1</v>
      </c>
      <c r="C172" s="52" t="str">
        <f t="shared" si="64"/>
        <v>Poste de Sectionnement n°13 NZ1</v>
      </c>
      <c r="D172" s="19">
        <v>28795</v>
      </c>
      <c r="E172" s="19">
        <v>28795</v>
      </c>
      <c r="F172" s="42"/>
      <c r="G172" s="42">
        <v>1</v>
      </c>
      <c r="H172" s="42"/>
      <c r="I172" s="42" t="s">
        <v>345</v>
      </c>
      <c r="J172" s="42" t="s">
        <v>1064</v>
      </c>
      <c r="K172" s="44">
        <v>1156</v>
      </c>
      <c r="L172" s="44">
        <f t="shared" si="62"/>
        <v>262</v>
      </c>
      <c r="M172" s="42" t="s">
        <v>1085</v>
      </c>
      <c r="N172" s="52" t="str">
        <f t="shared" si="59"/>
        <v>(13,'PS-13-NZ1','Poste de Sectionnement n°13 NZ1','Wednesday-11-jj','Wednesday-11-jj',,1,),</v>
      </c>
    </row>
    <row r="173" spans="1:14" ht="20.100000000000001" customHeight="1" x14ac:dyDescent="0.25">
      <c r="A173" s="39">
        <v>14</v>
      </c>
      <c r="B173" s="40" t="str">
        <f t="shared" si="63"/>
        <v>PS-14-NZ1</v>
      </c>
      <c r="C173" s="52" t="str">
        <f t="shared" si="64"/>
        <v>Poste de Sectionnement n°14 NZ1</v>
      </c>
      <c r="D173" s="19">
        <v>28795</v>
      </c>
      <c r="E173" s="19">
        <v>28795</v>
      </c>
      <c r="F173" s="42"/>
      <c r="G173" s="42">
        <v>1</v>
      </c>
      <c r="H173" s="42"/>
      <c r="I173" s="42" t="s">
        <v>345</v>
      </c>
      <c r="J173" s="42" t="s">
        <v>1065</v>
      </c>
      <c r="K173" s="44">
        <v>1096</v>
      </c>
      <c r="L173" s="44">
        <f t="shared" si="62"/>
        <v>306.786</v>
      </c>
      <c r="M173" s="42" t="s">
        <v>1086</v>
      </c>
      <c r="N173" s="52" t="str">
        <f t="shared" si="59"/>
        <v>(14,'PS-14-NZ1','Poste de Sectionnement n°14 NZ1','Wednesday-11-jj','Wednesday-11-jj',,1,),</v>
      </c>
    </row>
    <row r="174" spans="1:14" ht="20.100000000000001" customHeight="1" x14ac:dyDescent="0.25">
      <c r="A174" s="39">
        <v>15</v>
      </c>
      <c r="B174" s="40" t="str">
        <f t="shared" si="63"/>
        <v>PS-15-NZ1</v>
      </c>
      <c r="C174" s="52" t="str">
        <f t="shared" si="64"/>
        <v>Poste de Sectionnement n°15 NZ1</v>
      </c>
      <c r="D174" s="19">
        <v>28795</v>
      </c>
      <c r="E174" s="19">
        <v>28795</v>
      </c>
      <c r="F174" s="42"/>
      <c r="G174" s="42">
        <v>1</v>
      </c>
      <c r="H174" s="42"/>
      <c r="I174" s="42" t="s">
        <v>345</v>
      </c>
      <c r="J174" s="42" t="s">
        <v>1066</v>
      </c>
      <c r="K174" s="44">
        <v>965</v>
      </c>
      <c r="L174" s="44">
        <f t="shared" si="62"/>
        <v>317.5</v>
      </c>
      <c r="M174" s="42" t="s">
        <v>1086</v>
      </c>
      <c r="N174" s="52" t="str">
        <f t="shared" si="59"/>
        <v>(15,'PS-15-NZ1','Poste de Sectionnement n°15 NZ1','Wednesday-11-jj','Wednesday-11-jj',,1,),</v>
      </c>
    </row>
    <row r="175" spans="1:14" ht="20.100000000000001" customHeight="1" x14ac:dyDescent="0.25">
      <c r="A175" s="39">
        <v>16</v>
      </c>
      <c r="B175" s="40" t="str">
        <f t="shared" si="63"/>
        <v>PS-16-NZ1</v>
      </c>
      <c r="C175" s="52" t="str">
        <f t="shared" si="64"/>
        <v>Poste de Sectionnement n°16 NZ1</v>
      </c>
      <c r="D175" s="19">
        <v>28795</v>
      </c>
      <c r="E175" s="19">
        <v>28795</v>
      </c>
      <c r="F175" s="42"/>
      <c r="G175" s="42">
        <v>1</v>
      </c>
      <c r="H175" s="42"/>
      <c r="I175" s="42" t="s">
        <v>345</v>
      </c>
      <c r="J175" s="42" t="s">
        <v>1067</v>
      </c>
      <c r="K175" s="44">
        <v>813</v>
      </c>
      <c r="L175" s="44">
        <f t="shared" si="62"/>
        <v>337.3</v>
      </c>
      <c r="M175" s="42" t="s">
        <v>1087</v>
      </c>
      <c r="N175" s="52" t="str">
        <f t="shared" si="59"/>
        <v>(16,'PS-16-NZ1','Poste de Sectionnement n°16 NZ1','Wednesday-11-jj','Wednesday-11-jj',,1,),</v>
      </c>
    </row>
    <row r="176" spans="1:14" ht="20.100000000000001" customHeight="1" x14ac:dyDescent="0.25">
      <c r="A176" s="39">
        <v>17</v>
      </c>
      <c r="B176" s="40" t="str">
        <f t="shared" si="63"/>
        <v>PS-17-NZ1</v>
      </c>
      <c r="C176" s="52" t="str">
        <f t="shared" si="64"/>
        <v>Poste de Sectionnement n°17 NZ1</v>
      </c>
      <c r="D176" s="19">
        <v>28795</v>
      </c>
      <c r="E176" s="19">
        <v>28795</v>
      </c>
      <c r="F176" s="42"/>
      <c r="G176" s="42">
        <v>1</v>
      </c>
      <c r="H176" s="42"/>
      <c r="I176" s="42" t="s">
        <v>345</v>
      </c>
      <c r="J176" s="42" t="s">
        <v>1068</v>
      </c>
      <c r="K176" s="44">
        <v>628</v>
      </c>
      <c r="L176" s="44">
        <f t="shared" si="62"/>
        <v>364.36700000000002</v>
      </c>
      <c r="M176" s="42" t="s">
        <v>1088</v>
      </c>
      <c r="N176" s="52" t="str">
        <f t="shared" si="59"/>
        <v>(17,'PS-17-NZ1','Poste de Sectionnement n°17 NZ1','Wednesday-11-jj','Wednesday-11-jj',,1,),</v>
      </c>
    </row>
    <row r="177" spans="1:14" ht="20.100000000000001" customHeight="1" x14ac:dyDescent="0.25">
      <c r="A177" s="39">
        <v>18</v>
      </c>
      <c r="B177" s="40" t="str">
        <f t="shared" si="63"/>
        <v>PS-18-NZ1</v>
      </c>
      <c r="C177" s="52" t="str">
        <f t="shared" si="64"/>
        <v>Poste de Sectionnement n°18 NZ1</v>
      </c>
      <c r="D177" s="19">
        <v>28795</v>
      </c>
      <c r="E177" s="19">
        <v>28795</v>
      </c>
      <c r="F177" s="42"/>
      <c r="G177" s="42">
        <v>1</v>
      </c>
      <c r="H177" s="42"/>
      <c r="I177" s="42" t="s">
        <v>345</v>
      </c>
      <c r="J177" s="42" t="s">
        <v>1069</v>
      </c>
      <c r="K177" s="44">
        <v>290</v>
      </c>
      <c r="L177" s="44">
        <f t="shared" si="62"/>
        <v>397.32799999999997</v>
      </c>
      <c r="M177" s="42" t="s">
        <v>1089</v>
      </c>
      <c r="N177" s="52" t="str">
        <f t="shared" si="59"/>
        <v>(18,'PS-18-NZ1','Poste de Sectionnement n°18 NZ1','Wednesday-11-jj','Wednesday-11-jj',,1,),</v>
      </c>
    </row>
    <row r="178" spans="1:14" ht="20.100000000000001" customHeight="1" x14ac:dyDescent="0.25">
      <c r="A178" s="39">
        <v>19</v>
      </c>
      <c r="B178" s="40" t="str">
        <f t="shared" si="63"/>
        <v>PS-19-NZ1</v>
      </c>
      <c r="C178" s="52" t="str">
        <f t="shared" si="64"/>
        <v>Poste de Sectionnement n°19 NZ1</v>
      </c>
      <c r="D178" s="19">
        <v>28795</v>
      </c>
      <c r="E178" s="19">
        <v>28795</v>
      </c>
      <c r="F178" s="42"/>
      <c r="G178" s="42">
        <v>1</v>
      </c>
      <c r="H178" s="42"/>
      <c r="I178" s="42" t="s">
        <v>345</v>
      </c>
      <c r="J178" s="42" t="s">
        <v>1070</v>
      </c>
      <c r="K178" s="44">
        <v>93</v>
      </c>
      <c r="L178" s="44">
        <f t="shared" si="62"/>
        <v>411.43799999999999</v>
      </c>
      <c r="M178" s="42" t="s">
        <v>1090</v>
      </c>
      <c r="N178" s="52" t="str">
        <f t="shared" si="59"/>
        <v>(19,'PS-19-NZ1','Poste de Sectionnement n°19 NZ1','Wednesday-11-jj','Wednesday-11-jj',,1,),</v>
      </c>
    </row>
    <row r="179" spans="1:14" ht="20.100000000000001" customHeight="1" x14ac:dyDescent="0.25">
      <c r="A179" s="39">
        <v>20</v>
      </c>
      <c r="B179" s="40" t="str">
        <f t="shared" si="63"/>
        <v>PS-20-NZ1</v>
      </c>
      <c r="C179" s="52" t="str">
        <f t="shared" si="64"/>
        <v>Poste de Sectionnement n°20 NZ1</v>
      </c>
      <c r="D179" s="19">
        <v>28795</v>
      </c>
      <c r="E179" s="19">
        <v>28795</v>
      </c>
      <c r="F179" s="42"/>
      <c r="G179" s="42">
        <v>1</v>
      </c>
      <c r="H179" s="42"/>
      <c r="I179" s="42" t="s">
        <v>345</v>
      </c>
      <c r="J179" s="42" t="s">
        <v>1071</v>
      </c>
      <c r="K179" s="44">
        <v>80</v>
      </c>
      <c r="L179" s="44">
        <f t="shared" si="62"/>
        <v>424</v>
      </c>
      <c r="M179" s="42" t="s">
        <v>1091</v>
      </c>
      <c r="N179" s="52" t="str">
        <f t="shared" si="59"/>
        <v>(20,'PS-20-NZ1','Poste de Sectionnement n°20 NZ1','Wednesday-11-jj','Wednesday-11-jj',,1,),</v>
      </c>
    </row>
    <row r="180" spans="1:14" ht="20.100000000000001" customHeight="1" x14ac:dyDescent="0.25">
      <c r="A180" s="39">
        <v>21</v>
      </c>
      <c r="B180" s="40" t="str">
        <f t="shared" si="63"/>
        <v>PS-21-NZ1</v>
      </c>
      <c r="C180" s="52" t="str">
        <f t="shared" si="64"/>
        <v>Poste de Sectionnement n°21 NZ1</v>
      </c>
      <c r="D180" s="19">
        <v>28795</v>
      </c>
      <c r="E180" s="19">
        <v>28795</v>
      </c>
      <c r="F180" s="42"/>
      <c r="G180" s="42">
        <v>1</v>
      </c>
      <c r="H180" s="42"/>
      <c r="I180" s="42" t="s">
        <v>345</v>
      </c>
      <c r="J180" s="42" t="s">
        <v>1072</v>
      </c>
      <c r="K180" s="44">
        <v>20</v>
      </c>
      <c r="L180" s="44">
        <f t="shared" si="62"/>
        <v>463.666</v>
      </c>
      <c r="M180" s="42" t="s">
        <v>1092</v>
      </c>
      <c r="N180" s="52" t="str">
        <f t="shared" si="59"/>
        <v>(21,'PS-21-NZ1','Poste de Sectionnement n°21 NZ1','Wednesday-11-jj','Wednesday-11-jj',,1,),</v>
      </c>
    </row>
    <row r="181" spans="1:14" ht="20.100000000000001" customHeight="1" x14ac:dyDescent="0.25">
      <c r="A181" s="39">
        <v>22</v>
      </c>
      <c r="B181" s="40" t="str">
        <f t="shared" si="63"/>
        <v>PS-22-NZ1</v>
      </c>
      <c r="C181" s="52" t="str">
        <f t="shared" si="64"/>
        <v>Poste de Sectionnement n°22 NZ1</v>
      </c>
      <c r="D181" s="19">
        <v>28795</v>
      </c>
      <c r="E181" s="19">
        <v>28795</v>
      </c>
      <c r="F181" s="42"/>
      <c r="G181" s="42">
        <v>1</v>
      </c>
      <c r="H181" s="42"/>
      <c r="I181" s="42" t="s">
        <v>345</v>
      </c>
      <c r="J181" s="42" t="s">
        <v>1073</v>
      </c>
      <c r="K181" s="44">
        <v>5</v>
      </c>
      <c r="L181" s="44">
        <f t="shared" si="62"/>
        <v>477</v>
      </c>
      <c r="M181" s="42" t="s">
        <v>1093</v>
      </c>
      <c r="N181" s="52" t="str">
        <f t="shared" si="59"/>
        <v>(22,'PS-22-NZ1','Poste de Sectionnement n°22 NZ1','Wednesday-11-jj','Wednesday-11-jj',,1,),</v>
      </c>
    </row>
    <row r="182" spans="1:14" ht="20.100000000000001" customHeight="1" x14ac:dyDescent="0.25">
      <c r="A182" s="39">
        <v>23</v>
      </c>
      <c r="B182" s="40" t="str">
        <f t="shared" si="63"/>
        <v>PS-23-NZ1</v>
      </c>
      <c r="C182" s="52" t="str">
        <f t="shared" si="64"/>
        <v>Poste de Sectionnement n°23 NZ1</v>
      </c>
      <c r="D182" s="19">
        <v>28795</v>
      </c>
      <c r="E182" s="19">
        <v>28795</v>
      </c>
      <c r="F182" s="42"/>
      <c r="G182" s="42">
        <v>1</v>
      </c>
      <c r="H182" s="42"/>
      <c r="I182" s="42" t="s">
        <v>345</v>
      </c>
      <c r="J182" s="42" t="s">
        <v>1074</v>
      </c>
      <c r="K182" s="44">
        <v>6</v>
      </c>
      <c r="L182" s="44">
        <f t="shared" si="62"/>
        <v>488</v>
      </c>
      <c r="M182" s="42" t="s">
        <v>1094</v>
      </c>
      <c r="N182" s="52" t="str">
        <f t="shared" si="59"/>
        <v>(23,'PS-23-NZ1','Poste de Sectionnement n°23 NZ1','Wednesday-11-jj','Wednesday-11-jj',,1,),</v>
      </c>
    </row>
    <row r="183" spans="1:14" ht="20.100000000000001" customHeight="1" x14ac:dyDescent="0.25">
      <c r="A183" s="39">
        <v>24</v>
      </c>
      <c r="B183" s="40" t="str">
        <f t="shared" si="63"/>
        <v>PS-24-NZ1</v>
      </c>
      <c r="C183" s="52" t="str">
        <f t="shared" si="64"/>
        <v>Poste de Sectionnement n°24 NZ1</v>
      </c>
      <c r="D183" s="19">
        <v>28795</v>
      </c>
      <c r="E183" s="19">
        <v>28795</v>
      </c>
      <c r="F183" s="42"/>
      <c r="G183" s="42">
        <v>1</v>
      </c>
      <c r="H183" s="42"/>
      <c r="I183" s="42" t="s">
        <v>345</v>
      </c>
      <c r="J183" s="42" t="s">
        <v>1075</v>
      </c>
      <c r="K183" s="44">
        <v>14</v>
      </c>
      <c r="L183" s="44">
        <f t="shared" si="62"/>
        <v>490.60500000000002</v>
      </c>
      <c r="M183" s="42" t="s">
        <v>1094</v>
      </c>
      <c r="N183" s="52" t="str">
        <f t="shared" si="59"/>
        <v>(24,'PS-24-NZ1','Poste de Sectionnement n°24 NZ1','Wednesday-11-jj','Wednesday-11-jj',,1,),</v>
      </c>
    </row>
    <row r="184" spans="1:14" ht="20.100000000000001" customHeight="1" x14ac:dyDescent="0.25">
      <c r="A184" s="39">
        <v>1</v>
      </c>
      <c r="B184" s="40" t="str">
        <f t="shared" si="63"/>
        <v>PS-01-NK1</v>
      </c>
      <c r="C184" s="52" t="str">
        <f t="shared" si="64"/>
        <v>Poste de Sectionnement n°01 NK1</v>
      </c>
      <c r="D184" s="19">
        <v>40029</v>
      </c>
      <c r="E184" s="19">
        <v>40029</v>
      </c>
      <c r="F184" s="42"/>
      <c r="G184" s="42">
        <v>1</v>
      </c>
      <c r="H184" s="42"/>
      <c r="I184" s="42" t="s">
        <v>348</v>
      </c>
      <c r="J184" s="42" t="s">
        <v>1656</v>
      </c>
      <c r="K184" s="44">
        <f t="shared" ref="K184" si="65">VALUE(RIGHT(J184,LEN(J184)-SEARCH("/",J184)))</f>
        <v>173</v>
      </c>
      <c r="L184" s="44">
        <f t="shared" ref="L184" si="66">VALUE(SUBSTITUTE(LEFT(J184,SEARCH("/",J184)-1),"+",","))</f>
        <v>19.141999999999999</v>
      </c>
      <c r="M184" s="42" t="s">
        <v>1674</v>
      </c>
      <c r="N184" s="52" t="str">
        <f t="shared" si="59"/>
        <v>(1,'PS-01-NK1','Poste de Sectionnement n°01 NK1','Tuesday-08-jj','Tuesday-08-jj',,1,),</v>
      </c>
    </row>
    <row r="185" spans="1:14" ht="20.100000000000001" customHeight="1" x14ac:dyDescent="0.25">
      <c r="A185" s="39">
        <v>2</v>
      </c>
      <c r="B185" s="40" t="str">
        <f t="shared" si="63"/>
        <v>PS-02-NK1</v>
      </c>
      <c r="C185" s="52" t="str">
        <f t="shared" si="64"/>
        <v>Poste de Sectionnement n°02 NK1</v>
      </c>
      <c r="D185" s="19">
        <v>40029</v>
      </c>
      <c r="E185" s="19">
        <v>40029</v>
      </c>
      <c r="F185" s="42"/>
      <c r="G185" s="42">
        <v>1</v>
      </c>
      <c r="H185" s="42"/>
      <c r="I185" s="42" t="s">
        <v>348</v>
      </c>
      <c r="J185" s="42" t="s">
        <v>1657</v>
      </c>
      <c r="K185" s="44">
        <f t="shared" ref="K185:K200" si="67">VALUE(RIGHT(J185,LEN(J185)-SEARCH("/",J185)))</f>
        <v>170</v>
      </c>
      <c r="L185" s="44">
        <f t="shared" ref="L185:L200" si="68">VALUE(SUBSTITUTE(LEFT(J185,SEARCH("/",J185)-1),"+",","))</f>
        <v>39.03</v>
      </c>
      <c r="M185" s="42" t="s">
        <v>1674</v>
      </c>
      <c r="N185" s="52" t="str">
        <f t="shared" si="59"/>
        <v>(2,'PS-02-NK1','Poste de Sectionnement n°02 NK1','Tuesday-08-jj','Tuesday-08-jj',,1,),</v>
      </c>
    </row>
    <row r="186" spans="1:14" ht="20.100000000000001" customHeight="1" x14ac:dyDescent="0.25">
      <c r="A186" s="39">
        <v>3</v>
      </c>
      <c r="B186" s="40" t="str">
        <f t="shared" ref="B186:B201" si="69">CONCATENATE("PS-",TEXT(A186,"00"),"-",I186)</f>
        <v>PS-03-NK1</v>
      </c>
      <c r="C186" s="52" t="str">
        <f t="shared" ref="C186:C201" si="70">CONCATENATE("Poste de Sectionnement n°",TEXT(A186,"00")," ",I186)</f>
        <v>Poste de Sectionnement n°03 NK1</v>
      </c>
      <c r="D186" s="19">
        <v>40029</v>
      </c>
      <c r="E186" s="19">
        <v>40029</v>
      </c>
      <c r="F186" s="42"/>
      <c r="G186" s="42">
        <v>1</v>
      </c>
      <c r="H186" s="42"/>
      <c r="I186" s="42" t="s">
        <v>348</v>
      </c>
      <c r="J186" s="42" t="s">
        <v>1658</v>
      </c>
      <c r="K186" s="44">
        <f t="shared" si="67"/>
        <v>127</v>
      </c>
      <c r="L186" s="44">
        <f t="shared" si="68"/>
        <v>58.423000000000002</v>
      </c>
      <c r="M186" s="42" t="s">
        <v>1675</v>
      </c>
      <c r="N186" s="52" t="str">
        <f t="shared" si="59"/>
        <v>(3,'PS-03-NK1','Poste de Sectionnement n°03 NK1','Tuesday-08-jj','Tuesday-08-jj',,1,),</v>
      </c>
    </row>
    <row r="187" spans="1:14" ht="20.100000000000001" customHeight="1" x14ac:dyDescent="0.25">
      <c r="A187" s="39">
        <v>4</v>
      </c>
      <c r="B187" s="40" t="str">
        <f t="shared" si="69"/>
        <v>PS-04-NK1</v>
      </c>
      <c r="C187" s="52" t="str">
        <f t="shared" si="70"/>
        <v>Poste de Sectionnement n°04 NK1</v>
      </c>
      <c r="D187" s="19">
        <v>40029</v>
      </c>
      <c r="E187" s="19">
        <v>40029</v>
      </c>
      <c r="F187" s="42"/>
      <c r="G187" s="42">
        <v>1</v>
      </c>
      <c r="H187" s="42"/>
      <c r="I187" s="42" t="s">
        <v>348</v>
      </c>
      <c r="J187" s="42" t="s">
        <v>1659</v>
      </c>
      <c r="K187" s="44">
        <f t="shared" si="67"/>
        <v>119</v>
      </c>
      <c r="L187" s="44">
        <f t="shared" si="68"/>
        <v>78</v>
      </c>
      <c r="M187" s="42" t="s">
        <v>1675</v>
      </c>
      <c r="N187" s="52" t="str">
        <f t="shared" si="59"/>
        <v>(4,'PS-04-NK1','Poste de Sectionnement n°04 NK1','Tuesday-08-jj','Tuesday-08-jj',,1,),</v>
      </c>
    </row>
    <row r="188" spans="1:14" ht="20.100000000000001" customHeight="1" x14ac:dyDescent="0.25">
      <c r="A188" s="39">
        <v>5</v>
      </c>
      <c r="B188" s="40" t="str">
        <f t="shared" si="69"/>
        <v>PS-05-NK1</v>
      </c>
      <c r="C188" s="52" t="str">
        <f t="shared" si="70"/>
        <v>Poste de Sectionnement n°05 NK1</v>
      </c>
      <c r="D188" s="19">
        <v>40029</v>
      </c>
      <c r="E188" s="19">
        <v>40029</v>
      </c>
      <c r="F188" s="42"/>
      <c r="G188" s="42">
        <v>1</v>
      </c>
      <c r="H188" s="42"/>
      <c r="I188" s="42" t="s">
        <v>348</v>
      </c>
      <c r="J188" s="42" t="s">
        <v>1660</v>
      </c>
      <c r="K188" s="44">
        <f t="shared" si="67"/>
        <v>112</v>
      </c>
      <c r="L188" s="44">
        <f t="shared" si="68"/>
        <v>97.503</v>
      </c>
      <c r="M188" s="42" t="s">
        <v>1675</v>
      </c>
      <c r="N188" s="52" t="str">
        <f t="shared" si="59"/>
        <v>(5,'PS-05-NK1','Poste de Sectionnement n°05 NK1','Tuesday-08-jj','Tuesday-08-jj',,1,),</v>
      </c>
    </row>
    <row r="189" spans="1:14" ht="20.100000000000001" customHeight="1" x14ac:dyDescent="0.25">
      <c r="A189" s="39">
        <v>6</v>
      </c>
      <c r="B189" s="40" t="str">
        <f t="shared" si="69"/>
        <v>PS-06-NK1</v>
      </c>
      <c r="C189" s="52" t="str">
        <f t="shared" si="70"/>
        <v>Poste de Sectionnement n°06 NK1</v>
      </c>
      <c r="D189" s="19">
        <v>40029</v>
      </c>
      <c r="E189" s="19">
        <v>40029</v>
      </c>
      <c r="F189" s="42"/>
      <c r="G189" s="42">
        <v>1</v>
      </c>
      <c r="H189" s="42"/>
      <c r="I189" s="42" t="s">
        <v>348</v>
      </c>
      <c r="J189" s="42" t="s">
        <v>1661</v>
      </c>
      <c r="K189" s="44">
        <f t="shared" si="67"/>
        <v>98</v>
      </c>
      <c r="L189" s="44">
        <f t="shared" si="68"/>
        <v>117.11199999999999</v>
      </c>
      <c r="M189" s="42" t="s">
        <v>1675</v>
      </c>
      <c r="N189" s="52" t="str">
        <f t="shared" si="59"/>
        <v>(6,'PS-06-NK1','Poste de Sectionnement n°06 NK1','Tuesday-08-jj','Tuesday-08-jj',,1,),</v>
      </c>
    </row>
    <row r="190" spans="1:14" ht="20.100000000000001" customHeight="1" x14ac:dyDescent="0.25">
      <c r="A190" s="39">
        <v>7</v>
      </c>
      <c r="B190" s="40" t="str">
        <f t="shared" si="69"/>
        <v>PS-07-NK1</v>
      </c>
      <c r="C190" s="52" t="str">
        <f t="shared" si="70"/>
        <v>Poste de Sectionnement n°07 NK1</v>
      </c>
      <c r="D190" s="19">
        <v>40029</v>
      </c>
      <c r="E190" s="19">
        <v>40029</v>
      </c>
      <c r="F190" s="42"/>
      <c r="G190" s="42">
        <v>1</v>
      </c>
      <c r="H190" s="42"/>
      <c r="I190" s="42" t="s">
        <v>348</v>
      </c>
      <c r="J190" s="42" t="s">
        <v>1662</v>
      </c>
      <c r="K190" s="44">
        <f t="shared" si="67"/>
        <v>88</v>
      </c>
      <c r="L190" s="44">
        <f t="shared" si="68"/>
        <v>136.69800000000001</v>
      </c>
      <c r="M190" s="42" t="s">
        <v>1676</v>
      </c>
      <c r="N190" s="52" t="str">
        <f t="shared" si="59"/>
        <v>(7,'PS-07-NK1','Poste de Sectionnement n°07 NK1','Tuesday-08-jj','Tuesday-08-jj',,1,),</v>
      </c>
    </row>
    <row r="191" spans="1:14" ht="20.100000000000001" customHeight="1" x14ac:dyDescent="0.25">
      <c r="A191" s="39">
        <v>8</v>
      </c>
      <c r="B191" s="40" t="str">
        <f t="shared" si="69"/>
        <v>PS-08-NK1</v>
      </c>
      <c r="C191" s="52" t="str">
        <f t="shared" si="70"/>
        <v>Poste de Sectionnement n°08 NK1</v>
      </c>
      <c r="D191" s="19">
        <v>40029</v>
      </c>
      <c r="E191" s="19">
        <v>40029</v>
      </c>
      <c r="F191" s="42"/>
      <c r="G191" s="42">
        <v>1</v>
      </c>
      <c r="H191" s="42"/>
      <c r="I191" s="42" t="s">
        <v>348</v>
      </c>
      <c r="J191" s="42" t="s">
        <v>1663</v>
      </c>
      <c r="K191" s="44">
        <f t="shared" si="67"/>
        <v>71</v>
      </c>
      <c r="L191" s="44">
        <f t="shared" si="68"/>
        <v>156.44800000000001</v>
      </c>
      <c r="M191" s="42" t="s">
        <v>1677</v>
      </c>
      <c r="N191" s="52" t="str">
        <f t="shared" si="59"/>
        <v>(8,'PS-08-NK1','Poste de Sectionnement n°08 NK1','Tuesday-08-jj','Tuesday-08-jj',,1,),</v>
      </c>
    </row>
    <row r="192" spans="1:14" ht="20.100000000000001" customHeight="1" x14ac:dyDescent="0.25">
      <c r="A192" s="39">
        <v>9</v>
      </c>
      <c r="B192" s="40" t="str">
        <f t="shared" si="69"/>
        <v>PS-09-NK1</v>
      </c>
      <c r="C192" s="52" t="str">
        <f t="shared" si="70"/>
        <v>Poste de Sectionnement n°09 NK1</v>
      </c>
      <c r="D192" s="19">
        <v>40029</v>
      </c>
      <c r="E192" s="19">
        <v>40029</v>
      </c>
      <c r="F192" s="42"/>
      <c r="G192" s="42">
        <v>1</v>
      </c>
      <c r="H192" s="42"/>
      <c r="I192" s="42" t="s">
        <v>348</v>
      </c>
      <c r="J192" s="42" t="s">
        <v>1664</v>
      </c>
      <c r="K192" s="44">
        <f t="shared" si="67"/>
        <v>77</v>
      </c>
      <c r="L192" s="44">
        <f t="shared" si="68"/>
        <v>175.5</v>
      </c>
      <c r="M192" s="42" t="s">
        <v>1678</v>
      </c>
      <c r="N192" s="52" t="str">
        <f t="shared" si="59"/>
        <v>(9,'PS-09-NK1','Poste de Sectionnement n°09 NK1','Tuesday-08-jj','Tuesday-08-jj',,1,),</v>
      </c>
    </row>
    <row r="193" spans="1:14" ht="20.100000000000001" customHeight="1" x14ac:dyDescent="0.25">
      <c r="A193" s="39">
        <v>10</v>
      </c>
      <c r="B193" s="40" t="str">
        <f t="shared" si="69"/>
        <v>PS-10-NK1</v>
      </c>
      <c r="C193" s="52" t="str">
        <f t="shared" si="70"/>
        <v>Poste de Sectionnement n°10 NK1</v>
      </c>
      <c r="D193" s="19">
        <v>40029</v>
      </c>
      <c r="E193" s="19">
        <v>40029</v>
      </c>
      <c r="F193" s="42"/>
      <c r="G193" s="42">
        <v>1</v>
      </c>
      <c r="H193" s="42"/>
      <c r="I193" s="42" t="s">
        <v>348</v>
      </c>
      <c r="J193" s="42" t="s">
        <v>1665</v>
      </c>
      <c r="K193" s="44">
        <f t="shared" si="67"/>
        <v>110</v>
      </c>
      <c r="L193" s="44">
        <f t="shared" si="68"/>
        <v>209.315</v>
      </c>
      <c r="M193" s="42" t="s">
        <v>1679</v>
      </c>
      <c r="N193" s="52" t="str">
        <f t="shared" si="59"/>
        <v>(10,'PS-10-NK1','Poste de Sectionnement n°10 NK1','Tuesday-08-jj','Tuesday-08-jj',,1,),</v>
      </c>
    </row>
    <row r="194" spans="1:14" ht="20.100000000000001" customHeight="1" x14ac:dyDescent="0.25">
      <c r="A194" s="39">
        <v>11</v>
      </c>
      <c r="B194" s="40" t="str">
        <f t="shared" si="69"/>
        <v>PS-11-NK1</v>
      </c>
      <c r="C194" s="52" t="str">
        <f t="shared" si="70"/>
        <v>Poste de Sectionnement n°11 NK1</v>
      </c>
      <c r="D194" s="19">
        <v>40029</v>
      </c>
      <c r="E194" s="19">
        <v>40029</v>
      </c>
      <c r="F194" s="42"/>
      <c r="G194" s="42">
        <v>1</v>
      </c>
      <c r="H194" s="42"/>
      <c r="I194" s="42" t="s">
        <v>348</v>
      </c>
      <c r="J194" s="42" t="s">
        <v>1666</v>
      </c>
      <c r="K194" s="44">
        <f t="shared" si="67"/>
        <v>78</v>
      </c>
      <c r="L194" s="44">
        <f t="shared" si="68"/>
        <v>228.535</v>
      </c>
      <c r="M194" s="42" t="s">
        <v>1680</v>
      </c>
      <c r="N194" s="52" t="str">
        <f t="shared" si="59"/>
        <v>(11,'PS-11-NK1','Poste de Sectionnement n°11 NK1','Tuesday-08-jj','Tuesday-08-jj',,1,),</v>
      </c>
    </row>
    <row r="195" spans="1:14" ht="20.100000000000001" customHeight="1" x14ac:dyDescent="0.25">
      <c r="A195" s="39">
        <v>12</v>
      </c>
      <c r="B195" s="40" t="str">
        <f t="shared" si="69"/>
        <v>PS-12-NK1</v>
      </c>
      <c r="C195" s="52" t="str">
        <f t="shared" si="70"/>
        <v>Poste de Sectionnement n°12 NK1</v>
      </c>
      <c r="D195" s="19">
        <v>40029</v>
      </c>
      <c r="E195" s="19">
        <v>40029</v>
      </c>
      <c r="F195" s="42"/>
      <c r="G195" s="42">
        <v>1</v>
      </c>
      <c r="H195" s="42"/>
      <c r="I195" s="42" t="s">
        <v>348</v>
      </c>
      <c r="J195" s="42" t="s">
        <v>1667</v>
      </c>
      <c r="K195" s="44">
        <f t="shared" si="67"/>
        <v>42</v>
      </c>
      <c r="L195" s="44">
        <f t="shared" si="68"/>
        <v>248.00299999999999</v>
      </c>
      <c r="M195" s="42" t="s">
        <v>1681</v>
      </c>
      <c r="N195" s="52" t="str">
        <f t="shared" si="59"/>
        <v>(12,'PS-12-NK1','Poste de Sectionnement n°12 NK1','Tuesday-08-jj','Tuesday-08-jj',,1,),</v>
      </c>
    </row>
    <row r="196" spans="1:14" ht="20.100000000000001" customHeight="1" x14ac:dyDescent="0.25">
      <c r="A196" s="39">
        <v>13</v>
      </c>
      <c r="B196" s="40" t="str">
        <f t="shared" si="69"/>
        <v>PS-13-NK1</v>
      </c>
      <c r="C196" s="52" t="str">
        <f t="shared" si="70"/>
        <v>Poste de Sectionnement n°13 NK1</v>
      </c>
      <c r="D196" s="19">
        <v>40029</v>
      </c>
      <c r="E196" s="19">
        <v>40029</v>
      </c>
      <c r="F196" s="42"/>
      <c r="G196" s="42">
        <v>1</v>
      </c>
      <c r="H196" s="42"/>
      <c r="I196" s="42" t="s">
        <v>348</v>
      </c>
      <c r="J196" s="42" t="s">
        <v>1668</v>
      </c>
      <c r="K196" s="44">
        <f t="shared" si="67"/>
        <v>93</v>
      </c>
      <c r="L196" s="44">
        <f t="shared" si="68"/>
        <v>267.65100000000001</v>
      </c>
      <c r="M196" s="42" t="s">
        <v>1682</v>
      </c>
      <c r="N196" s="52" t="str">
        <f t="shared" si="59"/>
        <v>(13,'PS-13-NK1','Poste de Sectionnement n°13 NK1','Tuesday-08-jj','Tuesday-08-jj',,1,),</v>
      </c>
    </row>
    <row r="197" spans="1:14" ht="20.100000000000001" customHeight="1" x14ac:dyDescent="0.25">
      <c r="A197" s="39">
        <v>14</v>
      </c>
      <c r="B197" s="40" t="str">
        <f t="shared" si="69"/>
        <v>PS-14-NK1</v>
      </c>
      <c r="C197" s="52" t="str">
        <f t="shared" si="70"/>
        <v>Poste de Sectionnement n°14 NK1</v>
      </c>
      <c r="D197" s="19">
        <v>40029</v>
      </c>
      <c r="E197" s="19">
        <v>40029</v>
      </c>
      <c r="F197" s="42"/>
      <c r="G197" s="42">
        <v>1</v>
      </c>
      <c r="H197" s="42"/>
      <c r="I197" s="42" t="s">
        <v>348</v>
      </c>
      <c r="J197" s="42" t="s">
        <v>1669</v>
      </c>
      <c r="K197" s="44">
        <f t="shared" si="67"/>
        <v>85</v>
      </c>
      <c r="L197" s="44">
        <f t="shared" si="68"/>
        <v>287.16300000000001</v>
      </c>
      <c r="M197" s="42" t="s">
        <v>1683</v>
      </c>
      <c r="N197" s="52" t="str">
        <f t="shared" si="59"/>
        <v>(14,'PS-14-NK1','Poste de Sectionnement n°14 NK1','Tuesday-08-jj','Tuesday-08-jj',,1,),</v>
      </c>
    </row>
    <row r="198" spans="1:14" ht="20.100000000000001" customHeight="1" x14ac:dyDescent="0.25">
      <c r="A198" s="39">
        <v>15</v>
      </c>
      <c r="B198" s="40" t="str">
        <f t="shared" si="69"/>
        <v>PS-15-NK1</v>
      </c>
      <c r="C198" s="52" t="str">
        <f t="shared" si="70"/>
        <v>Poste de Sectionnement n°15 NK1</v>
      </c>
      <c r="D198" s="19">
        <v>40029</v>
      </c>
      <c r="E198" s="19">
        <v>40029</v>
      </c>
      <c r="F198" s="42"/>
      <c r="G198" s="42">
        <v>1</v>
      </c>
      <c r="H198" s="42"/>
      <c r="I198" s="42" t="s">
        <v>348</v>
      </c>
      <c r="J198" s="42" t="s">
        <v>1670</v>
      </c>
      <c r="K198" s="44">
        <f t="shared" si="67"/>
        <v>78</v>
      </c>
      <c r="L198" s="44">
        <f t="shared" si="68"/>
        <v>306.745</v>
      </c>
      <c r="M198" s="42" t="s">
        <v>1684</v>
      </c>
      <c r="N198" s="52" t="str">
        <f t="shared" si="59"/>
        <v>(15,'PS-15-NK1','Poste de Sectionnement n°15 NK1','Tuesday-08-jj','Tuesday-08-jj',,1,),</v>
      </c>
    </row>
    <row r="199" spans="1:14" ht="20.100000000000001" customHeight="1" x14ac:dyDescent="0.25">
      <c r="A199" s="39">
        <v>16</v>
      </c>
      <c r="B199" s="40" t="str">
        <f t="shared" si="69"/>
        <v>PS-16-NK1</v>
      </c>
      <c r="C199" s="52" t="str">
        <f t="shared" si="70"/>
        <v>Poste de Sectionnement n°16 NK1</v>
      </c>
      <c r="D199" s="19">
        <v>40029</v>
      </c>
      <c r="E199" s="19">
        <v>40029</v>
      </c>
      <c r="F199" s="42"/>
      <c r="G199" s="42">
        <v>1</v>
      </c>
      <c r="H199" s="42"/>
      <c r="I199" s="42" t="s">
        <v>348</v>
      </c>
      <c r="J199" s="42" t="s">
        <v>1671</v>
      </c>
      <c r="K199" s="44">
        <f t="shared" si="67"/>
        <v>150</v>
      </c>
      <c r="L199" s="44">
        <f t="shared" si="68"/>
        <v>326.50700000000001</v>
      </c>
      <c r="M199" s="42" t="s">
        <v>1685</v>
      </c>
      <c r="N199" s="52" t="str">
        <f t="shared" si="59"/>
        <v>(16,'PS-16-NK1','Poste de Sectionnement n°16 NK1','Tuesday-08-jj','Tuesday-08-jj',,1,),</v>
      </c>
    </row>
    <row r="200" spans="1:14" ht="20.100000000000001" customHeight="1" x14ac:dyDescent="0.25">
      <c r="A200" s="39">
        <v>17</v>
      </c>
      <c r="B200" s="40" t="str">
        <f t="shared" si="69"/>
        <v>PS-17-NK1</v>
      </c>
      <c r="C200" s="52" t="str">
        <f t="shared" si="70"/>
        <v>Poste de Sectionnement n°17 NK1</v>
      </c>
      <c r="D200" s="19">
        <v>40029</v>
      </c>
      <c r="E200" s="19">
        <v>40029</v>
      </c>
      <c r="F200" s="42"/>
      <c r="G200" s="42">
        <v>1</v>
      </c>
      <c r="H200" s="42"/>
      <c r="I200" s="42" t="s">
        <v>348</v>
      </c>
      <c r="J200" s="42" t="s">
        <v>1672</v>
      </c>
      <c r="K200" s="44">
        <f t="shared" si="67"/>
        <v>241</v>
      </c>
      <c r="L200" s="44">
        <f t="shared" si="68"/>
        <v>357.11399999999998</v>
      </c>
      <c r="M200" s="42" t="s">
        <v>1686</v>
      </c>
      <c r="N200" s="52" t="str">
        <f t="shared" si="59"/>
        <v>(17,'PS-17-NK1','Poste de Sectionnement n°17 NK1','Tuesday-08-jj','Tuesday-08-jj',,1,),</v>
      </c>
    </row>
    <row r="201" spans="1:14" ht="20.100000000000001" customHeight="1" x14ac:dyDescent="0.25">
      <c r="A201" s="39">
        <v>18</v>
      </c>
      <c r="B201" s="40" t="str">
        <f t="shared" si="69"/>
        <v>PS-18-NK1</v>
      </c>
      <c r="C201" s="52" t="str">
        <f t="shared" si="70"/>
        <v>Poste de Sectionnement n°18 NK1</v>
      </c>
      <c r="D201" s="19">
        <v>40029</v>
      </c>
      <c r="E201" s="19">
        <v>40029</v>
      </c>
      <c r="F201" s="42"/>
      <c r="G201" s="42">
        <v>1</v>
      </c>
      <c r="H201" s="42"/>
      <c r="I201" s="42" t="s">
        <v>348</v>
      </c>
      <c r="J201" s="42" t="s">
        <v>1673</v>
      </c>
      <c r="K201" s="44">
        <f t="shared" ref="K201" si="71">VALUE(RIGHT(J201,LEN(J201)-SEARCH("/",J201)))</f>
        <v>403</v>
      </c>
      <c r="L201" s="44">
        <f t="shared" ref="L201" si="72">VALUE(SUBSTITUTE(LEFT(J201,SEARCH("/",J201)-1),"+",","))</f>
        <v>375.16399999999999</v>
      </c>
      <c r="M201" s="42" t="s">
        <v>1686</v>
      </c>
      <c r="N201" s="52" t="str">
        <f t="shared" si="59"/>
        <v>(18,'PS-18-NK1','Poste de Sectionnement n°18 NK1','Tuesday-08-jj','Tuesday-08-jj',,1,),</v>
      </c>
    </row>
    <row r="202" spans="1:14" ht="20.100000000000001" customHeight="1" x14ac:dyDescent="0.25">
      <c r="A202" s="39">
        <v>19</v>
      </c>
      <c r="B202" s="40" t="str">
        <f t="shared" ref="B202:B223" si="73">CONCATENATE("PS-",TEXT(A202,"00"),"-",I202)</f>
        <v>PS-19-NK1</v>
      </c>
      <c r="C202" s="52" t="str">
        <f t="shared" ref="C202:C223" si="74">CONCATENATE("Poste de Sectionnement n°",TEXT(A202,"00")," ",I202)</f>
        <v>Poste de Sectionnement n°19 NK1</v>
      </c>
      <c r="D202" s="19">
        <v>40029</v>
      </c>
      <c r="E202" s="19">
        <v>40029</v>
      </c>
      <c r="F202" s="42"/>
      <c r="G202" s="42">
        <v>1</v>
      </c>
      <c r="H202" s="42"/>
      <c r="I202" s="42" t="s">
        <v>348</v>
      </c>
      <c r="J202" s="42" t="s">
        <v>1701</v>
      </c>
      <c r="K202" s="44">
        <f t="shared" ref="K202:K219" si="75">VALUE(RIGHT(J202,LEN(J202)-SEARCH("/",J202)))</f>
        <v>538</v>
      </c>
      <c r="L202" s="44">
        <f t="shared" ref="L202:L219" si="76">VALUE(SUBSTITUTE(LEFT(J202,SEARCH("/",J202)-1),"+",","))</f>
        <v>394.30099999999999</v>
      </c>
      <c r="M202" s="42" t="s">
        <v>837</v>
      </c>
      <c r="N202" s="52" t="str">
        <f t="shared" si="59"/>
        <v>(19,'PS-19-NK1','Poste de Sectionnement n°19 NK1','Tuesday-08-jj','Tuesday-08-jj',,1,),</v>
      </c>
    </row>
    <row r="203" spans="1:14" ht="20.100000000000001" customHeight="1" x14ac:dyDescent="0.25">
      <c r="A203" s="39">
        <v>20</v>
      </c>
      <c r="B203" s="40" t="str">
        <f t="shared" si="73"/>
        <v>PS-20-NK1</v>
      </c>
      <c r="C203" s="52" t="str">
        <f t="shared" si="74"/>
        <v>Poste de Sectionnement n°20 NK1</v>
      </c>
      <c r="D203" s="19">
        <v>40029</v>
      </c>
      <c r="E203" s="19">
        <v>40029</v>
      </c>
      <c r="F203" s="42"/>
      <c r="G203" s="42">
        <v>1</v>
      </c>
      <c r="H203" s="42"/>
      <c r="I203" s="42" t="s">
        <v>348</v>
      </c>
      <c r="J203" s="42" t="s">
        <v>1702</v>
      </c>
      <c r="K203" s="44">
        <f t="shared" si="75"/>
        <v>474</v>
      </c>
      <c r="L203" s="44">
        <f t="shared" si="76"/>
        <v>411.12900000000002</v>
      </c>
      <c r="M203" s="42" t="s">
        <v>837</v>
      </c>
      <c r="N203" s="52" t="str">
        <f t="shared" si="59"/>
        <v>(20,'PS-20-NK1','Poste de Sectionnement n°20 NK1','Tuesday-08-jj','Tuesday-08-jj',,1,),</v>
      </c>
    </row>
    <row r="204" spans="1:14" ht="20.100000000000001" customHeight="1" x14ac:dyDescent="0.25">
      <c r="A204" s="39">
        <v>21</v>
      </c>
      <c r="B204" s="40" t="str">
        <f t="shared" si="73"/>
        <v>PS-21-NK1</v>
      </c>
      <c r="C204" s="52" t="str">
        <f t="shared" si="74"/>
        <v>Poste de Sectionnement n°21 NK1</v>
      </c>
      <c r="D204" s="19">
        <v>40029</v>
      </c>
      <c r="E204" s="19">
        <v>40029</v>
      </c>
      <c r="F204" s="42"/>
      <c r="G204" s="42">
        <v>1</v>
      </c>
      <c r="H204" s="42"/>
      <c r="I204" s="42" t="s">
        <v>348</v>
      </c>
      <c r="J204" s="42" t="s">
        <v>1703</v>
      </c>
      <c r="K204" s="44">
        <f t="shared" si="75"/>
        <v>705</v>
      </c>
      <c r="L204" s="44">
        <f t="shared" si="76"/>
        <v>446.33699999999999</v>
      </c>
      <c r="M204" s="42" t="s">
        <v>1687</v>
      </c>
      <c r="N204" s="52" t="str">
        <f t="shared" si="59"/>
        <v>(21,'PS-21-NK1','Poste de Sectionnement n°21 NK1','Tuesday-08-jj','Tuesday-08-jj',,1,),</v>
      </c>
    </row>
    <row r="205" spans="1:14" ht="20.100000000000001" customHeight="1" x14ac:dyDescent="0.25">
      <c r="A205" s="39">
        <v>22</v>
      </c>
      <c r="B205" s="40" t="str">
        <f t="shared" si="73"/>
        <v>PS-22-NK1</v>
      </c>
      <c r="C205" s="52" t="str">
        <f t="shared" si="74"/>
        <v>Poste de Sectionnement n°22 NK1</v>
      </c>
      <c r="D205" s="19">
        <v>40029</v>
      </c>
      <c r="E205" s="19">
        <v>40029</v>
      </c>
      <c r="F205" s="42"/>
      <c r="G205" s="42">
        <v>1</v>
      </c>
      <c r="H205" s="42"/>
      <c r="I205" s="42" t="s">
        <v>348</v>
      </c>
      <c r="J205" s="42" t="s">
        <v>1704</v>
      </c>
      <c r="K205" s="44">
        <f t="shared" si="75"/>
        <v>854</v>
      </c>
      <c r="L205" s="44">
        <f t="shared" si="76"/>
        <v>461.375</v>
      </c>
      <c r="M205" s="42" t="s">
        <v>1688</v>
      </c>
      <c r="N205" s="52" t="str">
        <f t="shared" si="59"/>
        <v>(22,'PS-22-NK1','Poste de Sectionnement n°22 NK1','Tuesday-08-jj','Tuesday-08-jj',,1,),</v>
      </c>
    </row>
    <row r="206" spans="1:14" ht="20.100000000000001" customHeight="1" x14ac:dyDescent="0.25">
      <c r="A206" s="39">
        <v>23</v>
      </c>
      <c r="B206" s="40" t="str">
        <f t="shared" si="73"/>
        <v>PS-23-NK1</v>
      </c>
      <c r="C206" s="52" t="str">
        <f t="shared" si="74"/>
        <v>Poste de Sectionnement n°23 NK1</v>
      </c>
      <c r="D206" s="19">
        <v>40029</v>
      </c>
      <c r="E206" s="19">
        <v>40029</v>
      </c>
      <c r="F206" s="42"/>
      <c r="G206" s="42">
        <v>1</v>
      </c>
      <c r="H206" s="42"/>
      <c r="I206" s="42" t="s">
        <v>348</v>
      </c>
      <c r="J206" s="42" t="s">
        <v>1705</v>
      </c>
      <c r="K206" s="44">
        <f t="shared" si="75"/>
        <v>934</v>
      </c>
      <c r="L206" s="44">
        <f t="shared" si="76"/>
        <v>478.15</v>
      </c>
      <c r="M206" s="42" t="s">
        <v>1689</v>
      </c>
      <c r="N206" s="52" t="str">
        <f t="shared" si="59"/>
        <v>(23,'PS-23-NK1','Poste de Sectionnement n°23 NK1','Tuesday-08-jj','Tuesday-08-jj',,1,),</v>
      </c>
    </row>
    <row r="207" spans="1:14" ht="20.100000000000001" customHeight="1" x14ac:dyDescent="0.25">
      <c r="A207" s="39">
        <v>24</v>
      </c>
      <c r="B207" s="40" t="str">
        <f t="shared" si="73"/>
        <v>PS-24-NK1</v>
      </c>
      <c r="C207" s="52" t="str">
        <f t="shared" si="74"/>
        <v>Poste de Sectionnement n°24 NK1</v>
      </c>
      <c r="D207" s="19">
        <v>40029</v>
      </c>
      <c r="E207" s="19">
        <v>40029</v>
      </c>
      <c r="F207" s="42"/>
      <c r="G207" s="42">
        <v>1</v>
      </c>
      <c r="H207" s="42"/>
      <c r="I207" s="42" t="s">
        <v>348</v>
      </c>
      <c r="J207" s="42" t="s">
        <v>1706</v>
      </c>
      <c r="K207" s="44">
        <f t="shared" si="75"/>
        <v>874</v>
      </c>
      <c r="L207" s="44">
        <f t="shared" si="76"/>
        <v>496.24099999999999</v>
      </c>
      <c r="M207" s="42" t="s">
        <v>1690</v>
      </c>
      <c r="N207" s="52" t="str">
        <f t="shared" si="59"/>
        <v>(24,'PS-24-NK1','Poste de Sectionnement n°24 NK1','Tuesday-08-jj','Tuesday-08-jj',,1,),</v>
      </c>
    </row>
    <row r="208" spans="1:14" ht="20.100000000000001" customHeight="1" x14ac:dyDescent="0.25">
      <c r="A208" s="39">
        <v>25</v>
      </c>
      <c r="B208" s="40" t="str">
        <f t="shared" si="73"/>
        <v>PS-25-NK1</v>
      </c>
      <c r="C208" s="52" t="str">
        <f t="shared" si="74"/>
        <v>Poste de Sectionnement n°25 NK1</v>
      </c>
      <c r="D208" s="19">
        <v>40029</v>
      </c>
      <c r="E208" s="19">
        <v>40029</v>
      </c>
      <c r="F208" s="42"/>
      <c r="G208" s="42">
        <v>1</v>
      </c>
      <c r="H208" s="42"/>
      <c r="I208" s="42" t="s">
        <v>348</v>
      </c>
      <c r="J208" s="42" t="s">
        <v>1707</v>
      </c>
      <c r="K208" s="44">
        <f t="shared" si="75"/>
        <v>957</v>
      </c>
      <c r="L208" s="44">
        <f t="shared" si="76"/>
        <v>508.36399999999998</v>
      </c>
      <c r="M208" s="42" t="s">
        <v>1691</v>
      </c>
      <c r="N208" s="52" t="str">
        <f t="shared" si="59"/>
        <v>(25,'PS-25-NK1','Poste de Sectionnement n°25 NK1','Tuesday-08-jj','Tuesday-08-jj',,1,),</v>
      </c>
    </row>
    <row r="209" spans="1:14" ht="20.100000000000001" customHeight="1" x14ac:dyDescent="0.25">
      <c r="A209" s="39">
        <v>26</v>
      </c>
      <c r="B209" s="40" t="str">
        <f t="shared" si="73"/>
        <v>PS-26-NK1</v>
      </c>
      <c r="C209" s="52" t="str">
        <f t="shared" si="74"/>
        <v>Poste de Sectionnement n°26 NK1</v>
      </c>
      <c r="D209" s="19">
        <v>40029</v>
      </c>
      <c r="E209" s="19">
        <v>40029</v>
      </c>
      <c r="F209" s="42"/>
      <c r="G209" s="42">
        <v>1</v>
      </c>
      <c r="H209" s="42"/>
      <c r="I209" s="42" t="s">
        <v>348</v>
      </c>
      <c r="J209" s="42" t="s">
        <v>1708</v>
      </c>
      <c r="K209" s="44">
        <f t="shared" si="75"/>
        <v>833</v>
      </c>
      <c r="L209" s="44">
        <f t="shared" si="76"/>
        <v>525.23900000000003</v>
      </c>
      <c r="M209" s="42" t="s">
        <v>1692</v>
      </c>
      <c r="N209" s="52" t="str">
        <f t="shared" si="59"/>
        <v>(26,'PS-26-NK1','Poste de Sectionnement n°26 NK1','Tuesday-08-jj','Tuesday-08-jj',,1,),</v>
      </c>
    </row>
    <row r="210" spans="1:14" ht="20.100000000000001" customHeight="1" x14ac:dyDescent="0.25">
      <c r="A210" s="39">
        <v>27</v>
      </c>
      <c r="B210" s="40" t="str">
        <f t="shared" si="73"/>
        <v>PS-27-NK1</v>
      </c>
      <c r="C210" s="52" t="str">
        <f t="shared" si="74"/>
        <v>Poste de Sectionnement n°27 NK1</v>
      </c>
      <c r="D210" s="19">
        <v>40029</v>
      </c>
      <c r="E210" s="19">
        <v>40029</v>
      </c>
      <c r="F210" s="42"/>
      <c r="G210" s="42">
        <v>1</v>
      </c>
      <c r="H210" s="42"/>
      <c r="I210" s="42" t="s">
        <v>348</v>
      </c>
      <c r="J210" s="42" t="s">
        <v>1709</v>
      </c>
      <c r="K210" s="44">
        <f t="shared" si="75"/>
        <v>780</v>
      </c>
      <c r="L210" s="44">
        <f t="shared" si="76"/>
        <v>540.75300000000004</v>
      </c>
      <c r="M210" s="42" t="s">
        <v>1693</v>
      </c>
      <c r="N210" s="52" t="str">
        <f t="shared" si="59"/>
        <v>(27,'PS-27-NK1','Poste de Sectionnement n°27 NK1','Tuesday-08-jj','Tuesday-08-jj',,1,),</v>
      </c>
    </row>
    <row r="211" spans="1:14" ht="20.100000000000001" customHeight="1" x14ac:dyDescent="0.25">
      <c r="A211" s="39">
        <v>28</v>
      </c>
      <c r="B211" s="40" t="str">
        <f t="shared" si="73"/>
        <v>PS-28-NK1</v>
      </c>
      <c r="C211" s="52" t="str">
        <f t="shared" si="74"/>
        <v>Poste de Sectionnement n°28 NK1</v>
      </c>
      <c r="D211" s="19">
        <v>40029</v>
      </c>
      <c r="E211" s="19">
        <v>40029</v>
      </c>
      <c r="F211" s="42"/>
      <c r="G211" s="42">
        <v>1</v>
      </c>
      <c r="H211" s="42"/>
      <c r="I211" s="42" t="s">
        <v>348</v>
      </c>
      <c r="J211" s="42" t="s">
        <v>1710</v>
      </c>
      <c r="K211" s="44">
        <f t="shared" si="75"/>
        <v>660</v>
      </c>
      <c r="L211" s="44">
        <f t="shared" si="76"/>
        <v>554.19299999999998</v>
      </c>
      <c r="M211" s="42" t="s">
        <v>1694</v>
      </c>
      <c r="N211" s="52" t="str">
        <f t="shared" si="59"/>
        <v>(28,'PS-28-NK1','Poste de Sectionnement n°28 NK1','Tuesday-08-jj','Tuesday-08-jj',,1,),</v>
      </c>
    </row>
    <row r="212" spans="1:14" ht="20.100000000000001" customHeight="1" x14ac:dyDescent="0.25">
      <c r="A212" s="39">
        <v>29</v>
      </c>
      <c r="B212" s="40" t="str">
        <f t="shared" si="73"/>
        <v>PS-29-NK1</v>
      </c>
      <c r="C212" s="52" t="str">
        <f t="shared" si="74"/>
        <v>Poste de Sectionnement n°29 NK1</v>
      </c>
      <c r="D212" s="19">
        <v>40029</v>
      </c>
      <c r="E212" s="19">
        <v>40029</v>
      </c>
      <c r="F212" s="42"/>
      <c r="G212" s="42">
        <v>1</v>
      </c>
      <c r="H212" s="42"/>
      <c r="I212" s="42" t="s">
        <v>348</v>
      </c>
      <c r="J212" s="42" t="s">
        <v>1711</v>
      </c>
      <c r="K212" s="44">
        <f t="shared" si="75"/>
        <v>770</v>
      </c>
      <c r="L212" s="44">
        <f t="shared" si="76"/>
        <v>568.76099999999997</v>
      </c>
      <c r="M212" s="42" t="s">
        <v>1695</v>
      </c>
      <c r="N212" s="52" t="str">
        <f t="shared" si="59"/>
        <v>(29,'PS-29-NK1','Poste de Sectionnement n°29 NK1','Tuesday-08-jj','Tuesday-08-jj',,1,),</v>
      </c>
    </row>
    <row r="213" spans="1:14" ht="20.100000000000001" customHeight="1" x14ac:dyDescent="0.25">
      <c r="A213" s="39">
        <v>30</v>
      </c>
      <c r="B213" s="40" t="str">
        <f t="shared" si="73"/>
        <v>PS-30-NK1</v>
      </c>
      <c r="C213" s="52" t="str">
        <f t="shared" si="74"/>
        <v>Poste de Sectionnement n°30 NK1</v>
      </c>
      <c r="D213" s="19">
        <v>40029</v>
      </c>
      <c r="E213" s="19">
        <v>40029</v>
      </c>
      <c r="F213" s="42"/>
      <c r="G213" s="42">
        <v>1</v>
      </c>
      <c r="H213" s="42"/>
      <c r="I213" s="42" t="s">
        <v>348</v>
      </c>
      <c r="J213" s="42" t="s">
        <v>1712</v>
      </c>
      <c r="K213" s="44">
        <f t="shared" si="75"/>
        <v>432</v>
      </c>
      <c r="L213" s="44">
        <f t="shared" si="76"/>
        <v>576.08000000000004</v>
      </c>
      <c r="M213" s="42" t="s">
        <v>843</v>
      </c>
      <c r="N213" s="52" t="str">
        <f t="shared" ref="N213:N276" si="77">CONCATENATE("(",A213,",'",B213,"','",C213,"','",TEXT(D213,"aaaa-mm-jj"),"','",TEXT(E213,"aaaa-mm-jj"),"',",F213,",",G213,",",H213,"),")</f>
        <v>(30,'PS-30-NK1','Poste de Sectionnement n°30 NK1','Tuesday-08-jj','Tuesday-08-jj',,1,),</v>
      </c>
    </row>
    <row r="214" spans="1:14" ht="20.100000000000001" customHeight="1" x14ac:dyDescent="0.25">
      <c r="A214" s="39">
        <v>31</v>
      </c>
      <c r="B214" s="40" t="str">
        <f t="shared" si="73"/>
        <v>PS-31-NK1</v>
      </c>
      <c r="C214" s="52" t="str">
        <f t="shared" si="74"/>
        <v>Poste de Sectionnement n°31 NK1</v>
      </c>
      <c r="D214" s="19">
        <v>40029</v>
      </c>
      <c r="E214" s="19">
        <v>40029</v>
      </c>
      <c r="F214" s="42"/>
      <c r="G214" s="42">
        <v>1</v>
      </c>
      <c r="H214" s="42"/>
      <c r="I214" s="42" t="s">
        <v>348</v>
      </c>
      <c r="J214" s="42" t="s">
        <v>1713</v>
      </c>
      <c r="K214" s="44">
        <f t="shared" si="75"/>
        <v>594</v>
      </c>
      <c r="L214" s="44">
        <f t="shared" si="76"/>
        <v>588.96</v>
      </c>
      <c r="M214" s="42" t="s">
        <v>1696</v>
      </c>
      <c r="N214" s="52" t="str">
        <f t="shared" si="77"/>
        <v>(31,'PS-31-NK1','Poste de Sectionnement n°31 NK1','Tuesday-08-jj','Tuesday-08-jj',,1,),</v>
      </c>
    </row>
    <row r="215" spans="1:14" ht="20.100000000000001" customHeight="1" x14ac:dyDescent="0.25">
      <c r="A215" s="39">
        <v>32</v>
      </c>
      <c r="B215" s="40" t="str">
        <f t="shared" si="73"/>
        <v>PS-32-NK1</v>
      </c>
      <c r="C215" s="52" t="str">
        <f t="shared" si="74"/>
        <v>Poste de Sectionnement n°32 NK1</v>
      </c>
      <c r="D215" s="19">
        <v>40029</v>
      </c>
      <c r="E215" s="19">
        <v>40029</v>
      </c>
      <c r="F215" s="42"/>
      <c r="G215" s="42">
        <v>1</v>
      </c>
      <c r="H215" s="42"/>
      <c r="I215" s="42" t="s">
        <v>348</v>
      </c>
      <c r="J215" s="42" t="s">
        <v>1714</v>
      </c>
      <c r="K215" s="44">
        <f t="shared" si="75"/>
        <v>568</v>
      </c>
      <c r="L215" s="44">
        <f t="shared" si="76"/>
        <v>599.88800000000003</v>
      </c>
      <c r="M215" s="42" t="s">
        <v>1697</v>
      </c>
      <c r="N215" s="52" t="str">
        <f t="shared" si="77"/>
        <v>(32,'PS-32-NK1','Poste de Sectionnement n°32 NK1','Tuesday-08-jj','Tuesday-08-jj',,1,),</v>
      </c>
    </row>
    <row r="216" spans="1:14" ht="20.100000000000001" customHeight="1" x14ac:dyDescent="0.25">
      <c r="A216" s="39">
        <v>33</v>
      </c>
      <c r="B216" s="40" t="str">
        <f t="shared" si="73"/>
        <v>PS-33-NK1</v>
      </c>
      <c r="C216" s="52" t="str">
        <f t="shared" si="74"/>
        <v>Poste de Sectionnement n°33 NK1</v>
      </c>
      <c r="D216" s="19">
        <v>40029</v>
      </c>
      <c r="E216" s="19">
        <v>40029</v>
      </c>
      <c r="F216" s="42"/>
      <c r="G216" s="42">
        <v>1</v>
      </c>
      <c r="H216" s="42"/>
      <c r="I216" s="42" t="s">
        <v>348</v>
      </c>
      <c r="J216" s="42" t="s">
        <v>1715</v>
      </c>
      <c r="K216" s="44">
        <f t="shared" si="75"/>
        <v>172</v>
      </c>
      <c r="L216" s="44">
        <f t="shared" si="76"/>
        <v>614.43499999999995</v>
      </c>
      <c r="M216" s="42" t="s">
        <v>1698</v>
      </c>
      <c r="N216" s="52" t="str">
        <f t="shared" si="77"/>
        <v>(33,'PS-33-NK1','Poste de Sectionnement n°33 NK1','Tuesday-08-jj','Tuesday-08-jj',,1,),</v>
      </c>
    </row>
    <row r="217" spans="1:14" ht="20.100000000000001" customHeight="1" x14ac:dyDescent="0.25">
      <c r="A217" s="39">
        <v>34</v>
      </c>
      <c r="B217" s="40" t="str">
        <f t="shared" si="73"/>
        <v>PS-34-NK1</v>
      </c>
      <c r="C217" s="52" t="str">
        <f t="shared" si="74"/>
        <v>Poste de Sectionnement n°34 NK1</v>
      </c>
      <c r="D217" s="19">
        <v>40029</v>
      </c>
      <c r="E217" s="19">
        <v>40029</v>
      </c>
      <c r="F217" s="42"/>
      <c r="G217" s="42">
        <v>1</v>
      </c>
      <c r="H217" s="42"/>
      <c r="I217" s="42" t="s">
        <v>348</v>
      </c>
      <c r="J217" s="42" t="s">
        <v>1716</v>
      </c>
      <c r="K217" s="44">
        <f t="shared" si="75"/>
        <v>149</v>
      </c>
      <c r="L217" s="44">
        <f t="shared" si="76"/>
        <v>623.41700000000003</v>
      </c>
      <c r="M217" s="42" t="s">
        <v>1699</v>
      </c>
      <c r="N217" s="52" t="str">
        <f t="shared" si="77"/>
        <v>(34,'PS-34-NK1','Poste de Sectionnement n°34 NK1','Tuesday-08-jj','Tuesday-08-jj',,1,),</v>
      </c>
    </row>
    <row r="218" spans="1:14" ht="20.100000000000001" customHeight="1" x14ac:dyDescent="0.25">
      <c r="A218" s="39">
        <v>35</v>
      </c>
      <c r="B218" s="40" t="str">
        <f t="shared" si="73"/>
        <v>PS-35-NK1</v>
      </c>
      <c r="C218" s="52" t="str">
        <f t="shared" si="74"/>
        <v>Poste de Sectionnement n°35 NK1</v>
      </c>
      <c r="D218" s="19">
        <v>40029</v>
      </c>
      <c r="E218" s="19">
        <v>40029</v>
      </c>
      <c r="F218" s="42"/>
      <c r="G218" s="42">
        <v>1</v>
      </c>
      <c r="H218" s="42"/>
      <c r="I218" s="42" t="s">
        <v>348</v>
      </c>
      <c r="J218" s="42" t="s">
        <v>1717</v>
      </c>
      <c r="K218" s="44">
        <f t="shared" si="75"/>
        <v>60</v>
      </c>
      <c r="L218" s="44">
        <f t="shared" si="76"/>
        <v>633.08500000000004</v>
      </c>
      <c r="M218" s="42" t="s">
        <v>1700</v>
      </c>
      <c r="N218" s="52" t="str">
        <f t="shared" si="77"/>
        <v>(35,'PS-35-NK1','Poste de Sectionnement n°35 NK1','Tuesday-08-jj','Tuesday-08-jj',,1,),</v>
      </c>
    </row>
    <row r="219" spans="1:14" ht="20.100000000000001" customHeight="1" x14ac:dyDescent="0.25">
      <c r="A219" s="39">
        <v>36</v>
      </c>
      <c r="B219" s="40" t="str">
        <f t="shared" si="73"/>
        <v>PS-36-NK1</v>
      </c>
      <c r="C219" s="52" t="str">
        <f t="shared" si="74"/>
        <v>Poste de Sectionnement n°36 NK1</v>
      </c>
      <c r="D219" s="19">
        <v>40029</v>
      </c>
      <c r="E219" s="19">
        <v>40029</v>
      </c>
      <c r="F219" s="42"/>
      <c r="G219" s="42">
        <v>1</v>
      </c>
      <c r="H219" s="42"/>
      <c r="I219" s="42" t="s">
        <v>348</v>
      </c>
      <c r="J219" s="42" t="s">
        <v>1718</v>
      </c>
      <c r="K219" s="44">
        <f t="shared" si="75"/>
        <v>30</v>
      </c>
      <c r="L219" s="44">
        <f t="shared" si="76"/>
        <v>641.44399999999996</v>
      </c>
      <c r="M219" s="42" t="s">
        <v>846</v>
      </c>
      <c r="N219" s="52" t="str">
        <f t="shared" si="77"/>
        <v>(36,'PS-36-NK1','Poste de Sectionnement n°36 NK1','Tuesday-08-jj','Tuesday-08-jj',,1,),</v>
      </c>
    </row>
    <row r="220" spans="1:14" ht="20.100000000000001" customHeight="1" x14ac:dyDescent="0.25">
      <c r="A220" s="39">
        <v>1</v>
      </c>
      <c r="B220" s="40" t="str">
        <f t="shared" si="73"/>
        <v>PS-01-NH2</v>
      </c>
      <c r="C220" s="52" t="str">
        <f t="shared" si="74"/>
        <v>Poste de Sectionnement n°01 NH2</v>
      </c>
      <c r="D220" s="19">
        <v>30317</v>
      </c>
      <c r="E220" s="19">
        <v>30317</v>
      </c>
      <c r="F220" s="42"/>
      <c r="G220" s="42">
        <v>1</v>
      </c>
      <c r="H220" s="42"/>
      <c r="I220" s="42" t="s">
        <v>351</v>
      </c>
      <c r="J220" s="42" t="s">
        <v>1719</v>
      </c>
      <c r="K220" s="44">
        <f t="shared" ref="K220:K229" si="78">VALUE(RIGHT(J220,LEN(J220)-SEARCH("/",J220)))</f>
        <v>637</v>
      </c>
      <c r="L220" s="44">
        <f t="shared" ref="L220:L229" si="79">VALUE(SUBSTITUTE(LEFT(J220,SEARCH("/",J220)-1),"+",","))</f>
        <v>27</v>
      </c>
      <c r="M220" s="42" t="s">
        <v>1729</v>
      </c>
      <c r="N220" s="52" t="str">
        <f t="shared" si="77"/>
        <v>(1,'PS-01-NH2','Poste de Sectionnement n°01 NH2','Saturday-01-jj','Saturday-01-jj',,1,),</v>
      </c>
    </row>
    <row r="221" spans="1:14" ht="20.100000000000001" customHeight="1" x14ac:dyDescent="0.25">
      <c r="A221" s="39">
        <v>2</v>
      </c>
      <c r="B221" s="40" t="str">
        <f t="shared" si="73"/>
        <v>PS-02-NH2</v>
      </c>
      <c r="C221" s="52" t="str">
        <f t="shared" si="74"/>
        <v>Poste de Sectionnement n°02 NH2</v>
      </c>
      <c r="D221" s="19">
        <v>30317</v>
      </c>
      <c r="E221" s="19">
        <v>30317</v>
      </c>
      <c r="F221" s="42"/>
      <c r="G221" s="42">
        <v>1</v>
      </c>
      <c r="H221" s="42"/>
      <c r="I221" s="42" t="s">
        <v>351</v>
      </c>
      <c r="J221" s="42" t="s">
        <v>1720</v>
      </c>
      <c r="K221" s="44">
        <f t="shared" si="78"/>
        <v>515</v>
      </c>
      <c r="L221" s="44">
        <f t="shared" si="79"/>
        <v>40</v>
      </c>
      <c r="M221" s="42" t="s">
        <v>1729</v>
      </c>
      <c r="N221" s="52" t="str">
        <f t="shared" si="77"/>
        <v>(2,'PS-02-NH2','Poste de Sectionnement n°02 NH2','Saturday-01-jj','Saturday-01-jj',,1,),</v>
      </c>
    </row>
    <row r="222" spans="1:14" ht="20.100000000000001" customHeight="1" x14ac:dyDescent="0.25">
      <c r="A222" s="39">
        <v>3</v>
      </c>
      <c r="B222" s="40" t="str">
        <f t="shared" si="73"/>
        <v>PS-03-NH2</v>
      </c>
      <c r="C222" s="52" t="str">
        <f t="shared" si="74"/>
        <v>Poste de Sectionnement n°03 NH2</v>
      </c>
      <c r="D222" s="19">
        <v>30317</v>
      </c>
      <c r="E222" s="19">
        <v>30317</v>
      </c>
      <c r="F222" s="42"/>
      <c r="G222" s="42">
        <v>1</v>
      </c>
      <c r="H222" s="42"/>
      <c r="I222" s="42" t="s">
        <v>351</v>
      </c>
      <c r="J222" s="42" t="s">
        <v>1721</v>
      </c>
      <c r="K222" s="44">
        <f t="shared" si="78"/>
        <v>438</v>
      </c>
      <c r="L222" s="44">
        <f t="shared" si="79"/>
        <v>78</v>
      </c>
      <c r="M222" s="42" t="s">
        <v>1730</v>
      </c>
      <c r="N222" s="52" t="str">
        <f t="shared" si="77"/>
        <v>(3,'PS-03-NH2','Poste de Sectionnement n°03 NH2','Saturday-01-jj','Saturday-01-jj',,1,),</v>
      </c>
    </row>
    <row r="223" spans="1:14" ht="20.100000000000001" customHeight="1" x14ac:dyDescent="0.25">
      <c r="A223" s="39">
        <v>4</v>
      </c>
      <c r="B223" s="40" t="str">
        <f t="shared" si="73"/>
        <v>PS-04-NH2</v>
      </c>
      <c r="C223" s="52" t="str">
        <f t="shared" si="74"/>
        <v>Poste de Sectionnement n°04 NH2</v>
      </c>
      <c r="D223" s="19">
        <v>30317</v>
      </c>
      <c r="E223" s="19">
        <v>30317</v>
      </c>
      <c r="F223" s="42"/>
      <c r="G223" s="42">
        <v>1</v>
      </c>
      <c r="H223" s="42"/>
      <c r="I223" s="42" t="s">
        <v>351</v>
      </c>
      <c r="J223" s="42" t="s">
        <v>1722</v>
      </c>
      <c r="K223" s="44">
        <f t="shared" si="78"/>
        <v>373</v>
      </c>
      <c r="L223" s="44">
        <f t="shared" si="79"/>
        <v>117.3</v>
      </c>
      <c r="M223" s="42" t="s">
        <v>1730</v>
      </c>
      <c r="N223" s="52" t="str">
        <f t="shared" si="77"/>
        <v>(4,'PS-04-NH2','Poste de Sectionnement n°04 NH2','Saturday-01-jj','Saturday-01-jj',,1,),</v>
      </c>
    </row>
    <row r="224" spans="1:14" ht="20.100000000000001" customHeight="1" x14ac:dyDescent="0.25">
      <c r="A224" s="39">
        <v>5</v>
      </c>
      <c r="B224" s="40" t="str">
        <f t="shared" ref="B224:B231" si="80">CONCATENATE("PS-",TEXT(A224,"00"),"-",I224)</f>
        <v>PS-05-NH2</v>
      </c>
      <c r="C224" s="52" t="str">
        <f t="shared" ref="C224:C231" si="81">CONCATENATE("Poste de Sectionnement n°",TEXT(A224,"00")," ",I224)</f>
        <v>Poste de Sectionnement n°05 NH2</v>
      </c>
      <c r="D224" s="19">
        <v>30317</v>
      </c>
      <c r="E224" s="19">
        <v>30317</v>
      </c>
      <c r="F224" s="42"/>
      <c r="G224" s="42">
        <v>1</v>
      </c>
      <c r="H224" s="42"/>
      <c r="I224" s="42" t="s">
        <v>351</v>
      </c>
      <c r="J224" s="42" t="s">
        <v>1723</v>
      </c>
      <c r="K224" s="44">
        <f t="shared" si="78"/>
        <v>273</v>
      </c>
      <c r="L224" s="44">
        <f t="shared" si="79"/>
        <v>201.6</v>
      </c>
      <c r="M224" s="42" t="s">
        <v>1730</v>
      </c>
      <c r="N224" s="52" t="str">
        <f t="shared" si="77"/>
        <v>(5,'PS-05-NH2','Poste de Sectionnement n°05 NH2','Saturday-01-jj','Saturday-01-jj',,1,),</v>
      </c>
    </row>
    <row r="225" spans="1:14" ht="20.100000000000001" customHeight="1" x14ac:dyDescent="0.25">
      <c r="A225" s="39">
        <v>6</v>
      </c>
      <c r="B225" s="40" t="str">
        <f t="shared" si="80"/>
        <v>PS-06-NH2</v>
      </c>
      <c r="C225" s="52" t="str">
        <f t="shared" si="81"/>
        <v>Poste de Sectionnement n°06 NH2</v>
      </c>
      <c r="D225" s="19">
        <v>30317</v>
      </c>
      <c r="E225" s="19">
        <v>30317</v>
      </c>
      <c r="F225" s="42"/>
      <c r="G225" s="42">
        <v>1</v>
      </c>
      <c r="H225" s="42"/>
      <c r="I225" s="42" t="s">
        <v>351</v>
      </c>
      <c r="J225" s="42" t="s">
        <v>1724</v>
      </c>
      <c r="K225" s="44">
        <f t="shared" si="78"/>
        <v>242</v>
      </c>
      <c r="L225" s="44">
        <f t="shared" si="79"/>
        <v>255.3</v>
      </c>
      <c r="M225" s="42" t="s">
        <v>1730</v>
      </c>
      <c r="N225" s="52" t="str">
        <f t="shared" si="77"/>
        <v>(6,'PS-06-NH2','Poste de Sectionnement n°06 NH2','Saturday-01-jj','Saturday-01-jj',,1,),</v>
      </c>
    </row>
    <row r="226" spans="1:14" ht="20.100000000000001" customHeight="1" x14ac:dyDescent="0.25">
      <c r="A226" s="39">
        <v>7</v>
      </c>
      <c r="B226" s="40" t="str">
        <f t="shared" si="80"/>
        <v>PS-07-NH2</v>
      </c>
      <c r="C226" s="52" t="str">
        <f t="shared" si="81"/>
        <v>Poste de Sectionnement n°07 NH2</v>
      </c>
      <c r="D226" s="19">
        <v>30317</v>
      </c>
      <c r="E226" s="19">
        <v>30317</v>
      </c>
      <c r="F226" s="42"/>
      <c r="G226" s="42">
        <v>1</v>
      </c>
      <c r="H226" s="42"/>
      <c r="I226" s="42" t="s">
        <v>351</v>
      </c>
      <c r="J226" s="42" t="s">
        <v>1725</v>
      </c>
      <c r="K226" s="44">
        <f t="shared" si="78"/>
        <v>226</v>
      </c>
      <c r="L226" s="44">
        <f t="shared" si="79"/>
        <v>293.60000000000002</v>
      </c>
      <c r="M226" s="42" t="s">
        <v>1730</v>
      </c>
      <c r="N226" s="52" t="str">
        <f t="shared" si="77"/>
        <v>(7,'PS-07-NH2','Poste de Sectionnement n°07 NH2','Saturday-01-jj','Saturday-01-jj',,1,),</v>
      </c>
    </row>
    <row r="227" spans="1:14" ht="20.100000000000001" customHeight="1" x14ac:dyDescent="0.25">
      <c r="A227" s="39">
        <v>8</v>
      </c>
      <c r="B227" s="40" t="str">
        <f t="shared" si="80"/>
        <v>PS-08-NH2</v>
      </c>
      <c r="C227" s="52" t="str">
        <f t="shared" si="81"/>
        <v>Poste de Sectionnement n°08 NH2</v>
      </c>
      <c r="D227" s="19">
        <v>30317</v>
      </c>
      <c r="E227" s="19">
        <v>30317</v>
      </c>
      <c r="F227" s="42"/>
      <c r="G227" s="42">
        <v>1</v>
      </c>
      <c r="H227" s="42"/>
      <c r="I227" s="42" t="s">
        <v>351</v>
      </c>
      <c r="J227" s="42" t="s">
        <v>1726</v>
      </c>
      <c r="K227" s="44">
        <f t="shared" si="78"/>
        <v>183</v>
      </c>
      <c r="L227" s="44">
        <f t="shared" si="79"/>
        <v>386</v>
      </c>
      <c r="M227" s="42" t="s">
        <v>1006</v>
      </c>
      <c r="N227" s="52" t="str">
        <f t="shared" si="77"/>
        <v>(8,'PS-08-NH2','Poste de Sectionnement n°08 NH2','Saturday-01-jj','Saturday-01-jj',,1,),</v>
      </c>
    </row>
    <row r="228" spans="1:14" ht="20.100000000000001" customHeight="1" x14ac:dyDescent="0.25">
      <c r="A228" s="39">
        <v>9</v>
      </c>
      <c r="B228" s="40" t="str">
        <f t="shared" si="80"/>
        <v>PS-09-NH2</v>
      </c>
      <c r="C228" s="52" t="str">
        <f t="shared" si="81"/>
        <v>Poste de Sectionnement n°09 NH2</v>
      </c>
      <c r="D228" s="19">
        <v>30317</v>
      </c>
      <c r="E228" s="19">
        <v>30317</v>
      </c>
      <c r="F228" s="42"/>
      <c r="G228" s="42">
        <v>1</v>
      </c>
      <c r="H228" s="42"/>
      <c r="I228" s="42" t="s">
        <v>351</v>
      </c>
      <c r="J228" s="42" t="s">
        <v>1727</v>
      </c>
      <c r="K228" s="44">
        <f t="shared" si="78"/>
        <v>159</v>
      </c>
      <c r="L228" s="44">
        <f t="shared" si="79"/>
        <v>435.1</v>
      </c>
      <c r="M228" s="42" t="s">
        <v>1006</v>
      </c>
      <c r="N228" s="52" t="str">
        <f t="shared" si="77"/>
        <v>(9,'PS-09-NH2','Poste de Sectionnement n°09 NH2','Saturday-01-jj','Saturday-01-jj',,1,),</v>
      </c>
    </row>
    <row r="229" spans="1:14" ht="20.100000000000001" customHeight="1" x14ac:dyDescent="0.25">
      <c r="A229" s="39">
        <v>10</v>
      </c>
      <c r="B229" s="40" t="str">
        <f t="shared" si="80"/>
        <v>PS-10-NH2</v>
      </c>
      <c r="C229" s="52" t="str">
        <f t="shared" si="81"/>
        <v>Poste de Sectionnement n°10 NH2</v>
      </c>
      <c r="D229" s="19">
        <v>30317</v>
      </c>
      <c r="E229" s="19">
        <v>30317</v>
      </c>
      <c r="F229" s="42"/>
      <c r="G229" s="42">
        <v>1</v>
      </c>
      <c r="H229" s="42"/>
      <c r="I229" s="42" t="s">
        <v>351</v>
      </c>
      <c r="J229" s="42" t="s">
        <v>1728</v>
      </c>
      <c r="K229" s="44">
        <f t="shared" si="78"/>
        <v>145</v>
      </c>
      <c r="L229" s="44">
        <f t="shared" si="79"/>
        <v>475.1</v>
      </c>
      <c r="M229" s="42" t="s">
        <v>1006</v>
      </c>
      <c r="N229" s="52" t="str">
        <f t="shared" si="77"/>
        <v>(10,'PS-10-NH2','Poste de Sectionnement n°10 NH2','Saturday-01-jj','Saturday-01-jj',,1,),</v>
      </c>
    </row>
    <row r="230" spans="1:14" ht="20.100000000000001" customHeight="1" x14ac:dyDescent="0.25">
      <c r="A230" s="39">
        <v>1</v>
      </c>
      <c r="B230" s="40" t="str">
        <f t="shared" si="80"/>
        <v>PS-01-LZ1</v>
      </c>
      <c r="C230" s="52" t="str">
        <f t="shared" si="81"/>
        <v>Poste de Sectionnement n°01 LZ1</v>
      </c>
      <c r="D230" s="19">
        <v>30720</v>
      </c>
      <c r="E230" s="19">
        <v>30720</v>
      </c>
      <c r="F230" s="42"/>
      <c r="G230" s="42">
        <v>1</v>
      </c>
      <c r="H230" s="42"/>
      <c r="I230" s="42" t="s">
        <v>356</v>
      </c>
      <c r="J230" s="42" t="s">
        <v>1731</v>
      </c>
      <c r="K230" s="44">
        <f t="shared" ref="K230:K246" si="82">VALUE(RIGHT(J230,LEN(J230)-SEARCH("/",J230)))</f>
        <v>800</v>
      </c>
      <c r="L230" s="44">
        <f t="shared" ref="L230:L246" si="83">VALUE(SUBSTITUTE(LEFT(J230,SEARCH("/",J230)-1),"+",","))</f>
        <v>33.4</v>
      </c>
      <c r="M230" s="42" t="s">
        <v>798</v>
      </c>
      <c r="N230" s="52" t="str">
        <f t="shared" si="77"/>
        <v>(1,'PS-01-LZ1','Poste de Sectionnement n°01 LZ1','Wednesday-02-jj','Wednesday-02-jj',,1,),</v>
      </c>
    </row>
    <row r="231" spans="1:14" ht="20.100000000000001" customHeight="1" x14ac:dyDescent="0.25">
      <c r="A231" s="39">
        <v>2</v>
      </c>
      <c r="B231" s="40" t="str">
        <f t="shared" si="80"/>
        <v>PS-02-LZ1</v>
      </c>
      <c r="C231" s="52" t="str">
        <f t="shared" si="81"/>
        <v>Poste de Sectionnement n°02 LZ1</v>
      </c>
      <c r="D231" s="19">
        <v>30720</v>
      </c>
      <c r="E231" s="19">
        <v>30720</v>
      </c>
      <c r="F231" s="42"/>
      <c r="G231" s="42">
        <v>1</v>
      </c>
      <c r="H231" s="42"/>
      <c r="I231" s="42" t="s">
        <v>356</v>
      </c>
      <c r="J231" s="42" t="s">
        <v>1732</v>
      </c>
      <c r="K231" s="44">
        <f t="shared" si="82"/>
        <v>920</v>
      </c>
      <c r="L231" s="44">
        <f t="shared" si="83"/>
        <v>66.8</v>
      </c>
      <c r="M231" s="42" t="s">
        <v>1748</v>
      </c>
      <c r="N231" s="52" t="str">
        <f t="shared" si="77"/>
        <v>(2,'PS-02-LZ1','Poste de Sectionnement n°02 LZ1','Wednesday-02-jj','Wednesday-02-jj',,1,),</v>
      </c>
    </row>
    <row r="232" spans="1:14" ht="20.100000000000001" customHeight="1" x14ac:dyDescent="0.25">
      <c r="A232" s="39">
        <v>3</v>
      </c>
      <c r="B232" s="40" t="str">
        <f t="shared" ref="B232:B263" si="84">CONCATENATE("PS-",TEXT(A232,"00"),"-",I232)</f>
        <v>PS-03-LZ1</v>
      </c>
      <c r="C232" s="52" t="str">
        <f t="shared" ref="C232:C263" si="85">CONCATENATE("Poste de Sectionnement n°",TEXT(A232,"00")," ",I232)</f>
        <v>Poste de Sectionnement n°03 LZ1</v>
      </c>
      <c r="D232" s="19">
        <v>30720</v>
      </c>
      <c r="E232" s="19">
        <v>30720</v>
      </c>
      <c r="F232" s="42"/>
      <c r="G232" s="42">
        <v>1</v>
      </c>
      <c r="H232" s="42"/>
      <c r="I232" s="42" t="s">
        <v>356</v>
      </c>
      <c r="J232" s="42" t="s">
        <v>1733</v>
      </c>
      <c r="K232" s="44">
        <f t="shared" si="82"/>
        <v>820</v>
      </c>
      <c r="L232" s="44">
        <f t="shared" si="83"/>
        <v>91.3</v>
      </c>
      <c r="M232" s="42" t="s">
        <v>1748</v>
      </c>
      <c r="N232" s="52" t="str">
        <f t="shared" si="77"/>
        <v>(3,'PS-03-LZ1','Poste de Sectionnement n°03 LZ1','Wednesday-02-jj','Wednesday-02-jj',,1,),</v>
      </c>
    </row>
    <row r="233" spans="1:14" ht="20.100000000000001" customHeight="1" x14ac:dyDescent="0.25">
      <c r="A233" s="39">
        <v>4</v>
      </c>
      <c r="B233" s="40" t="str">
        <f t="shared" si="84"/>
        <v>PS-04-LZ1</v>
      </c>
      <c r="C233" s="52" t="str">
        <f t="shared" si="85"/>
        <v>Poste de Sectionnement n°04 LZ1</v>
      </c>
      <c r="D233" s="19">
        <v>30720</v>
      </c>
      <c r="E233" s="19">
        <v>30720</v>
      </c>
      <c r="F233" s="42"/>
      <c r="G233" s="42">
        <v>1</v>
      </c>
      <c r="H233" s="42"/>
      <c r="I233" s="42" t="s">
        <v>356</v>
      </c>
      <c r="J233" s="42" t="s">
        <v>1734</v>
      </c>
      <c r="K233" s="44">
        <f t="shared" si="82"/>
        <v>1250</v>
      </c>
      <c r="L233" s="44">
        <f t="shared" si="83"/>
        <v>153.5</v>
      </c>
      <c r="M233" s="42" t="s">
        <v>1749</v>
      </c>
      <c r="N233" s="52" t="str">
        <f t="shared" si="77"/>
        <v>(4,'PS-04-LZ1','Poste de Sectionnement n°04 LZ1','Wednesday-02-jj','Wednesday-02-jj',,1,),</v>
      </c>
    </row>
    <row r="234" spans="1:14" ht="20.100000000000001" customHeight="1" x14ac:dyDescent="0.25">
      <c r="A234" s="39">
        <v>5</v>
      </c>
      <c r="B234" s="40" t="str">
        <f t="shared" si="84"/>
        <v>PS-05-LZ1</v>
      </c>
      <c r="C234" s="52" t="str">
        <f t="shared" si="85"/>
        <v>Poste de Sectionnement n°05 LZ1</v>
      </c>
      <c r="D234" s="19">
        <v>30720</v>
      </c>
      <c r="E234" s="19">
        <v>30720</v>
      </c>
      <c r="F234" s="42"/>
      <c r="G234" s="42">
        <v>1</v>
      </c>
      <c r="H234" s="42"/>
      <c r="I234" s="42" t="s">
        <v>356</v>
      </c>
      <c r="J234" s="42" t="s">
        <v>1735</v>
      </c>
      <c r="K234" s="44">
        <f t="shared" si="82"/>
        <v>1000</v>
      </c>
      <c r="L234" s="44">
        <f t="shared" si="83"/>
        <v>189</v>
      </c>
      <c r="M234" s="42" t="s">
        <v>1750</v>
      </c>
      <c r="N234" s="52" t="str">
        <f t="shared" si="77"/>
        <v>(5,'PS-05-LZ1','Poste de Sectionnement n°05 LZ1','Wednesday-02-jj','Wednesday-02-jj',,1,),</v>
      </c>
    </row>
    <row r="235" spans="1:14" ht="20.100000000000001" customHeight="1" x14ac:dyDescent="0.25">
      <c r="A235" s="39">
        <v>6</v>
      </c>
      <c r="B235" s="40" t="str">
        <f t="shared" si="84"/>
        <v>PS-06-LZ1</v>
      </c>
      <c r="C235" s="52" t="str">
        <f t="shared" si="85"/>
        <v>Poste de Sectionnement n°06 LZ1</v>
      </c>
      <c r="D235" s="19">
        <v>30720</v>
      </c>
      <c r="E235" s="19">
        <v>30720</v>
      </c>
      <c r="F235" s="42"/>
      <c r="G235" s="42">
        <v>1</v>
      </c>
      <c r="H235" s="42"/>
      <c r="I235" s="42" t="s">
        <v>356</v>
      </c>
      <c r="J235" s="42" t="s">
        <v>1736</v>
      </c>
      <c r="K235" s="44">
        <f t="shared" si="82"/>
        <v>920</v>
      </c>
      <c r="L235" s="44">
        <f t="shared" si="83"/>
        <v>219</v>
      </c>
      <c r="M235" s="42" t="s">
        <v>759</v>
      </c>
      <c r="N235" s="52" t="str">
        <f t="shared" si="77"/>
        <v>(6,'PS-06-LZ1','Poste de Sectionnement n°06 LZ1','Wednesday-02-jj','Wednesday-02-jj',,1,),</v>
      </c>
    </row>
    <row r="236" spans="1:14" ht="20.100000000000001" customHeight="1" x14ac:dyDescent="0.25">
      <c r="A236" s="39">
        <v>7</v>
      </c>
      <c r="B236" s="40" t="str">
        <f t="shared" si="84"/>
        <v>PS-07-LZ1</v>
      </c>
      <c r="C236" s="52" t="str">
        <f t="shared" si="85"/>
        <v>Poste de Sectionnement n°07 LZ1</v>
      </c>
      <c r="D236" s="19">
        <v>30720</v>
      </c>
      <c r="E236" s="19">
        <v>30720</v>
      </c>
      <c r="F236" s="42"/>
      <c r="G236" s="42">
        <v>1</v>
      </c>
      <c r="H236" s="42"/>
      <c r="I236" s="42" t="s">
        <v>356</v>
      </c>
      <c r="J236" s="42" t="s">
        <v>1737</v>
      </c>
      <c r="K236" s="44">
        <f t="shared" si="82"/>
        <v>1100</v>
      </c>
      <c r="L236" s="44">
        <f t="shared" si="83"/>
        <v>249</v>
      </c>
      <c r="M236" s="42" t="s">
        <v>759</v>
      </c>
      <c r="N236" s="52" t="str">
        <f t="shared" si="77"/>
        <v>(7,'PS-07-LZ1','Poste de Sectionnement n°07 LZ1','Wednesday-02-jj','Wednesday-02-jj',,1,),</v>
      </c>
    </row>
    <row r="237" spans="1:14" ht="20.100000000000001" customHeight="1" x14ac:dyDescent="0.25">
      <c r="A237" s="39">
        <v>8</v>
      </c>
      <c r="B237" s="40" t="str">
        <f t="shared" si="84"/>
        <v>PS-08-LZ1</v>
      </c>
      <c r="C237" s="52" t="str">
        <f t="shared" si="85"/>
        <v>Poste de Sectionnement n°08 LZ1</v>
      </c>
      <c r="D237" s="19">
        <v>30720</v>
      </c>
      <c r="E237" s="19">
        <v>30720</v>
      </c>
      <c r="F237" s="42"/>
      <c r="G237" s="42">
        <v>1</v>
      </c>
      <c r="H237" s="42"/>
      <c r="I237" s="42" t="s">
        <v>356</v>
      </c>
      <c r="J237" s="42" t="s">
        <v>1738</v>
      </c>
      <c r="K237" s="44">
        <f t="shared" si="82"/>
        <v>1250</v>
      </c>
      <c r="L237" s="44">
        <f t="shared" si="83"/>
        <v>281</v>
      </c>
      <c r="M237" s="42" t="s">
        <v>1751</v>
      </c>
      <c r="N237" s="52" t="str">
        <f t="shared" si="77"/>
        <v>(8,'PS-08-LZ1','Poste de Sectionnement n°08 LZ1','Wednesday-02-jj','Wednesday-02-jj',,1,),</v>
      </c>
    </row>
    <row r="238" spans="1:14" ht="20.100000000000001" customHeight="1" x14ac:dyDescent="0.25">
      <c r="A238" s="39">
        <v>9</v>
      </c>
      <c r="B238" s="40" t="str">
        <f t="shared" si="84"/>
        <v>PS-09-LZ1</v>
      </c>
      <c r="C238" s="52" t="str">
        <f t="shared" si="85"/>
        <v>Poste de Sectionnement n°09 LZ1</v>
      </c>
      <c r="D238" s="19">
        <v>30720</v>
      </c>
      <c r="E238" s="19">
        <v>30720</v>
      </c>
      <c r="F238" s="42"/>
      <c r="G238" s="42">
        <v>1</v>
      </c>
      <c r="H238" s="42"/>
      <c r="I238" s="42" t="s">
        <v>356</v>
      </c>
      <c r="J238" s="42" t="s">
        <v>1739</v>
      </c>
      <c r="K238" s="44">
        <f t="shared" si="82"/>
        <v>1000</v>
      </c>
      <c r="L238" s="44">
        <f t="shared" si="83"/>
        <v>329</v>
      </c>
      <c r="M238" s="42" t="s">
        <v>1752</v>
      </c>
      <c r="N238" s="52" t="str">
        <f t="shared" si="77"/>
        <v>(9,'PS-09-LZ1','Poste de Sectionnement n°09 LZ1','Wednesday-02-jj','Wednesday-02-jj',,1,),</v>
      </c>
    </row>
    <row r="239" spans="1:14" ht="20.100000000000001" customHeight="1" x14ac:dyDescent="0.25">
      <c r="A239" s="39">
        <v>10</v>
      </c>
      <c r="B239" s="40" t="str">
        <f t="shared" si="84"/>
        <v>PS-10-LZ1</v>
      </c>
      <c r="C239" s="52" t="str">
        <f t="shared" si="85"/>
        <v>Poste de Sectionnement n°10 LZ1</v>
      </c>
      <c r="D239" s="19">
        <v>30720</v>
      </c>
      <c r="E239" s="19">
        <v>30720</v>
      </c>
      <c r="F239" s="42"/>
      <c r="G239" s="42">
        <v>1</v>
      </c>
      <c r="H239" s="42"/>
      <c r="I239" s="42" t="s">
        <v>356</v>
      </c>
      <c r="J239" s="42" t="s">
        <v>1740</v>
      </c>
      <c r="K239" s="44">
        <f t="shared" si="82"/>
        <v>480</v>
      </c>
      <c r="L239" s="44">
        <f t="shared" si="83"/>
        <v>349.4</v>
      </c>
      <c r="M239" s="42" t="s">
        <v>762</v>
      </c>
      <c r="N239" s="52" t="str">
        <f t="shared" si="77"/>
        <v>(10,'PS-10-LZ1','Poste de Sectionnement n°10 LZ1','Wednesday-02-jj','Wednesday-02-jj',,1,),</v>
      </c>
    </row>
    <row r="240" spans="1:14" ht="20.100000000000001" customHeight="1" x14ac:dyDescent="0.25">
      <c r="A240" s="39">
        <v>11</v>
      </c>
      <c r="B240" s="40" t="str">
        <f t="shared" si="84"/>
        <v>PS-11-LZ1</v>
      </c>
      <c r="C240" s="52" t="str">
        <f t="shared" si="85"/>
        <v>Poste de Sectionnement n°11 LZ1</v>
      </c>
      <c r="D240" s="19">
        <v>30720</v>
      </c>
      <c r="E240" s="19">
        <v>30720</v>
      </c>
      <c r="F240" s="42"/>
      <c r="G240" s="42">
        <v>1</v>
      </c>
      <c r="H240" s="42"/>
      <c r="I240" s="42" t="s">
        <v>356</v>
      </c>
      <c r="J240" s="42" t="s">
        <v>1741</v>
      </c>
      <c r="K240" s="44">
        <f t="shared" si="82"/>
        <v>550</v>
      </c>
      <c r="L240" s="44">
        <f t="shared" si="83"/>
        <v>372.8</v>
      </c>
      <c r="M240" s="42" t="s">
        <v>763</v>
      </c>
      <c r="N240" s="52" t="str">
        <f t="shared" si="77"/>
        <v>(11,'PS-11-LZ1','Poste de Sectionnement n°11 LZ1','Wednesday-02-jj','Wednesday-02-jj',,1,),</v>
      </c>
    </row>
    <row r="241" spans="1:14" ht="20.100000000000001" customHeight="1" x14ac:dyDescent="0.25">
      <c r="A241" s="39">
        <v>12</v>
      </c>
      <c r="B241" s="40" t="str">
        <f t="shared" si="84"/>
        <v>PS-12-LZ1</v>
      </c>
      <c r="C241" s="52" t="str">
        <f t="shared" si="85"/>
        <v>Poste de Sectionnement n°12 LZ1</v>
      </c>
      <c r="D241" s="19">
        <v>30720</v>
      </c>
      <c r="E241" s="19">
        <v>30720</v>
      </c>
      <c r="F241" s="42"/>
      <c r="G241" s="42">
        <v>1</v>
      </c>
      <c r="H241" s="42"/>
      <c r="I241" s="42" t="s">
        <v>356</v>
      </c>
      <c r="J241" s="42" t="s">
        <v>1742</v>
      </c>
      <c r="K241" s="44">
        <f t="shared" si="82"/>
        <v>510</v>
      </c>
      <c r="L241" s="44">
        <f t="shared" si="83"/>
        <v>388</v>
      </c>
      <c r="M241" s="42" t="s">
        <v>1753</v>
      </c>
      <c r="N241" s="52" t="str">
        <f t="shared" si="77"/>
        <v>(12,'PS-12-LZ1','Poste de Sectionnement n°12 LZ1','Wednesday-02-jj','Wednesday-02-jj',,1,),</v>
      </c>
    </row>
    <row r="242" spans="1:14" ht="20.100000000000001" customHeight="1" x14ac:dyDescent="0.25">
      <c r="A242" s="39">
        <v>13</v>
      </c>
      <c r="B242" s="40" t="str">
        <f t="shared" si="84"/>
        <v>PS-13-LZ1</v>
      </c>
      <c r="C242" s="52" t="str">
        <f t="shared" si="85"/>
        <v>Poste de Sectionnement n°13 LZ1</v>
      </c>
      <c r="D242" s="19">
        <v>30720</v>
      </c>
      <c r="E242" s="19">
        <v>30720</v>
      </c>
      <c r="F242" s="42"/>
      <c r="G242" s="42">
        <v>1</v>
      </c>
      <c r="H242" s="42"/>
      <c r="I242" s="42" t="s">
        <v>356</v>
      </c>
      <c r="J242" s="42" t="s">
        <v>1743</v>
      </c>
      <c r="K242" s="44">
        <f t="shared" si="82"/>
        <v>180</v>
      </c>
      <c r="L242" s="44">
        <f t="shared" si="83"/>
        <v>412.2</v>
      </c>
      <c r="M242" s="42" t="s">
        <v>1754</v>
      </c>
      <c r="N242" s="52" t="str">
        <f t="shared" si="77"/>
        <v>(13,'PS-13-LZ1','Poste de Sectionnement n°13 LZ1','Wednesday-02-jj','Wednesday-02-jj',,1,),</v>
      </c>
    </row>
    <row r="243" spans="1:14" ht="20.100000000000001" customHeight="1" x14ac:dyDescent="0.25">
      <c r="A243" s="39">
        <v>14</v>
      </c>
      <c r="B243" s="40" t="str">
        <f t="shared" si="84"/>
        <v>PS-14-LZ1</v>
      </c>
      <c r="C243" s="52" t="str">
        <f t="shared" si="85"/>
        <v>Poste de Sectionnement n°14 LZ1</v>
      </c>
      <c r="D243" s="19">
        <v>30720</v>
      </c>
      <c r="E243" s="19">
        <v>30720</v>
      </c>
      <c r="F243" s="42"/>
      <c r="G243" s="42">
        <v>1</v>
      </c>
      <c r="H243" s="42"/>
      <c r="I243" s="42" t="s">
        <v>356</v>
      </c>
      <c r="J243" s="42" t="s">
        <v>1744</v>
      </c>
      <c r="K243" s="44">
        <f t="shared" si="82"/>
        <v>110</v>
      </c>
      <c r="L243" s="44">
        <f t="shared" si="83"/>
        <v>436.3</v>
      </c>
      <c r="M243" s="42" t="s">
        <v>1755</v>
      </c>
      <c r="N243" s="52" t="str">
        <f t="shared" si="77"/>
        <v>(14,'PS-14-LZ1','Poste de Sectionnement n°14 LZ1','Wednesday-02-jj','Wednesday-02-jj',,1,),</v>
      </c>
    </row>
    <row r="244" spans="1:14" ht="20.100000000000001" customHeight="1" x14ac:dyDescent="0.25">
      <c r="A244" s="39">
        <v>15</v>
      </c>
      <c r="B244" s="40" t="str">
        <f t="shared" si="84"/>
        <v>PS-15-LZ1</v>
      </c>
      <c r="C244" s="52" t="str">
        <f t="shared" si="85"/>
        <v>Poste de Sectionnement n°15 LZ1</v>
      </c>
      <c r="D244" s="19">
        <v>30720</v>
      </c>
      <c r="E244" s="19">
        <v>30720</v>
      </c>
      <c r="F244" s="42"/>
      <c r="G244" s="42">
        <v>1</v>
      </c>
      <c r="H244" s="42"/>
      <c r="I244" s="42" t="s">
        <v>356</v>
      </c>
      <c r="J244" s="42" t="s">
        <v>1745</v>
      </c>
      <c r="K244" s="44">
        <f t="shared" si="82"/>
        <v>107</v>
      </c>
      <c r="L244" s="44">
        <f t="shared" si="83"/>
        <v>451.4</v>
      </c>
      <c r="M244" s="42" t="s">
        <v>1756</v>
      </c>
      <c r="N244" s="52" t="str">
        <f t="shared" si="77"/>
        <v>(15,'PS-15-LZ1','Poste de Sectionnement n°15 LZ1','Wednesday-02-jj','Wednesday-02-jj',,1,),</v>
      </c>
    </row>
    <row r="245" spans="1:14" ht="20.100000000000001" customHeight="1" x14ac:dyDescent="0.25">
      <c r="A245" s="39">
        <v>16</v>
      </c>
      <c r="B245" s="40" t="str">
        <f t="shared" si="84"/>
        <v>PS-16-LZ1</v>
      </c>
      <c r="C245" s="52" t="str">
        <f t="shared" si="85"/>
        <v>Poste de Sectionnement n°16 LZ1</v>
      </c>
      <c r="D245" s="19">
        <v>30720</v>
      </c>
      <c r="E245" s="19">
        <v>30720</v>
      </c>
      <c r="F245" s="42"/>
      <c r="G245" s="42">
        <v>1</v>
      </c>
      <c r="H245" s="42"/>
      <c r="I245" s="42" t="s">
        <v>356</v>
      </c>
      <c r="J245" s="42" t="s">
        <v>1746</v>
      </c>
      <c r="K245" s="44">
        <f t="shared" si="82"/>
        <v>30</v>
      </c>
      <c r="L245" s="44">
        <f t="shared" si="83"/>
        <v>474.3</v>
      </c>
      <c r="M245" s="42" t="s">
        <v>1757</v>
      </c>
      <c r="N245" s="52" t="str">
        <f t="shared" si="77"/>
        <v>(16,'PS-16-LZ1','Poste de Sectionnement n°16 LZ1','Wednesday-02-jj','Wednesday-02-jj',,1,),</v>
      </c>
    </row>
    <row r="246" spans="1:14" ht="20.100000000000001" customHeight="1" x14ac:dyDescent="0.25">
      <c r="A246" s="39">
        <v>17</v>
      </c>
      <c r="B246" s="40" t="str">
        <f t="shared" si="84"/>
        <v>PS-17-LZ1</v>
      </c>
      <c r="C246" s="52" t="str">
        <f t="shared" si="85"/>
        <v>Poste de Sectionnement n°17 LZ1</v>
      </c>
      <c r="D246" s="19">
        <v>30720</v>
      </c>
      <c r="E246" s="19">
        <v>30720</v>
      </c>
      <c r="F246" s="42"/>
      <c r="G246" s="42">
        <v>1</v>
      </c>
      <c r="H246" s="42"/>
      <c r="I246" s="42" t="s">
        <v>356</v>
      </c>
      <c r="J246" s="42" t="s">
        <v>1747</v>
      </c>
      <c r="K246" s="44">
        <f t="shared" si="82"/>
        <v>160</v>
      </c>
      <c r="L246" s="44">
        <f t="shared" si="83"/>
        <v>492.7</v>
      </c>
      <c r="M246" s="42" t="s">
        <v>1758</v>
      </c>
      <c r="N246" s="52" t="str">
        <f t="shared" si="77"/>
        <v>(17,'PS-17-LZ1','Poste de Sectionnement n°17 LZ1','Wednesday-02-jj','Wednesday-02-jj',,1,),</v>
      </c>
    </row>
    <row r="247" spans="1:14" ht="20.100000000000001" customHeight="1" x14ac:dyDescent="0.25">
      <c r="A247" s="39">
        <v>1</v>
      </c>
      <c r="B247" s="40" t="str">
        <f t="shared" si="84"/>
        <v>PS-01-LZ2</v>
      </c>
      <c r="C247" s="52" t="str">
        <f t="shared" si="85"/>
        <v>Poste de Sectionnement n°01 LZ2</v>
      </c>
      <c r="D247" s="19">
        <v>40179</v>
      </c>
      <c r="E247" s="19">
        <v>40179</v>
      </c>
      <c r="F247" s="42"/>
      <c r="G247" s="42">
        <v>1</v>
      </c>
      <c r="H247" s="42"/>
      <c r="I247" s="42" t="s">
        <v>359</v>
      </c>
      <c r="J247" s="42" t="s">
        <v>1759</v>
      </c>
      <c r="K247" s="44">
        <f t="shared" ref="K247:K277" si="86">VALUE(RIGHT(J247,LEN(J247)-SEARCH("/",J247)))</f>
        <v>760</v>
      </c>
      <c r="L247" s="44">
        <f t="shared" ref="L247:L277" si="87">VALUE(SUBSTITUTE(LEFT(J247,SEARCH("/",J247)-1),"+",","))</f>
        <v>20.983000000000001</v>
      </c>
      <c r="M247" s="42" t="s">
        <v>1790</v>
      </c>
      <c r="N247" s="52" t="str">
        <f t="shared" si="77"/>
        <v>(1,'PS-01-LZ2','Poste de Sectionnement n°01 LZ2','Friday-01-jj','Friday-01-jj',,1,),</v>
      </c>
    </row>
    <row r="248" spans="1:14" ht="20.100000000000001" customHeight="1" x14ac:dyDescent="0.25">
      <c r="A248" s="39">
        <v>2</v>
      </c>
      <c r="B248" s="40" t="str">
        <f t="shared" si="84"/>
        <v>PS-02-LZ2</v>
      </c>
      <c r="C248" s="52" t="str">
        <f t="shared" si="85"/>
        <v>Poste de Sectionnement n°02 LZ2</v>
      </c>
      <c r="D248" s="19">
        <v>40179</v>
      </c>
      <c r="E248" s="19">
        <v>40179</v>
      </c>
      <c r="F248" s="42"/>
      <c r="G248" s="42">
        <v>1</v>
      </c>
      <c r="H248" s="42"/>
      <c r="I248" s="42" t="s">
        <v>359</v>
      </c>
      <c r="J248" s="42" t="s">
        <v>1760</v>
      </c>
      <c r="K248" s="44">
        <f t="shared" si="86"/>
        <v>824</v>
      </c>
      <c r="L248" s="44">
        <f t="shared" si="87"/>
        <v>41.247</v>
      </c>
      <c r="M248" s="42" t="s">
        <v>1790</v>
      </c>
      <c r="N248" s="52" t="str">
        <f t="shared" si="77"/>
        <v>(2,'PS-02-LZ2','Poste de Sectionnement n°02 LZ2','Friday-01-jj','Friday-01-jj',,1,),</v>
      </c>
    </row>
    <row r="249" spans="1:14" ht="20.100000000000001" customHeight="1" x14ac:dyDescent="0.25">
      <c r="A249" s="39">
        <v>3</v>
      </c>
      <c r="B249" s="40" t="str">
        <f t="shared" si="84"/>
        <v>PS-03-LZ2</v>
      </c>
      <c r="C249" s="52" t="str">
        <f t="shared" si="85"/>
        <v>Poste de Sectionnement n°03 LZ2</v>
      </c>
      <c r="D249" s="19">
        <v>40179</v>
      </c>
      <c r="E249" s="19">
        <v>40179</v>
      </c>
      <c r="F249" s="42"/>
      <c r="G249" s="42">
        <v>1</v>
      </c>
      <c r="H249" s="42"/>
      <c r="I249" s="42" t="s">
        <v>359</v>
      </c>
      <c r="J249" s="42" t="s">
        <v>1761</v>
      </c>
      <c r="K249" s="44">
        <f t="shared" si="86"/>
        <v>875</v>
      </c>
      <c r="L249" s="44">
        <f t="shared" si="87"/>
        <v>60.603999999999999</v>
      </c>
      <c r="M249" s="42" t="s">
        <v>1748</v>
      </c>
      <c r="N249" s="52" t="str">
        <f t="shared" si="77"/>
        <v>(3,'PS-03-LZ2','Poste de Sectionnement n°03 LZ2','Friday-01-jj','Friday-01-jj',,1,),</v>
      </c>
    </row>
    <row r="250" spans="1:14" ht="20.100000000000001" customHeight="1" x14ac:dyDescent="0.25">
      <c r="A250" s="39">
        <v>4</v>
      </c>
      <c r="B250" s="40" t="str">
        <f t="shared" si="84"/>
        <v>PS-04-LZ2</v>
      </c>
      <c r="C250" s="52" t="str">
        <f t="shared" si="85"/>
        <v>Poste de Sectionnement n°04 LZ2</v>
      </c>
      <c r="D250" s="19">
        <v>40179</v>
      </c>
      <c r="E250" s="19">
        <v>40179</v>
      </c>
      <c r="F250" s="42"/>
      <c r="G250" s="42">
        <v>1</v>
      </c>
      <c r="H250" s="42"/>
      <c r="I250" s="42" t="s">
        <v>359</v>
      </c>
      <c r="J250" s="42" t="s">
        <v>1762</v>
      </c>
      <c r="K250" s="44">
        <f t="shared" si="86"/>
        <v>800</v>
      </c>
      <c r="L250" s="44">
        <f t="shared" si="87"/>
        <v>80.141000000000005</v>
      </c>
      <c r="M250" s="42" t="s">
        <v>1748</v>
      </c>
      <c r="N250" s="52" t="str">
        <f t="shared" si="77"/>
        <v>(4,'PS-04-LZ2','Poste de Sectionnement n°04 LZ2','Friday-01-jj','Friday-01-jj',,1,),</v>
      </c>
    </row>
    <row r="251" spans="1:14" ht="20.100000000000001" customHeight="1" x14ac:dyDescent="0.25">
      <c r="A251" s="39">
        <v>5</v>
      </c>
      <c r="B251" s="40" t="str">
        <f t="shared" si="84"/>
        <v>PS-05-LZ2</v>
      </c>
      <c r="C251" s="52" t="str">
        <f t="shared" si="85"/>
        <v>Poste de Sectionnement n°05 LZ2</v>
      </c>
      <c r="D251" s="19">
        <v>40179</v>
      </c>
      <c r="E251" s="19">
        <v>40179</v>
      </c>
      <c r="F251" s="42"/>
      <c r="G251" s="42">
        <v>1</v>
      </c>
      <c r="H251" s="42"/>
      <c r="I251" s="42" t="s">
        <v>359</v>
      </c>
      <c r="J251" s="42" t="s">
        <v>1763</v>
      </c>
      <c r="K251" s="44">
        <f t="shared" si="86"/>
        <v>795</v>
      </c>
      <c r="L251" s="44">
        <f t="shared" si="87"/>
        <v>97.957999999999998</v>
      </c>
      <c r="M251" s="42" t="s">
        <v>1748</v>
      </c>
      <c r="N251" s="52" t="str">
        <f t="shared" si="77"/>
        <v>(5,'PS-05-LZ2','Poste de Sectionnement n°05 LZ2','Friday-01-jj','Friday-01-jj',,1,),</v>
      </c>
    </row>
    <row r="252" spans="1:14" ht="20.100000000000001" customHeight="1" x14ac:dyDescent="0.25">
      <c r="A252" s="39">
        <v>6</v>
      </c>
      <c r="B252" s="40" t="str">
        <f t="shared" si="84"/>
        <v>PS-06-LZ2</v>
      </c>
      <c r="C252" s="52" t="str">
        <f t="shared" si="85"/>
        <v>Poste de Sectionnement n°06 LZ2</v>
      </c>
      <c r="D252" s="19">
        <v>40179</v>
      </c>
      <c r="E252" s="19">
        <v>40179</v>
      </c>
      <c r="F252" s="42"/>
      <c r="G252" s="42">
        <v>1</v>
      </c>
      <c r="H252" s="42"/>
      <c r="I252" s="42" t="s">
        <v>359</v>
      </c>
      <c r="J252" s="42" t="s">
        <v>1764</v>
      </c>
      <c r="K252" s="44">
        <f t="shared" si="86"/>
        <v>953</v>
      </c>
      <c r="L252" s="44">
        <f t="shared" si="87"/>
        <v>119.566</v>
      </c>
      <c r="M252" s="42" t="s">
        <v>1749</v>
      </c>
      <c r="N252" s="52" t="str">
        <f t="shared" si="77"/>
        <v>(6,'PS-06-LZ2','Poste de Sectionnement n°06 LZ2','Friday-01-jj','Friday-01-jj',,1,),</v>
      </c>
    </row>
    <row r="253" spans="1:14" ht="20.100000000000001" customHeight="1" x14ac:dyDescent="0.25">
      <c r="A253" s="39">
        <v>7</v>
      </c>
      <c r="B253" s="40" t="str">
        <f t="shared" si="84"/>
        <v>PS-07-LZ2</v>
      </c>
      <c r="C253" s="52" t="str">
        <f t="shared" si="85"/>
        <v>Poste de Sectionnement n°07 LZ2</v>
      </c>
      <c r="D253" s="19">
        <v>40179</v>
      </c>
      <c r="E253" s="19">
        <v>40179</v>
      </c>
      <c r="F253" s="42"/>
      <c r="G253" s="42">
        <v>1</v>
      </c>
      <c r="H253" s="42"/>
      <c r="I253" s="42" t="s">
        <v>359</v>
      </c>
      <c r="J253" s="42" t="s">
        <v>1765</v>
      </c>
      <c r="K253" s="44">
        <f t="shared" si="86"/>
        <v>1069</v>
      </c>
      <c r="L253" s="44">
        <f t="shared" si="87"/>
        <v>140.999</v>
      </c>
      <c r="M253" s="42" t="s">
        <v>1749</v>
      </c>
      <c r="N253" s="52" t="str">
        <f t="shared" si="77"/>
        <v>(7,'PS-07-LZ2','Poste de Sectionnement n°07 LZ2','Friday-01-jj','Friday-01-jj',,1,),</v>
      </c>
    </row>
    <row r="254" spans="1:14" ht="20.100000000000001" customHeight="1" x14ac:dyDescent="0.25">
      <c r="A254" s="39">
        <v>8</v>
      </c>
      <c r="B254" s="40" t="str">
        <f t="shared" si="84"/>
        <v>PS-08-LZ2</v>
      </c>
      <c r="C254" s="52" t="str">
        <f t="shared" si="85"/>
        <v>Poste de Sectionnement n°08 LZ2</v>
      </c>
      <c r="D254" s="19">
        <v>40179</v>
      </c>
      <c r="E254" s="19">
        <v>40179</v>
      </c>
      <c r="F254" s="42"/>
      <c r="G254" s="42">
        <v>1</v>
      </c>
      <c r="H254" s="42"/>
      <c r="I254" s="42" t="s">
        <v>359</v>
      </c>
      <c r="J254" s="42" t="s">
        <v>1766</v>
      </c>
      <c r="K254" s="44">
        <f t="shared" si="86"/>
        <v>1237</v>
      </c>
      <c r="L254" s="44">
        <f t="shared" si="87"/>
        <v>160.13399999999999</v>
      </c>
      <c r="M254" s="42" t="s">
        <v>1749</v>
      </c>
      <c r="N254" s="52" t="str">
        <f t="shared" si="77"/>
        <v>(8,'PS-08-LZ2','Poste de Sectionnement n°08 LZ2','Friday-01-jj','Friday-01-jj',,1,),</v>
      </c>
    </row>
    <row r="255" spans="1:14" ht="20.100000000000001" customHeight="1" x14ac:dyDescent="0.25">
      <c r="A255" s="39">
        <v>9</v>
      </c>
      <c r="B255" s="40" t="str">
        <f t="shared" si="84"/>
        <v>PS-09-LZ2</v>
      </c>
      <c r="C255" s="52" t="str">
        <f t="shared" si="85"/>
        <v>Poste de Sectionnement n°09 LZ2</v>
      </c>
      <c r="D255" s="19">
        <v>40179</v>
      </c>
      <c r="E255" s="19">
        <v>40179</v>
      </c>
      <c r="F255" s="42"/>
      <c r="G255" s="42">
        <v>1</v>
      </c>
      <c r="H255" s="42"/>
      <c r="I255" s="42" t="s">
        <v>359</v>
      </c>
      <c r="J255" s="42" t="s">
        <v>1767</v>
      </c>
      <c r="K255" s="44">
        <f t="shared" si="86"/>
        <v>1136</v>
      </c>
      <c r="L255" s="44">
        <f t="shared" si="87"/>
        <v>182.012</v>
      </c>
      <c r="M255" s="42" t="s">
        <v>1749</v>
      </c>
      <c r="N255" s="52" t="str">
        <f t="shared" si="77"/>
        <v>(9,'PS-09-LZ2','Poste de Sectionnement n°09 LZ2','Friday-01-jj','Friday-01-jj',,1,),</v>
      </c>
    </row>
    <row r="256" spans="1:14" ht="20.100000000000001" customHeight="1" x14ac:dyDescent="0.25">
      <c r="A256" s="39">
        <v>10</v>
      </c>
      <c r="B256" s="40" t="str">
        <f t="shared" si="84"/>
        <v>PS-10-LZ2</v>
      </c>
      <c r="C256" s="52" t="str">
        <f t="shared" si="85"/>
        <v>Poste de Sectionnement n°10 LZ2</v>
      </c>
      <c r="D256" s="19">
        <v>40179</v>
      </c>
      <c r="E256" s="19">
        <v>40179</v>
      </c>
      <c r="F256" s="42"/>
      <c r="G256" s="42">
        <v>1</v>
      </c>
      <c r="H256" s="42"/>
      <c r="I256" s="42" t="s">
        <v>359</v>
      </c>
      <c r="J256" s="42" t="s">
        <v>1768</v>
      </c>
      <c r="K256" s="44">
        <f t="shared" si="86"/>
        <v>971</v>
      </c>
      <c r="L256" s="44">
        <f t="shared" si="87"/>
        <v>199.477</v>
      </c>
      <c r="M256" s="42" t="s">
        <v>1791</v>
      </c>
      <c r="N256" s="52" t="str">
        <f t="shared" si="77"/>
        <v>(10,'PS-10-LZ2','Poste de Sectionnement n°10 LZ2','Friday-01-jj','Friday-01-jj',,1,),</v>
      </c>
    </row>
    <row r="257" spans="1:14" ht="20.100000000000001" customHeight="1" x14ac:dyDescent="0.25">
      <c r="A257" s="39">
        <v>11</v>
      </c>
      <c r="B257" s="40" t="str">
        <f t="shared" si="84"/>
        <v>PS-11-LZ2</v>
      </c>
      <c r="C257" s="52" t="str">
        <f t="shared" si="85"/>
        <v>Poste de Sectionnement n°11 LZ2</v>
      </c>
      <c r="D257" s="19">
        <v>40179</v>
      </c>
      <c r="E257" s="19">
        <v>40179</v>
      </c>
      <c r="F257" s="42"/>
      <c r="G257" s="42">
        <v>1</v>
      </c>
      <c r="H257" s="42"/>
      <c r="I257" s="42" t="s">
        <v>359</v>
      </c>
      <c r="J257" s="42" t="s">
        <v>1769</v>
      </c>
      <c r="K257" s="44">
        <f t="shared" si="86"/>
        <v>978</v>
      </c>
      <c r="L257" s="44">
        <f t="shared" si="87"/>
        <v>219.48699999999999</v>
      </c>
      <c r="M257" s="42" t="s">
        <v>759</v>
      </c>
      <c r="N257" s="52" t="str">
        <f t="shared" si="77"/>
        <v>(11,'PS-11-LZ2','Poste de Sectionnement n°11 LZ2','Friday-01-jj','Friday-01-jj',,1,),</v>
      </c>
    </row>
    <row r="258" spans="1:14" ht="20.100000000000001" customHeight="1" x14ac:dyDescent="0.25">
      <c r="A258" s="39">
        <v>12</v>
      </c>
      <c r="B258" s="40" t="str">
        <f t="shared" si="84"/>
        <v>PS-12-LZ2</v>
      </c>
      <c r="C258" s="52" t="str">
        <f t="shared" si="85"/>
        <v>Poste de Sectionnement n°12 LZ2</v>
      </c>
      <c r="D258" s="19">
        <v>40179</v>
      </c>
      <c r="E258" s="19">
        <v>40179</v>
      </c>
      <c r="F258" s="42"/>
      <c r="G258" s="42">
        <v>1</v>
      </c>
      <c r="H258" s="42"/>
      <c r="I258" s="42" t="s">
        <v>359</v>
      </c>
      <c r="J258" s="42" t="s">
        <v>1770</v>
      </c>
      <c r="K258" s="44">
        <f t="shared" si="86"/>
        <v>1056</v>
      </c>
      <c r="L258" s="44">
        <f t="shared" si="87"/>
        <v>241.804</v>
      </c>
      <c r="M258" s="42" t="s">
        <v>759</v>
      </c>
      <c r="N258" s="52" t="str">
        <f t="shared" si="77"/>
        <v>(12,'PS-12-LZ2','Poste de Sectionnement n°12 LZ2','Friday-01-jj','Friday-01-jj',,1,),</v>
      </c>
    </row>
    <row r="259" spans="1:14" ht="20.100000000000001" customHeight="1" x14ac:dyDescent="0.25">
      <c r="A259" s="39">
        <v>13</v>
      </c>
      <c r="B259" s="40" t="str">
        <f t="shared" si="84"/>
        <v>PS-13-LZ2</v>
      </c>
      <c r="C259" s="52" t="str">
        <f t="shared" si="85"/>
        <v>Poste de Sectionnement n°13 LZ2</v>
      </c>
      <c r="D259" s="19">
        <v>40179</v>
      </c>
      <c r="E259" s="19">
        <v>40179</v>
      </c>
      <c r="F259" s="42"/>
      <c r="G259" s="42">
        <v>1</v>
      </c>
      <c r="H259" s="42"/>
      <c r="I259" s="42" t="s">
        <v>359</v>
      </c>
      <c r="J259" s="42" t="s">
        <v>1771</v>
      </c>
      <c r="K259" s="44">
        <f t="shared" si="86"/>
        <v>1147</v>
      </c>
      <c r="L259" s="44">
        <f t="shared" si="87"/>
        <v>261.91300000000001</v>
      </c>
      <c r="M259" s="42" t="s">
        <v>759</v>
      </c>
      <c r="N259" s="52" t="str">
        <f t="shared" si="77"/>
        <v>(13,'PS-13-LZ2','Poste de Sectionnement n°13 LZ2','Friday-01-jj','Friday-01-jj',,1,),</v>
      </c>
    </row>
    <row r="260" spans="1:14" ht="20.100000000000001" customHeight="1" x14ac:dyDescent="0.25">
      <c r="A260" s="39">
        <v>14</v>
      </c>
      <c r="B260" s="40" t="str">
        <f t="shared" si="84"/>
        <v>PS-14-LZ2</v>
      </c>
      <c r="C260" s="52" t="str">
        <f t="shared" si="85"/>
        <v>Poste de Sectionnement n°14 LZ2</v>
      </c>
      <c r="D260" s="19">
        <v>40179</v>
      </c>
      <c r="E260" s="19">
        <v>40179</v>
      </c>
      <c r="F260" s="42"/>
      <c r="G260" s="42">
        <v>1</v>
      </c>
      <c r="H260" s="42"/>
      <c r="I260" s="42" t="s">
        <v>359</v>
      </c>
      <c r="J260" s="42" t="s">
        <v>1772</v>
      </c>
      <c r="K260" s="44">
        <f t="shared" si="86"/>
        <v>1266</v>
      </c>
      <c r="L260" s="44">
        <f t="shared" si="87"/>
        <v>282.03800000000001</v>
      </c>
      <c r="M260" s="42" t="s">
        <v>1751</v>
      </c>
      <c r="N260" s="52" t="str">
        <f t="shared" si="77"/>
        <v>(14,'PS-14-LZ2','Poste de Sectionnement n°14 LZ2','Friday-01-jj','Friday-01-jj',,1,),</v>
      </c>
    </row>
    <row r="261" spans="1:14" ht="20.100000000000001" customHeight="1" x14ac:dyDescent="0.25">
      <c r="A261" s="39">
        <v>15</v>
      </c>
      <c r="B261" s="40" t="str">
        <f t="shared" si="84"/>
        <v>PS-15-LZ2</v>
      </c>
      <c r="C261" s="52" t="str">
        <f t="shared" si="85"/>
        <v>Poste de Sectionnement n°15 LZ2</v>
      </c>
      <c r="D261" s="19">
        <v>40179</v>
      </c>
      <c r="E261" s="19">
        <v>40179</v>
      </c>
      <c r="F261" s="42"/>
      <c r="G261" s="42">
        <v>1</v>
      </c>
      <c r="H261" s="42"/>
      <c r="I261" s="42" t="s">
        <v>359</v>
      </c>
      <c r="J261" s="42" t="s">
        <v>1773</v>
      </c>
      <c r="K261" s="44">
        <f t="shared" si="86"/>
        <v>1173</v>
      </c>
      <c r="L261" s="44">
        <f t="shared" si="87"/>
        <v>301.416</v>
      </c>
      <c r="M261" s="42" t="s">
        <v>1792</v>
      </c>
      <c r="N261" s="52" t="str">
        <f t="shared" si="77"/>
        <v>(15,'PS-15-LZ2','Poste de Sectionnement n°15 LZ2','Friday-01-jj','Friday-01-jj',,1,),</v>
      </c>
    </row>
    <row r="262" spans="1:14" ht="20.100000000000001" customHeight="1" x14ac:dyDescent="0.25">
      <c r="A262" s="39" t="s">
        <v>1799</v>
      </c>
      <c r="B262" s="40" t="str">
        <f t="shared" si="84"/>
        <v>PS-15 A-LZ2</v>
      </c>
      <c r="C262" s="52" t="str">
        <f t="shared" si="85"/>
        <v>Poste de Sectionnement n°15 A LZ2</v>
      </c>
      <c r="D262" s="19">
        <v>40179</v>
      </c>
      <c r="E262" s="19">
        <v>40179</v>
      </c>
      <c r="F262" s="42"/>
      <c r="G262" s="42">
        <v>1</v>
      </c>
      <c r="H262" s="42"/>
      <c r="I262" s="42" t="s">
        <v>359</v>
      </c>
      <c r="J262" s="42" t="s">
        <v>1774</v>
      </c>
      <c r="K262" s="44">
        <f t="shared" si="86"/>
        <v>995</v>
      </c>
      <c r="L262" s="44">
        <f t="shared" si="87"/>
        <v>325.53399999999999</v>
      </c>
      <c r="M262" s="42" t="s">
        <v>1752</v>
      </c>
      <c r="N262" s="52" t="str">
        <f t="shared" si="77"/>
        <v>(15 A,'PS-15 A-LZ2','Poste de Sectionnement n°15 A LZ2','Friday-01-jj','Friday-01-jj',,1,),</v>
      </c>
    </row>
    <row r="263" spans="1:14" ht="20.100000000000001" customHeight="1" x14ac:dyDescent="0.25">
      <c r="A263" s="39" t="s">
        <v>1800</v>
      </c>
      <c r="B263" s="40" t="str">
        <f t="shared" si="84"/>
        <v>PS-15 B-LZ2</v>
      </c>
      <c r="C263" s="52" t="str">
        <f t="shared" si="85"/>
        <v>Poste de Sectionnement n°15 B LZ2</v>
      </c>
      <c r="D263" s="19">
        <v>40179</v>
      </c>
      <c r="E263" s="19">
        <v>40179</v>
      </c>
      <c r="F263" s="42"/>
      <c r="G263" s="42">
        <v>1</v>
      </c>
      <c r="H263" s="42"/>
      <c r="I263" s="42" t="s">
        <v>359</v>
      </c>
      <c r="J263" s="42" t="s">
        <v>1775</v>
      </c>
      <c r="K263" s="44">
        <f t="shared" si="86"/>
        <v>1015</v>
      </c>
      <c r="L263" s="44">
        <f t="shared" si="87"/>
        <v>336.22800000000001</v>
      </c>
      <c r="M263" s="42" t="s">
        <v>762</v>
      </c>
      <c r="N263" s="52" t="str">
        <f t="shared" si="77"/>
        <v>(15 B,'PS-15 B-LZ2','Poste de Sectionnement n°15 B LZ2','Friday-01-jj','Friday-01-jj',,1,),</v>
      </c>
    </row>
    <row r="264" spans="1:14" ht="20.100000000000001" customHeight="1" x14ac:dyDescent="0.25">
      <c r="A264" s="39">
        <v>16</v>
      </c>
      <c r="B264" s="40" t="str">
        <f t="shared" ref="B264:B279" si="88">CONCATENATE("PS-",TEXT(A264,"00"),"-",I264)</f>
        <v>PS-16-LZ2</v>
      </c>
      <c r="C264" s="52" t="str">
        <f t="shared" ref="C264:C279" si="89">CONCATENATE("Poste de Sectionnement n°",TEXT(A264,"00")," ",I264)</f>
        <v>Poste de Sectionnement n°16 LZ2</v>
      </c>
      <c r="D264" s="19">
        <v>40179</v>
      </c>
      <c r="E264" s="19">
        <v>40179</v>
      </c>
      <c r="F264" s="42"/>
      <c r="G264" s="42">
        <v>1</v>
      </c>
      <c r="H264" s="42"/>
      <c r="I264" s="42" t="s">
        <v>359</v>
      </c>
      <c r="J264" s="42" t="s">
        <v>1776</v>
      </c>
      <c r="K264" s="44">
        <f t="shared" si="86"/>
        <v>786</v>
      </c>
      <c r="L264" s="44">
        <f t="shared" si="87"/>
        <v>346.71699999999998</v>
      </c>
      <c r="M264" s="42" t="s">
        <v>762</v>
      </c>
      <c r="N264" s="52" t="str">
        <f t="shared" si="77"/>
        <v>(16,'PS-16-LZ2','Poste de Sectionnement n°16 LZ2','Friday-01-jj','Friday-01-jj',,1,),</v>
      </c>
    </row>
    <row r="265" spans="1:14" ht="20.100000000000001" customHeight="1" x14ac:dyDescent="0.25">
      <c r="A265" s="39">
        <v>17</v>
      </c>
      <c r="B265" s="40" t="str">
        <f t="shared" si="88"/>
        <v>PS-17-LZ2</v>
      </c>
      <c r="C265" s="52" t="str">
        <f t="shared" si="89"/>
        <v>Poste de Sectionnement n°17 LZ2</v>
      </c>
      <c r="D265" s="19">
        <v>40179</v>
      </c>
      <c r="E265" s="19">
        <v>40179</v>
      </c>
      <c r="F265" s="42"/>
      <c r="G265" s="42">
        <v>1</v>
      </c>
      <c r="H265" s="42"/>
      <c r="I265" s="42" t="s">
        <v>359</v>
      </c>
      <c r="J265" s="42" t="s">
        <v>1777</v>
      </c>
      <c r="K265" s="44">
        <f t="shared" si="86"/>
        <v>673</v>
      </c>
      <c r="L265" s="44">
        <f t="shared" si="87"/>
        <v>358.62099999999998</v>
      </c>
      <c r="M265" s="42" t="s">
        <v>763</v>
      </c>
      <c r="N265" s="52" t="str">
        <f t="shared" si="77"/>
        <v>(17,'PS-17-LZ2','Poste de Sectionnement n°17 LZ2','Friday-01-jj','Friday-01-jj',,1,),</v>
      </c>
    </row>
    <row r="266" spans="1:14" ht="20.100000000000001" customHeight="1" x14ac:dyDescent="0.25">
      <c r="A266" s="39">
        <v>18</v>
      </c>
      <c r="B266" s="40" t="str">
        <f t="shared" si="88"/>
        <v>PS-18-LZ2</v>
      </c>
      <c r="C266" s="52" t="str">
        <f t="shared" si="89"/>
        <v>Poste de Sectionnement n°18 LZ2</v>
      </c>
      <c r="D266" s="19">
        <v>40179</v>
      </c>
      <c r="E266" s="19">
        <v>40179</v>
      </c>
      <c r="F266" s="42"/>
      <c r="G266" s="42">
        <v>1</v>
      </c>
      <c r="H266" s="42"/>
      <c r="I266" s="42" t="s">
        <v>359</v>
      </c>
      <c r="J266" s="42" t="s">
        <v>1778</v>
      </c>
      <c r="K266" s="44">
        <f t="shared" si="86"/>
        <v>636</v>
      </c>
      <c r="L266" s="44">
        <f t="shared" si="87"/>
        <v>369.78100000000001</v>
      </c>
      <c r="M266" s="42" t="s">
        <v>763</v>
      </c>
      <c r="N266" s="52" t="str">
        <f t="shared" si="77"/>
        <v>(18,'PS-18-LZ2','Poste de Sectionnement n°18 LZ2','Friday-01-jj','Friday-01-jj',,1,),</v>
      </c>
    </row>
    <row r="267" spans="1:14" ht="20.100000000000001" customHeight="1" x14ac:dyDescent="0.25">
      <c r="A267" s="39">
        <v>19</v>
      </c>
      <c r="B267" s="40" t="str">
        <f t="shared" si="88"/>
        <v>PS-19-LZ2</v>
      </c>
      <c r="C267" s="52" t="str">
        <f t="shared" si="89"/>
        <v>Poste de Sectionnement n°19 LZ2</v>
      </c>
      <c r="D267" s="19">
        <v>40179</v>
      </c>
      <c r="E267" s="19">
        <v>40179</v>
      </c>
      <c r="F267" s="42"/>
      <c r="G267" s="42">
        <v>1</v>
      </c>
      <c r="H267" s="42"/>
      <c r="I267" s="42" t="s">
        <v>359</v>
      </c>
      <c r="J267" s="42" t="s">
        <v>1779</v>
      </c>
      <c r="K267" s="44">
        <f t="shared" si="86"/>
        <v>538</v>
      </c>
      <c r="L267" s="44">
        <f t="shared" si="87"/>
        <v>382.14600000000002</v>
      </c>
      <c r="M267" s="42" t="s">
        <v>1753</v>
      </c>
      <c r="N267" s="52" t="str">
        <f t="shared" si="77"/>
        <v>(19,'PS-19-LZ2','Poste de Sectionnement n°19 LZ2','Friday-01-jj','Friday-01-jj',,1,),</v>
      </c>
    </row>
    <row r="268" spans="1:14" ht="20.100000000000001" customHeight="1" x14ac:dyDescent="0.25">
      <c r="A268" s="39">
        <v>20</v>
      </c>
      <c r="B268" s="40" t="str">
        <f t="shared" si="88"/>
        <v>PS-20-LZ2</v>
      </c>
      <c r="C268" s="52" t="str">
        <f t="shared" si="89"/>
        <v>Poste de Sectionnement n°20 LZ2</v>
      </c>
      <c r="D268" s="19">
        <v>40179</v>
      </c>
      <c r="E268" s="19">
        <v>40179</v>
      </c>
      <c r="F268" s="42"/>
      <c r="G268" s="42">
        <v>1</v>
      </c>
      <c r="H268" s="42"/>
      <c r="I268" s="42" t="s">
        <v>359</v>
      </c>
      <c r="J268" s="42" t="s">
        <v>1780</v>
      </c>
      <c r="K268" s="44">
        <f t="shared" si="86"/>
        <v>269</v>
      </c>
      <c r="L268" s="44">
        <f t="shared" si="87"/>
        <v>393.13200000000001</v>
      </c>
      <c r="M268" s="42" t="s">
        <v>1793</v>
      </c>
      <c r="N268" s="52" t="str">
        <f t="shared" si="77"/>
        <v>(20,'PS-20-LZ2','Poste de Sectionnement n°20 LZ2','Friday-01-jj','Friday-01-jj',,1,),</v>
      </c>
    </row>
    <row r="269" spans="1:14" ht="20.100000000000001" customHeight="1" x14ac:dyDescent="0.25">
      <c r="A269" s="39">
        <v>21</v>
      </c>
      <c r="B269" s="40" t="str">
        <f t="shared" si="88"/>
        <v>PS-21-LZ2</v>
      </c>
      <c r="C269" s="52" t="str">
        <f t="shared" si="89"/>
        <v>Poste de Sectionnement n°21 LZ2</v>
      </c>
      <c r="D269" s="19">
        <v>40179</v>
      </c>
      <c r="E269" s="19">
        <v>40179</v>
      </c>
      <c r="F269" s="42"/>
      <c r="G269" s="42">
        <v>1</v>
      </c>
      <c r="H269" s="42"/>
      <c r="I269" s="42" t="s">
        <v>359</v>
      </c>
      <c r="J269" s="42" t="s">
        <v>1781</v>
      </c>
      <c r="K269" s="44">
        <f t="shared" si="86"/>
        <v>116</v>
      </c>
      <c r="L269" s="44">
        <f t="shared" si="87"/>
        <v>404.39800000000002</v>
      </c>
      <c r="M269" s="42" t="s">
        <v>1793</v>
      </c>
      <c r="N269" s="52" t="str">
        <f t="shared" si="77"/>
        <v>(21,'PS-21-LZ2','Poste de Sectionnement n°21 LZ2','Friday-01-jj','Friday-01-jj',,1,),</v>
      </c>
    </row>
    <row r="270" spans="1:14" ht="20.100000000000001" customHeight="1" x14ac:dyDescent="0.25">
      <c r="A270" s="39">
        <v>22</v>
      </c>
      <c r="B270" s="40" t="str">
        <f t="shared" si="88"/>
        <v>PS-22-LZ2</v>
      </c>
      <c r="C270" s="52" t="str">
        <f t="shared" si="89"/>
        <v>Poste de Sectionnement n°22 LZ2</v>
      </c>
      <c r="D270" s="19">
        <v>40179</v>
      </c>
      <c r="E270" s="19">
        <v>40179</v>
      </c>
      <c r="F270" s="42"/>
      <c r="G270" s="42">
        <v>1</v>
      </c>
      <c r="H270" s="42"/>
      <c r="I270" s="42" t="s">
        <v>359</v>
      </c>
      <c r="J270" s="42" t="s">
        <v>1782</v>
      </c>
      <c r="K270" s="44">
        <f t="shared" si="86"/>
        <v>120</v>
      </c>
      <c r="L270" s="44">
        <f t="shared" si="87"/>
        <v>412.41800000000001</v>
      </c>
      <c r="M270" s="42" t="s">
        <v>1754</v>
      </c>
      <c r="N270" s="52" t="str">
        <f t="shared" si="77"/>
        <v>(22,'PS-22-LZ2','Poste de Sectionnement n°22 LZ2','Friday-01-jj','Friday-01-jj',,1,),</v>
      </c>
    </row>
    <row r="271" spans="1:14" ht="20.100000000000001" customHeight="1" x14ac:dyDescent="0.25">
      <c r="A271" s="39">
        <v>23</v>
      </c>
      <c r="B271" s="40" t="str">
        <f t="shared" si="88"/>
        <v>PS-23-LZ2</v>
      </c>
      <c r="C271" s="52" t="str">
        <f t="shared" si="89"/>
        <v>Poste de Sectionnement n°23 LZ2</v>
      </c>
      <c r="D271" s="19">
        <v>40179</v>
      </c>
      <c r="E271" s="19">
        <v>40179</v>
      </c>
      <c r="F271" s="42"/>
      <c r="G271" s="42">
        <v>1</v>
      </c>
      <c r="H271" s="42"/>
      <c r="I271" s="42" t="s">
        <v>359</v>
      </c>
      <c r="J271" s="42" t="s">
        <v>1783</v>
      </c>
      <c r="K271" s="44">
        <f t="shared" si="86"/>
        <v>311</v>
      </c>
      <c r="L271" s="44">
        <f t="shared" si="87"/>
        <v>425.31900000000002</v>
      </c>
      <c r="M271" s="42" t="s">
        <v>1794</v>
      </c>
      <c r="N271" s="52" t="str">
        <f t="shared" si="77"/>
        <v>(23,'PS-23-LZ2','Poste de Sectionnement n°23 LZ2','Friday-01-jj','Friday-01-jj',,1,),</v>
      </c>
    </row>
    <row r="272" spans="1:14" ht="20.100000000000001" customHeight="1" x14ac:dyDescent="0.25">
      <c r="A272" s="39">
        <v>24</v>
      </c>
      <c r="B272" s="40" t="str">
        <f t="shared" si="88"/>
        <v>PS-24-LZ2</v>
      </c>
      <c r="C272" s="52" t="str">
        <f t="shared" si="89"/>
        <v>Poste de Sectionnement n°24 LZ2</v>
      </c>
      <c r="D272" s="19">
        <v>40179</v>
      </c>
      <c r="E272" s="19">
        <v>40179</v>
      </c>
      <c r="F272" s="42"/>
      <c r="G272" s="42">
        <v>1</v>
      </c>
      <c r="H272" s="42"/>
      <c r="I272" s="42" t="s">
        <v>359</v>
      </c>
      <c r="J272" s="42" t="s">
        <v>1784</v>
      </c>
      <c r="K272" s="44">
        <f t="shared" si="86"/>
        <v>314</v>
      </c>
      <c r="L272" s="44">
        <f t="shared" si="87"/>
        <v>433.72199999999998</v>
      </c>
      <c r="M272" s="42" t="s">
        <v>1795</v>
      </c>
      <c r="N272" s="52" t="str">
        <f t="shared" si="77"/>
        <v>(24,'PS-24-LZ2','Poste de Sectionnement n°24 LZ2','Friday-01-jj','Friday-01-jj',,1,),</v>
      </c>
    </row>
    <row r="273" spans="1:14" ht="20.100000000000001" customHeight="1" x14ac:dyDescent="0.25">
      <c r="A273" s="39">
        <v>25</v>
      </c>
      <c r="B273" s="40" t="str">
        <f t="shared" si="88"/>
        <v>PS-25-LZ2</v>
      </c>
      <c r="C273" s="52" t="str">
        <f t="shared" si="89"/>
        <v>Poste de Sectionnement n°25 LZ2</v>
      </c>
      <c r="D273" s="19">
        <v>40179</v>
      </c>
      <c r="E273" s="19">
        <v>40179</v>
      </c>
      <c r="F273" s="42"/>
      <c r="G273" s="42">
        <v>1</v>
      </c>
      <c r="H273" s="42"/>
      <c r="I273" s="42" t="s">
        <v>359</v>
      </c>
      <c r="J273" s="42" t="s">
        <v>1785</v>
      </c>
      <c r="K273" s="44">
        <f t="shared" si="86"/>
        <v>75</v>
      </c>
      <c r="L273" s="44">
        <f t="shared" si="87"/>
        <v>447.16800000000001</v>
      </c>
      <c r="M273" s="42" t="s">
        <v>1756</v>
      </c>
      <c r="N273" s="52" t="str">
        <f t="shared" si="77"/>
        <v>(25,'PS-25-LZ2','Poste de Sectionnement n°25 LZ2','Friday-01-jj','Friday-01-jj',,1,),</v>
      </c>
    </row>
    <row r="274" spans="1:14" ht="20.100000000000001" customHeight="1" x14ac:dyDescent="0.25">
      <c r="A274" s="39">
        <v>26</v>
      </c>
      <c r="B274" s="40" t="str">
        <f t="shared" si="88"/>
        <v>PS-26-LZ2</v>
      </c>
      <c r="C274" s="52" t="str">
        <f t="shared" si="89"/>
        <v>Poste de Sectionnement n°26 LZ2</v>
      </c>
      <c r="D274" s="19">
        <v>40179</v>
      </c>
      <c r="E274" s="19">
        <v>40179</v>
      </c>
      <c r="F274" s="42"/>
      <c r="G274" s="42">
        <v>1</v>
      </c>
      <c r="H274" s="42"/>
      <c r="I274" s="42" t="s">
        <v>359</v>
      </c>
      <c r="J274" s="42" t="s">
        <v>1786</v>
      </c>
      <c r="K274" s="44">
        <f t="shared" si="86"/>
        <v>24</v>
      </c>
      <c r="L274" s="44">
        <f t="shared" si="87"/>
        <v>457.03300000000002</v>
      </c>
      <c r="M274" s="42" t="s">
        <v>1796</v>
      </c>
      <c r="N274" s="52" t="str">
        <f t="shared" si="77"/>
        <v>(26,'PS-26-LZ2','Poste de Sectionnement n°26 LZ2','Friday-01-jj','Friday-01-jj',,1,),</v>
      </c>
    </row>
    <row r="275" spans="1:14" ht="20.100000000000001" customHeight="1" x14ac:dyDescent="0.25">
      <c r="A275" s="39">
        <v>27</v>
      </c>
      <c r="B275" s="40" t="str">
        <f t="shared" si="88"/>
        <v>PS-27-LZ2</v>
      </c>
      <c r="C275" s="52" t="str">
        <f t="shared" si="89"/>
        <v>Poste de Sectionnement n°27 LZ2</v>
      </c>
      <c r="D275" s="19">
        <v>40179</v>
      </c>
      <c r="E275" s="19">
        <v>40179</v>
      </c>
      <c r="F275" s="42"/>
      <c r="G275" s="42">
        <v>1</v>
      </c>
      <c r="H275" s="42"/>
      <c r="I275" s="42" t="s">
        <v>359</v>
      </c>
      <c r="J275" s="42" t="s">
        <v>1787</v>
      </c>
      <c r="K275" s="44">
        <f t="shared" si="86"/>
        <v>15</v>
      </c>
      <c r="L275" s="44">
        <f t="shared" si="87"/>
        <v>467.13200000000001</v>
      </c>
      <c r="M275" s="42" t="s">
        <v>1797</v>
      </c>
      <c r="N275" s="52" t="str">
        <f t="shared" si="77"/>
        <v>(27,'PS-27-LZ2','Poste de Sectionnement n°27 LZ2','Friday-01-jj','Friday-01-jj',,1,),</v>
      </c>
    </row>
    <row r="276" spans="1:14" ht="20.100000000000001" customHeight="1" x14ac:dyDescent="0.25">
      <c r="A276" s="39">
        <v>28</v>
      </c>
      <c r="B276" s="40" t="str">
        <f t="shared" si="88"/>
        <v>PS-28-LZ2</v>
      </c>
      <c r="C276" s="52" t="str">
        <f t="shared" si="89"/>
        <v>Poste de Sectionnement n°28 LZ2</v>
      </c>
      <c r="D276" s="19">
        <v>40179</v>
      </c>
      <c r="E276" s="19">
        <v>40179</v>
      </c>
      <c r="F276" s="42"/>
      <c r="G276" s="42">
        <v>1</v>
      </c>
      <c r="H276" s="42"/>
      <c r="I276" s="42" t="s">
        <v>359</v>
      </c>
      <c r="J276" s="42" t="s">
        <v>1788</v>
      </c>
      <c r="K276" s="44">
        <f t="shared" si="86"/>
        <v>8</v>
      </c>
      <c r="L276" s="44">
        <f t="shared" si="87"/>
        <v>477.35199999999998</v>
      </c>
      <c r="M276" s="42" t="s">
        <v>1798</v>
      </c>
      <c r="N276" s="52" t="str">
        <f t="shared" si="77"/>
        <v>(28,'PS-28-LZ2','Poste de Sectionnement n°28 LZ2','Friday-01-jj','Friday-01-jj',,1,),</v>
      </c>
    </row>
    <row r="277" spans="1:14" ht="20.100000000000001" customHeight="1" x14ac:dyDescent="0.25">
      <c r="A277" s="39">
        <v>29</v>
      </c>
      <c r="B277" s="40" t="str">
        <f t="shared" si="88"/>
        <v>PS-29-LZ2</v>
      </c>
      <c r="C277" s="52" t="str">
        <f t="shared" si="89"/>
        <v>Poste de Sectionnement n°29 LZ2</v>
      </c>
      <c r="D277" s="19">
        <v>40179</v>
      </c>
      <c r="E277" s="19">
        <v>40179</v>
      </c>
      <c r="F277" s="42"/>
      <c r="G277" s="42">
        <v>1</v>
      </c>
      <c r="H277" s="42"/>
      <c r="I277" s="42" t="s">
        <v>359</v>
      </c>
      <c r="J277" s="42" t="s">
        <v>1789</v>
      </c>
      <c r="K277" s="44">
        <f t="shared" si="86"/>
        <v>16</v>
      </c>
      <c r="L277" s="44">
        <f t="shared" si="87"/>
        <v>486.01299999999998</v>
      </c>
      <c r="M277" s="42" t="s">
        <v>1758</v>
      </c>
      <c r="N277" s="52" t="str">
        <f t="shared" ref="N277:N340" si="90">CONCATENATE("(",A277,",'",B277,"','",C277,"','",TEXT(D277,"aaaa-mm-jj"),"','",TEXT(E277,"aaaa-mm-jj"),"',",F277,",",G277,",",H277,"),")</f>
        <v>(29,'PS-29-LZ2','Poste de Sectionnement n°29 LZ2','Friday-01-jj','Friday-01-jj',,1,),</v>
      </c>
    </row>
    <row r="278" spans="1:14" ht="20.100000000000001" customHeight="1" x14ac:dyDescent="0.25">
      <c r="A278" s="39">
        <v>1</v>
      </c>
      <c r="B278" s="40" t="str">
        <f t="shared" si="88"/>
        <v>PS-01-LR1</v>
      </c>
      <c r="C278" s="52" t="str">
        <f t="shared" si="89"/>
        <v>Poste de Sectionnement n°01 LR1</v>
      </c>
      <c r="D278" s="19">
        <v>35065</v>
      </c>
      <c r="E278" s="19">
        <v>35065</v>
      </c>
      <c r="F278" s="42"/>
      <c r="G278" s="42">
        <v>1</v>
      </c>
      <c r="H278" s="42"/>
      <c r="I278" s="42" t="s">
        <v>362</v>
      </c>
      <c r="J278" s="42" t="s">
        <v>1801</v>
      </c>
      <c r="K278" s="44">
        <f t="shared" ref="K278:K289" si="91">VALUE(RIGHT(J278,LEN(J278)-SEARCH("/",J278)))</f>
        <v>709</v>
      </c>
      <c r="L278" s="44">
        <f t="shared" ref="L278:L289" si="92">VALUE(SUBSTITUTE(LEFT(J278,SEARCH("/",J278)-1),"+",","))</f>
        <v>20</v>
      </c>
      <c r="M278" s="42" t="s">
        <v>988</v>
      </c>
      <c r="N278" s="52" t="str">
        <f t="shared" si="90"/>
        <v>(1,'PS-01-LR1','Poste de Sectionnement n°01 LR1','Monday-01-jj','Monday-01-jj',,1,),</v>
      </c>
    </row>
    <row r="279" spans="1:14" ht="20.100000000000001" customHeight="1" x14ac:dyDescent="0.25">
      <c r="A279" s="39">
        <v>2</v>
      </c>
      <c r="B279" s="40" t="str">
        <f t="shared" si="88"/>
        <v>PS-02-LR1</v>
      </c>
      <c r="C279" s="52" t="str">
        <f t="shared" si="89"/>
        <v>Poste de Sectionnement n°02 LR1</v>
      </c>
      <c r="D279" s="19">
        <v>35065</v>
      </c>
      <c r="E279" s="19">
        <v>35065</v>
      </c>
      <c r="F279" s="42"/>
      <c r="G279" s="42">
        <v>1</v>
      </c>
      <c r="H279" s="42"/>
      <c r="I279" s="42" t="s">
        <v>362</v>
      </c>
      <c r="J279" s="42" t="s">
        <v>1802</v>
      </c>
      <c r="K279" s="44">
        <f t="shared" si="91"/>
        <v>694</v>
      </c>
      <c r="L279" s="44">
        <f t="shared" si="92"/>
        <v>40</v>
      </c>
      <c r="M279" s="42" t="s">
        <v>988</v>
      </c>
      <c r="N279" s="52" t="str">
        <f t="shared" si="90"/>
        <v>(2,'PS-02-LR1','Poste de Sectionnement n°02 LR1','Monday-01-jj','Monday-01-jj',,1,),</v>
      </c>
    </row>
    <row r="280" spans="1:14" ht="20.100000000000001" customHeight="1" x14ac:dyDescent="0.25">
      <c r="A280" s="39">
        <v>3</v>
      </c>
      <c r="B280" s="40" t="str">
        <f t="shared" ref="B280:B289" si="93">CONCATENATE("PS-",TEXT(A280,"00"),"-",I280)</f>
        <v>PS-03-LR1</v>
      </c>
      <c r="C280" s="52" t="str">
        <f t="shared" ref="C280:C289" si="94">CONCATENATE("Poste de Sectionnement n°",TEXT(A280,"00")," ",I280)</f>
        <v>Poste de Sectionnement n°03 LR1</v>
      </c>
      <c r="D280" s="19">
        <v>35065</v>
      </c>
      <c r="E280" s="19">
        <v>35065</v>
      </c>
      <c r="F280" s="42"/>
      <c r="G280" s="42">
        <v>1</v>
      </c>
      <c r="H280" s="42"/>
      <c r="I280" s="42" t="s">
        <v>362</v>
      </c>
      <c r="J280" s="42" t="s">
        <v>1803</v>
      </c>
      <c r="K280" s="44">
        <f t="shared" si="91"/>
        <v>662</v>
      </c>
      <c r="L280" s="44">
        <f t="shared" si="92"/>
        <v>60</v>
      </c>
      <c r="M280" s="42" t="s">
        <v>987</v>
      </c>
      <c r="N280" s="52" t="str">
        <f t="shared" si="90"/>
        <v>(3,'PS-03-LR1','Poste de Sectionnement n°03 LR1','Monday-01-jj','Monday-01-jj',,1,),</v>
      </c>
    </row>
    <row r="281" spans="1:14" ht="20.100000000000001" customHeight="1" x14ac:dyDescent="0.25">
      <c r="A281" s="39">
        <v>4</v>
      </c>
      <c r="B281" s="40" t="str">
        <f t="shared" si="93"/>
        <v>PS-04-LR1</v>
      </c>
      <c r="C281" s="52" t="str">
        <f t="shared" si="94"/>
        <v>Poste de Sectionnement n°04 LR1</v>
      </c>
      <c r="D281" s="19">
        <v>35065</v>
      </c>
      <c r="E281" s="19">
        <v>35065</v>
      </c>
      <c r="F281" s="42"/>
      <c r="G281" s="42">
        <v>1</v>
      </c>
      <c r="H281" s="42"/>
      <c r="I281" s="42" t="s">
        <v>362</v>
      </c>
      <c r="J281" s="42" t="s">
        <v>1804</v>
      </c>
      <c r="K281" s="44">
        <f t="shared" si="91"/>
        <v>558</v>
      </c>
      <c r="L281" s="44">
        <f t="shared" si="92"/>
        <v>118</v>
      </c>
      <c r="M281" s="42" t="s">
        <v>1812</v>
      </c>
      <c r="N281" s="52" t="str">
        <f t="shared" si="90"/>
        <v>(4,'PS-04-LR1','Poste de Sectionnement n°04 LR1','Monday-01-jj','Monday-01-jj',,1,),</v>
      </c>
    </row>
    <row r="282" spans="1:14" ht="20.100000000000001" customHeight="1" x14ac:dyDescent="0.25">
      <c r="A282" s="39">
        <v>5</v>
      </c>
      <c r="B282" s="40" t="str">
        <f t="shared" si="93"/>
        <v>PS-05-LR1</v>
      </c>
      <c r="C282" s="52" t="str">
        <f t="shared" si="94"/>
        <v>Poste de Sectionnement n°05 LR1</v>
      </c>
      <c r="D282" s="19">
        <v>35065</v>
      </c>
      <c r="E282" s="19">
        <v>35065</v>
      </c>
      <c r="F282" s="42"/>
      <c r="G282" s="42">
        <v>1</v>
      </c>
      <c r="H282" s="42"/>
      <c r="I282" s="42" t="s">
        <v>362</v>
      </c>
      <c r="J282" s="42" t="s">
        <v>1805</v>
      </c>
      <c r="K282" s="44">
        <f t="shared" si="91"/>
        <v>570</v>
      </c>
      <c r="L282" s="44">
        <f t="shared" si="92"/>
        <v>156</v>
      </c>
      <c r="M282" s="42" t="s">
        <v>1812</v>
      </c>
      <c r="N282" s="52" t="str">
        <f t="shared" si="90"/>
        <v>(5,'PS-05-LR1','Poste de Sectionnement n°05 LR1','Monday-01-jj','Monday-01-jj',,1,),</v>
      </c>
    </row>
    <row r="283" spans="1:14" ht="20.100000000000001" customHeight="1" x14ac:dyDescent="0.25">
      <c r="A283" s="39">
        <v>6</v>
      </c>
      <c r="B283" s="40" t="str">
        <f t="shared" si="93"/>
        <v>PS-06-LR1</v>
      </c>
      <c r="C283" s="52" t="str">
        <f t="shared" si="94"/>
        <v>Poste de Sectionnement n°06 LR1</v>
      </c>
      <c r="D283" s="19">
        <v>35065</v>
      </c>
      <c r="E283" s="19">
        <v>35065</v>
      </c>
      <c r="F283" s="42"/>
      <c r="G283" s="42">
        <v>1</v>
      </c>
      <c r="H283" s="42"/>
      <c r="I283" s="42" t="s">
        <v>362</v>
      </c>
      <c r="J283" s="42" t="s">
        <v>1806</v>
      </c>
      <c r="K283" s="44">
        <f t="shared" si="91"/>
        <v>540</v>
      </c>
      <c r="L283" s="44">
        <f t="shared" si="92"/>
        <v>195.6</v>
      </c>
      <c r="M283" s="42" t="s">
        <v>1812</v>
      </c>
      <c r="N283" s="52" t="str">
        <f t="shared" si="90"/>
        <v>(6,'PS-06-LR1','Poste de Sectionnement n°06 LR1','Monday-01-jj','Monday-01-jj',,1,),</v>
      </c>
    </row>
    <row r="284" spans="1:14" ht="20.100000000000001" customHeight="1" x14ac:dyDescent="0.25">
      <c r="A284" s="39">
        <v>7</v>
      </c>
      <c r="B284" s="40" t="str">
        <f t="shared" si="93"/>
        <v>PS-07-LR1</v>
      </c>
      <c r="C284" s="52" t="str">
        <f t="shared" si="94"/>
        <v>Poste de Sectionnement n°07 LR1</v>
      </c>
      <c r="D284" s="19">
        <v>35065</v>
      </c>
      <c r="E284" s="19">
        <v>35065</v>
      </c>
      <c r="F284" s="42"/>
      <c r="G284" s="42">
        <v>1</v>
      </c>
      <c r="H284" s="42"/>
      <c r="I284" s="42" t="s">
        <v>362</v>
      </c>
      <c r="J284" s="42" t="s">
        <v>1807</v>
      </c>
      <c r="K284" s="44">
        <f t="shared" si="91"/>
        <v>423</v>
      </c>
      <c r="L284" s="44">
        <f t="shared" si="92"/>
        <v>263.39999999999998</v>
      </c>
      <c r="M284" s="42" t="s">
        <v>1812</v>
      </c>
      <c r="N284" s="52" t="str">
        <f t="shared" si="90"/>
        <v>(7,'PS-07-LR1','Poste de Sectionnement n°07 LR1','Monday-01-jj','Monday-01-jj',,1,),</v>
      </c>
    </row>
    <row r="285" spans="1:14" ht="20.100000000000001" customHeight="1" x14ac:dyDescent="0.25">
      <c r="A285" s="39">
        <v>8</v>
      </c>
      <c r="B285" s="40" t="str">
        <f t="shared" si="93"/>
        <v>PS-08-LR1</v>
      </c>
      <c r="C285" s="52" t="str">
        <f t="shared" si="94"/>
        <v>Poste de Sectionnement n°08 LR1</v>
      </c>
      <c r="D285" s="19">
        <v>35065</v>
      </c>
      <c r="E285" s="19">
        <v>35065</v>
      </c>
      <c r="F285" s="42"/>
      <c r="G285" s="42">
        <v>1</v>
      </c>
      <c r="H285" s="42"/>
      <c r="I285" s="42" t="s">
        <v>362</v>
      </c>
      <c r="J285" s="42" t="s">
        <v>1808</v>
      </c>
      <c r="K285" s="44">
        <f t="shared" si="91"/>
        <v>348</v>
      </c>
      <c r="L285" s="44">
        <f t="shared" si="92"/>
        <v>298</v>
      </c>
      <c r="M285" s="42" t="s">
        <v>1812</v>
      </c>
      <c r="N285" s="52" t="str">
        <f t="shared" si="90"/>
        <v>(8,'PS-08-LR1','Poste de Sectionnement n°08 LR1','Monday-01-jj','Monday-01-jj',,1,),</v>
      </c>
    </row>
    <row r="286" spans="1:14" ht="20.100000000000001" customHeight="1" x14ac:dyDescent="0.25">
      <c r="A286" s="39">
        <v>9</v>
      </c>
      <c r="B286" s="40" t="str">
        <f t="shared" si="93"/>
        <v>PS-09-LR1</v>
      </c>
      <c r="C286" s="52" t="str">
        <f t="shared" si="94"/>
        <v>Poste de Sectionnement n°09 LR1</v>
      </c>
      <c r="D286" s="19">
        <v>35065</v>
      </c>
      <c r="E286" s="19">
        <v>35065</v>
      </c>
      <c r="F286" s="42"/>
      <c r="G286" s="42">
        <v>1</v>
      </c>
      <c r="H286" s="42"/>
      <c r="I286" s="42" t="s">
        <v>362</v>
      </c>
      <c r="J286" s="42" t="s">
        <v>1809</v>
      </c>
      <c r="K286" s="44">
        <f t="shared" si="91"/>
        <v>318</v>
      </c>
      <c r="L286" s="44">
        <f t="shared" si="92"/>
        <v>316.8</v>
      </c>
      <c r="M286" s="42" t="s">
        <v>1812</v>
      </c>
      <c r="N286" s="52" t="str">
        <f t="shared" si="90"/>
        <v>(9,'PS-09-LR1','Poste de Sectionnement n°09 LR1','Monday-01-jj','Monday-01-jj',,1,),</v>
      </c>
    </row>
    <row r="287" spans="1:14" ht="20.100000000000001" customHeight="1" x14ac:dyDescent="0.25">
      <c r="A287" s="39">
        <v>10</v>
      </c>
      <c r="B287" s="40" t="str">
        <f t="shared" si="93"/>
        <v>PS-10-LR1</v>
      </c>
      <c r="C287" s="52" t="str">
        <f t="shared" si="94"/>
        <v>Poste de Sectionnement n°10 LR1</v>
      </c>
      <c r="D287" s="19">
        <v>35065</v>
      </c>
      <c r="E287" s="19">
        <v>35065</v>
      </c>
      <c r="F287" s="42"/>
      <c r="G287" s="42">
        <v>1</v>
      </c>
      <c r="H287" s="42"/>
      <c r="I287" s="42" t="s">
        <v>362</v>
      </c>
      <c r="J287" s="42" t="s">
        <v>1810</v>
      </c>
      <c r="K287" s="44">
        <f t="shared" si="91"/>
        <v>300</v>
      </c>
      <c r="L287" s="44">
        <f t="shared" si="92"/>
        <v>357.8</v>
      </c>
      <c r="M287" s="42" t="s">
        <v>1812</v>
      </c>
      <c r="N287" s="52" t="str">
        <f t="shared" si="90"/>
        <v>(10,'PS-10-LR1','Poste de Sectionnement n°10 LR1','Monday-01-jj','Monday-01-jj',,1,),</v>
      </c>
    </row>
    <row r="288" spans="1:14" ht="20.100000000000001" customHeight="1" x14ac:dyDescent="0.25">
      <c r="A288" s="39">
        <v>11</v>
      </c>
      <c r="B288" s="40" t="str">
        <f t="shared" si="93"/>
        <v>PS-11-LR1</v>
      </c>
      <c r="C288" s="52" t="str">
        <f t="shared" si="94"/>
        <v>Poste de Sectionnement n°11 LR1</v>
      </c>
      <c r="D288" s="19">
        <v>35065</v>
      </c>
      <c r="E288" s="19">
        <v>35065</v>
      </c>
      <c r="F288" s="42"/>
      <c r="G288" s="42">
        <v>1</v>
      </c>
      <c r="H288" s="42"/>
      <c r="I288" s="42" t="s">
        <v>362</v>
      </c>
      <c r="J288" s="42" t="s">
        <v>1195</v>
      </c>
      <c r="K288" s="44">
        <f t="shared" si="91"/>
        <v>274</v>
      </c>
      <c r="L288" s="44">
        <f t="shared" si="92"/>
        <v>395.7</v>
      </c>
      <c r="M288" s="42" t="s">
        <v>1812</v>
      </c>
      <c r="N288" s="52" t="str">
        <f t="shared" si="90"/>
        <v>(11,'PS-11-LR1','Poste de Sectionnement n°11 LR1','Monday-01-jj','Monday-01-jj',,1,),</v>
      </c>
    </row>
    <row r="289" spans="1:14" ht="20.100000000000001" customHeight="1" x14ac:dyDescent="0.25">
      <c r="A289" s="39">
        <v>12</v>
      </c>
      <c r="B289" s="40" t="str">
        <f t="shared" si="93"/>
        <v>PS-12-LR1</v>
      </c>
      <c r="C289" s="52" t="str">
        <f t="shared" si="94"/>
        <v>Poste de Sectionnement n°12 LR1</v>
      </c>
      <c r="D289" s="19">
        <v>35065</v>
      </c>
      <c r="E289" s="19">
        <v>35065</v>
      </c>
      <c r="F289" s="42"/>
      <c r="G289" s="42">
        <v>1</v>
      </c>
      <c r="H289" s="42"/>
      <c r="I289" s="42" t="s">
        <v>362</v>
      </c>
      <c r="J289" s="42" t="s">
        <v>1811</v>
      </c>
      <c r="K289" s="44">
        <f t="shared" si="91"/>
        <v>240</v>
      </c>
      <c r="L289" s="44">
        <f t="shared" si="92"/>
        <v>448.8</v>
      </c>
      <c r="M289" s="42" t="s">
        <v>1812</v>
      </c>
      <c r="N289" s="52" t="str">
        <f t="shared" si="90"/>
        <v>(12,'PS-12-LR1','Poste de Sectionnement n°12 LR1','Monday-01-jj','Monday-01-jj',,1,),</v>
      </c>
    </row>
    <row r="290" spans="1:14" ht="20.100000000000001" customHeight="1" x14ac:dyDescent="0.25">
      <c r="A290" s="39">
        <v>13</v>
      </c>
      <c r="B290" s="40" t="str">
        <f t="shared" ref="B290:B312" si="95">CONCATENATE("PS-",TEXT(A290,"00"),"-",I290)</f>
        <v>PS-13-LR1</v>
      </c>
      <c r="C290" s="52" t="str">
        <f t="shared" ref="C290:C312" si="96">CONCATENATE("Poste de Sectionnement n°",TEXT(A290,"00")," ",I290)</f>
        <v>Poste de Sectionnement n°13 LR1</v>
      </c>
      <c r="D290" s="19">
        <v>35065</v>
      </c>
      <c r="E290" s="19">
        <v>35065</v>
      </c>
      <c r="F290" s="42"/>
      <c r="G290" s="42">
        <v>1</v>
      </c>
      <c r="H290" s="42"/>
      <c r="I290" s="42" t="s">
        <v>362</v>
      </c>
      <c r="J290" s="42" t="s">
        <v>1814</v>
      </c>
      <c r="K290" s="44">
        <f t="shared" ref="K290:K310" si="97">VALUE(RIGHT(J290,LEN(J290)-SEARCH("/",J290)))</f>
        <v>220</v>
      </c>
      <c r="L290" s="44">
        <f t="shared" ref="L290:L310" si="98">VALUE(SUBSTITUTE(LEFT(J290,SEARCH("/",J290)-1),"+",","))</f>
        <v>484.8</v>
      </c>
      <c r="M290" s="42" t="s">
        <v>1006</v>
      </c>
      <c r="N290" s="52" t="str">
        <f t="shared" si="90"/>
        <v>(13,'PS-13-LR1','Poste de Sectionnement n°13 LR1','Monday-01-jj','Monday-01-jj',,1,),</v>
      </c>
    </row>
    <row r="291" spans="1:14" ht="20.100000000000001" customHeight="1" x14ac:dyDescent="0.25">
      <c r="A291" s="39">
        <v>14</v>
      </c>
      <c r="B291" s="40" t="str">
        <f t="shared" si="95"/>
        <v>PS-14-LR1</v>
      </c>
      <c r="C291" s="52" t="str">
        <f t="shared" si="96"/>
        <v>Poste de Sectionnement n°14 LR1</v>
      </c>
      <c r="D291" s="19">
        <v>35065</v>
      </c>
      <c r="E291" s="19">
        <v>35065</v>
      </c>
      <c r="F291" s="42"/>
      <c r="G291" s="42">
        <v>1</v>
      </c>
      <c r="H291" s="42"/>
      <c r="I291" s="42" t="s">
        <v>362</v>
      </c>
      <c r="J291" s="42" t="s">
        <v>1815</v>
      </c>
      <c r="K291" s="44">
        <f t="shared" si="97"/>
        <v>198</v>
      </c>
      <c r="L291" s="44">
        <f t="shared" si="98"/>
        <v>524.29999999999995</v>
      </c>
      <c r="M291" s="42" t="s">
        <v>1006</v>
      </c>
      <c r="N291" s="52" t="str">
        <f t="shared" si="90"/>
        <v>(14,'PS-14-LR1','Poste de Sectionnement n°14 LR1','Monday-01-jj','Monday-01-jj',,1,),</v>
      </c>
    </row>
    <row r="292" spans="1:14" ht="20.100000000000001" customHeight="1" x14ac:dyDescent="0.25">
      <c r="A292" s="39">
        <v>15</v>
      </c>
      <c r="B292" s="40" t="str">
        <f t="shared" si="95"/>
        <v>PS-15-LR1</v>
      </c>
      <c r="C292" s="52" t="str">
        <f t="shared" si="96"/>
        <v>Poste de Sectionnement n°15 LR1</v>
      </c>
      <c r="D292" s="19">
        <v>35065</v>
      </c>
      <c r="E292" s="19">
        <v>35065</v>
      </c>
      <c r="F292" s="42"/>
      <c r="G292" s="42">
        <v>1</v>
      </c>
      <c r="H292" s="42"/>
      <c r="I292" s="42" t="s">
        <v>362</v>
      </c>
      <c r="J292" s="42" t="s">
        <v>1816</v>
      </c>
      <c r="K292" s="44">
        <f t="shared" si="97"/>
        <v>186</v>
      </c>
      <c r="L292" s="44">
        <f t="shared" si="98"/>
        <v>544.9</v>
      </c>
      <c r="M292" s="42" t="s">
        <v>1006</v>
      </c>
      <c r="N292" s="52" t="str">
        <f t="shared" si="90"/>
        <v>(15,'PS-15-LR1','Poste de Sectionnement n°15 LR1','Monday-01-jj','Monday-01-jj',,1,),</v>
      </c>
    </row>
    <row r="293" spans="1:14" ht="20.100000000000001" customHeight="1" x14ac:dyDescent="0.25">
      <c r="A293" s="39">
        <v>16</v>
      </c>
      <c r="B293" s="40" t="str">
        <f t="shared" si="95"/>
        <v>PS-16-LR1</v>
      </c>
      <c r="C293" s="52" t="str">
        <f t="shared" si="96"/>
        <v>Poste de Sectionnement n°16 LR1</v>
      </c>
      <c r="D293" s="19">
        <v>35065</v>
      </c>
      <c r="E293" s="19">
        <v>35065</v>
      </c>
      <c r="F293" s="42"/>
      <c r="G293" s="42">
        <v>1</v>
      </c>
      <c r="H293" s="42"/>
      <c r="I293" s="42" t="s">
        <v>362</v>
      </c>
      <c r="J293" s="42" t="s">
        <v>1817</v>
      </c>
      <c r="K293" s="44">
        <f t="shared" si="97"/>
        <v>178</v>
      </c>
      <c r="L293" s="44">
        <f t="shared" si="98"/>
        <v>565.6</v>
      </c>
      <c r="M293" s="42" t="s">
        <v>1006</v>
      </c>
      <c r="N293" s="52" t="str">
        <f t="shared" si="90"/>
        <v>(16,'PS-16-LR1','Poste de Sectionnement n°16 LR1','Monday-01-jj','Monday-01-jj',,1,),</v>
      </c>
    </row>
    <row r="294" spans="1:14" ht="20.100000000000001" customHeight="1" x14ac:dyDescent="0.25">
      <c r="A294" s="39">
        <v>17</v>
      </c>
      <c r="B294" s="40" t="str">
        <f t="shared" si="95"/>
        <v>PS-17-LR1</v>
      </c>
      <c r="C294" s="52" t="str">
        <f t="shared" si="96"/>
        <v>Poste de Sectionnement n°17 LR1</v>
      </c>
      <c r="D294" s="19">
        <v>35065</v>
      </c>
      <c r="E294" s="19">
        <v>35065</v>
      </c>
      <c r="F294" s="42"/>
      <c r="G294" s="42">
        <v>1</v>
      </c>
      <c r="H294" s="42"/>
      <c r="I294" s="42" t="s">
        <v>362</v>
      </c>
      <c r="J294" s="42" t="s">
        <v>1818</v>
      </c>
      <c r="K294" s="44">
        <f t="shared" si="97"/>
        <v>167</v>
      </c>
      <c r="L294" s="44">
        <f t="shared" si="98"/>
        <v>586.4</v>
      </c>
      <c r="M294" s="42" t="s">
        <v>1006</v>
      </c>
      <c r="N294" s="52" t="str">
        <f t="shared" si="90"/>
        <v>(17,'PS-17-LR1','Poste de Sectionnement n°17 LR1','Monday-01-jj','Monday-01-jj',,1,),</v>
      </c>
    </row>
    <row r="295" spans="1:14" ht="20.100000000000001" customHeight="1" x14ac:dyDescent="0.25">
      <c r="A295" s="39">
        <v>18</v>
      </c>
      <c r="B295" s="40" t="str">
        <f t="shared" si="95"/>
        <v>PS-18-LR1</v>
      </c>
      <c r="C295" s="52" t="str">
        <f t="shared" si="96"/>
        <v>Poste de Sectionnement n°18 LR1</v>
      </c>
      <c r="D295" s="19">
        <v>35065</v>
      </c>
      <c r="E295" s="19">
        <v>35065</v>
      </c>
      <c r="F295" s="42"/>
      <c r="G295" s="42">
        <v>1</v>
      </c>
      <c r="H295" s="42"/>
      <c r="I295" s="42" t="s">
        <v>362</v>
      </c>
      <c r="J295" s="42" t="s">
        <v>1819</v>
      </c>
      <c r="K295" s="44">
        <f t="shared" si="97"/>
        <v>160</v>
      </c>
      <c r="L295" s="44">
        <f t="shared" si="98"/>
        <v>604.29999999999995</v>
      </c>
      <c r="M295" s="42" t="s">
        <v>1006</v>
      </c>
      <c r="N295" s="52" t="str">
        <f t="shared" si="90"/>
        <v>(18,'PS-18-LR1','Poste de Sectionnement n°18 LR1','Monday-01-jj','Monday-01-jj',,1,),</v>
      </c>
    </row>
    <row r="296" spans="1:14" ht="20.100000000000001" customHeight="1" x14ac:dyDescent="0.25">
      <c r="A296" s="39">
        <v>19</v>
      </c>
      <c r="B296" s="40" t="str">
        <f t="shared" si="95"/>
        <v>PS-19-LR1</v>
      </c>
      <c r="C296" s="52" t="str">
        <f t="shared" si="96"/>
        <v>Poste de Sectionnement n°19 LR1</v>
      </c>
      <c r="D296" s="19">
        <v>35065</v>
      </c>
      <c r="E296" s="19">
        <v>35065</v>
      </c>
      <c r="F296" s="42"/>
      <c r="G296" s="42">
        <v>1</v>
      </c>
      <c r="H296" s="42"/>
      <c r="I296" s="42" t="s">
        <v>362</v>
      </c>
      <c r="J296" s="42" t="s">
        <v>1820</v>
      </c>
      <c r="K296" s="44">
        <f t="shared" si="97"/>
        <v>151</v>
      </c>
      <c r="L296" s="44">
        <f t="shared" si="98"/>
        <v>623.29999999999995</v>
      </c>
      <c r="M296" s="42" t="s">
        <v>1006</v>
      </c>
      <c r="N296" s="52" t="str">
        <f t="shared" si="90"/>
        <v>(19,'PS-19-LR1','Poste de Sectionnement n°19 LR1','Monday-01-jj','Monday-01-jj',,1,),</v>
      </c>
    </row>
    <row r="297" spans="1:14" ht="20.100000000000001" customHeight="1" x14ac:dyDescent="0.25">
      <c r="A297" s="39">
        <v>20</v>
      </c>
      <c r="B297" s="40" t="str">
        <f t="shared" si="95"/>
        <v>PS-20-LR1</v>
      </c>
      <c r="C297" s="52" t="str">
        <f t="shared" si="96"/>
        <v>Poste de Sectionnement n°20 LR1</v>
      </c>
      <c r="D297" s="19">
        <v>35065</v>
      </c>
      <c r="E297" s="19">
        <v>35065</v>
      </c>
      <c r="F297" s="42"/>
      <c r="G297" s="42">
        <v>1</v>
      </c>
      <c r="H297" s="42"/>
      <c r="I297" s="42" t="s">
        <v>362</v>
      </c>
      <c r="J297" s="42" t="s">
        <v>1198</v>
      </c>
      <c r="K297" s="44">
        <f t="shared" si="97"/>
        <v>167</v>
      </c>
      <c r="L297" s="44">
        <f t="shared" si="98"/>
        <v>653.5</v>
      </c>
      <c r="M297" s="42" t="s">
        <v>1006</v>
      </c>
      <c r="N297" s="52" t="str">
        <f t="shared" si="90"/>
        <v>(20,'PS-20-LR1','Poste de Sectionnement n°20 LR1','Monday-01-jj','Monday-01-jj',,1,),</v>
      </c>
    </row>
    <row r="298" spans="1:14" ht="20.100000000000001" customHeight="1" x14ac:dyDescent="0.25">
      <c r="A298" s="39" t="s">
        <v>1813</v>
      </c>
      <c r="B298" s="40" t="str">
        <f t="shared" si="95"/>
        <v>PS-20 Bis-LR1</v>
      </c>
      <c r="C298" s="52" t="str">
        <f t="shared" si="96"/>
        <v>Poste de Sectionnement n°20 Bis LR1</v>
      </c>
      <c r="D298" s="19">
        <v>35065</v>
      </c>
      <c r="E298" s="19">
        <v>35065</v>
      </c>
      <c r="F298" s="42"/>
      <c r="G298" s="42">
        <v>1</v>
      </c>
      <c r="H298" s="42"/>
      <c r="I298" s="42" t="s">
        <v>362</v>
      </c>
      <c r="J298" s="42" t="s">
        <v>1821</v>
      </c>
      <c r="K298" s="44">
        <f t="shared" si="97"/>
        <v>167</v>
      </c>
      <c r="L298" s="44">
        <f t="shared" si="98"/>
        <v>672.5</v>
      </c>
      <c r="M298" s="42" t="s">
        <v>1006</v>
      </c>
      <c r="N298" s="52" t="str">
        <f t="shared" si="90"/>
        <v>(20 Bis,'PS-20 Bis-LR1','Poste de Sectionnement n°20 Bis LR1','Monday-01-jj','Monday-01-jj',,1,),</v>
      </c>
    </row>
    <row r="299" spans="1:14" ht="20.100000000000001" customHeight="1" x14ac:dyDescent="0.25">
      <c r="A299" s="39">
        <v>21</v>
      </c>
      <c r="B299" s="40" t="str">
        <f t="shared" si="95"/>
        <v>PS-21-LR1</v>
      </c>
      <c r="C299" s="52" t="str">
        <f t="shared" si="96"/>
        <v>Poste de Sectionnement n°21 LR1</v>
      </c>
      <c r="D299" s="19">
        <v>35065</v>
      </c>
      <c r="E299" s="19">
        <v>35065</v>
      </c>
      <c r="F299" s="42"/>
      <c r="G299" s="42">
        <v>1</v>
      </c>
      <c r="H299" s="42"/>
      <c r="I299" s="42" t="s">
        <v>362</v>
      </c>
      <c r="J299" s="42" t="s">
        <v>1822</v>
      </c>
      <c r="K299" s="44">
        <f t="shared" si="97"/>
        <v>177</v>
      </c>
      <c r="L299" s="44">
        <f t="shared" si="98"/>
        <v>694.5</v>
      </c>
      <c r="M299" s="42" t="s">
        <v>752</v>
      </c>
      <c r="N299" s="52" t="str">
        <f t="shared" si="90"/>
        <v>(21,'PS-21-LR1','Poste de Sectionnement n°21 LR1','Monday-01-jj','Monday-01-jj',,1,),</v>
      </c>
    </row>
    <row r="300" spans="1:14" ht="20.100000000000001" customHeight="1" x14ac:dyDescent="0.25">
      <c r="A300" s="39">
        <v>22</v>
      </c>
      <c r="B300" s="40" t="str">
        <f t="shared" si="95"/>
        <v>PS-22-LR1</v>
      </c>
      <c r="C300" s="52" t="str">
        <f t="shared" si="96"/>
        <v>Poste de Sectionnement n°22 LR1</v>
      </c>
      <c r="D300" s="19">
        <v>35065</v>
      </c>
      <c r="E300" s="19">
        <v>35065</v>
      </c>
      <c r="F300" s="42"/>
      <c r="G300" s="42">
        <v>1</v>
      </c>
      <c r="H300" s="42"/>
      <c r="I300" s="42" t="s">
        <v>362</v>
      </c>
      <c r="J300" s="42" t="s">
        <v>1823</v>
      </c>
      <c r="K300" s="44">
        <f t="shared" si="97"/>
        <v>148</v>
      </c>
      <c r="L300" s="44">
        <f t="shared" si="98"/>
        <v>715.5</v>
      </c>
      <c r="M300" s="42" t="s">
        <v>750</v>
      </c>
      <c r="N300" s="52" t="str">
        <f t="shared" si="90"/>
        <v>(22,'PS-22-LR1','Poste de Sectionnement n°22 LR1','Monday-01-jj','Monday-01-jj',,1,),</v>
      </c>
    </row>
    <row r="301" spans="1:14" ht="20.100000000000001" customHeight="1" x14ac:dyDescent="0.25">
      <c r="A301" s="39">
        <v>23</v>
      </c>
      <c r="B301" s="40" t="str">
        <f t="shared" si="95"/>
        <v>PS-23-LR1</v>
      </c>
      <c r="C301" s="52" t="str">
        <f t="shared" si="96"/>
        <v>Poste de Sectionnement n°23 LR1</v>
      </c>
      <c r="D301" s="19">
        <v>35065</v>
      </c>
      <c r="E301" s="19">
        <v>35065</v>
      </c>
      <c r="F301" s="42"/>
      <c r="G301" s="42">
        <v>1</v>
      </c>
      <c r="H301" s="42"/>
      <c r="I301" s="42" t="s">
        <v>362</v>
      </c>
      <c r="J301" s="42" t="s">
        <v>1824</v>
      </c>
      <c r="K301" s="44">
        <f t="shared" si="97"/>
        <v>136</v>
      </c>
      <c r="L301" s="44">
        <f t="shared" si="98"/>
        <v>741.6</v>
      </c>
      <c r="M301" s="42" t="s">
        <v>1834</v>
      </c>
      <c r="N301" s="52" t="str">
        <f t="shared" si="90"/>
        <v>(23,'PS-23-LR1','Poste de Sectionnement n°23 LR1','Monday-01-jj','Monday-01-jj',,1,),</v>
      </c>
    </row>
    <row r="302" spans="1:14" ht="20.100000000000001" customHeight="1" x14ac:dyDescent="0.25">
      <c r="A302" s="39">
        <v>24</v>
      </c>
      <c r="B302" s="40" t="str">
        <f t="shared" si="95"/>
        <v>PS-24-LR1</v>
      </c>
      <c r="C302" s="52" t="str">
        <f t="shared" si="96"/>
        <v>Poste de Sectionnement n°24 LR1</v>
      </c>
      <c r="D302" s="19">
        <v>35065</v>
      </c>
      <c r="E302" s="19">
        <v>35065</v>
      </c>
      <c r="F302" s="42"/>
      <c r="G302" s="42">
        <v>1</v>
      </c>
      <c r="H302" s="42"/>
      <c r="I302" s="42" t="s">
        <v>362</v>
      </c>
      <c r="J302" s="42" t="s">
        <v>1825</v>
      </c>
      <c r="K302" s="44">
        <f t="shared" si="97"/>
        <v>160</v>
      </c>
      <c r="L302" s="44">
        <f t="shared" si="98"/>
        <v>769.5</v>
      </c>
      <c r="M302" s="42" t="s">
        <v>752</v>
      </c>
      <c r="N302" s="52" t="str">
        <f t="shared" si="90"/>
        <v>(24,'PS-24-LR1','Poste de Sectionnement n°24 LR1','Monday-01-jj','Monday-01-jj',,1,),</v>
      </c>
    </row>
    <row r="303" spans="1:14" ht="20.100000000000001" customHeight="1" x14ac:dyDescent="0.25">
      <c r="A303" s="39">
        <v>25</v>
      </c>
      <c r="B303" s="40" t="str">
        <f t="shared" si="95"/>
        <v>PS-25-LR1</v>
      </c>
      <c r="C303" s="52" t="str">
        <f t="shared" si="96"/>
        <v>Poste de Sectionnement n°25 LR1</v>
      </c>
      <c r="D303" s="19">
        <v>35065</v>
      </c>
      <c r="E303" s="19">
        <v>35065</v>
      </c>
      <c r="F303" s="42"/>
      <c r="G303" s="42">
        <v>1</v>
      </c>
      <c r="H303" s="42"/>
      <c r="I303" s="42" t="s">
        <v>362</v>
      </c>
      <c r="J303" s="42" t="s">
        <v>1826</v>
      </c>
      <c r="K303" s="44">
        <f t="shared" si="97"/>
        <v>318</v>
      </c>
      <c r="L303" s="44">
        <f t="shared" si="98"/>
        <v>837.6</v>
      </c>
      <c r="M303" s="42" t="s">
        <v>753</v>
      </c>
      <c r="N303" s="52" t="str">
        <f t="shared" si="90"/>
        <v>(25,'PS-25-LR1','Poste de Sectionnement n°25 LR1','Monday-01-jj','Monday-01-jj',,1,),</v>
      </c>
    </row>
    <row r="304" spans="1:14" ht="20.100000000000001" customHeight="1" x14ac:dyDescent="0.25">
      <c r="A304" s="39">
        <v>26</v>
      </c>
      <c r="B304" s="40" t="str">
        <f t="shared" si="95"/>
        <v>PS-26-LR1</v>
      </c>
      <c r="C304" s="52" t="str">
        <f t="shared" si="96"/>
        <v>Poste de Sectionnement n°26 LR1</v>
      </c>
      <c r="D304" s="19">
        <v>35065</v>
      </c>
      <c r="E304" s="19">
        <v>35065</v>
      </c>
      <c r="F304" s="42"/>
      <c r="G304" s="42">
        <v>1</v>
      </c>
      <c r="H304" s="42"/>
      <c r="I304" s="42" t="s">
        <v>362</v>
      </c>
      <c r="J304" s="42" t="s">
        <v>1827</v>
      </c>
      <c r="K304" s="44">
        <f t="shared" si="97"/>
        <v>352</v>
      </c>
      <c r="L304" s="44">
        <f t="shared" si="98"/>
        <v>857.5</v>
      </c>
      <c r="M304" s="42" t="s">
        <v>753</v>
      </c>
      <c r="N304" s="52" t="str">
        <f t="shared" si="90"/>
        <v>(26,'PS-26-LR1','Poste de Sectionnement n°26 LR1','Monday-01-jj','Monday-01-jj',,1,),</v>
      </c>
    </row>
    <row r="305" spans="1:14" ht="20.100000000000001" customHeight="1" x14ac:dyDescent="0.25">
      <c r="A305" s="39">
        <v>27</v>
      </c>
      <c r="B305" s="40" t="str">
        <f t="shared" si="95"/>
        <v>PS-27-LR1</v>
      </c>
      <c r="C305" s="52" t="str">
        <f t="shared" si="96"/>
        <v>Poste de Sectionnement n°27 LR1</v>
      </c>
      <c r="D305" s="19">
        <v>35065</v>
      </c>
      <c r="E305" s="19">
        <v>35065</v>
      </c>
      <c r="F305" s="42"/>
      <c r="G305" s="42">
        <v>1</v>
      </c>
      <c r="H305" s="42"/>
      <c r="I305" s="42" t="s">
        <v>362</v>
      </c>
      <c r="J305" s="42" t="s">
        <v>1828</v>
      </c>
      <c r="K305" s="44">
        <f t="shared" si="97"/>
        <v>412</v>
      </c>
      <c r="L305" s="44">
        <f t="shared" si="98"/>
        <v>878.5</v>
      </c>
      <c r="M305" s="42" t="s">
        <v>753</v>
      </c>
      <c r="N305" s="52" t="str">
        <f t="shared" si="90"/>
        <v>(27,'PS-27-LR1','Poste de Sectionnement n°27 LR1','Monday-01-jj','Monday-01-jj',,1,),</v>
      </c>
    </row>
    <row r="306" spans="1:14" ht="20.100000000000001" customHeight="1" x14ac:dyDescent="0.25">
      <c r="A306" s="39">
        <v>28</v>
      </c>
      <c r="B306" s="40" t="str">
        <f t="shared" si="95"/>
        <v>PS-28-LR1</v>
      </c>
      <c r="C306" s="52" t="str">
        <f t="shared" si="96"/>
        <v>Poste de Sectionnement n°28 LR1</v>
      </c>
      <c r="D306" s="19">
        <v>35065</v>
      </c>
      <c r="E306" s="19">
        <v>35065</v>
      </c>
      <c r="F306" s="42"/>
      <c r="G306" s="42">
        <v>1</v>
      </c>
      <c r="H306" s="42"/>
      <c r="I306" s="42" t="s">
        <v>362</v>
      </c>
      <c r="J306" s="42" t="s">
        <v>1829</v>
      </c>
      <c r="K306" s="44">
        <f t="shared" si="97"/>
        <v>496</v>
      </c>
      <c r="L306" s="44">
        <f t="shared" si="98"/>
        <v>900.7</v>
      </c>
      <c r="M306" s="42" t="s">
        <v>1835</v>
      </c>
      <c r="N306" s="52" t="str">
        <f t="shared" si="90"/>
        <v>(28,'PS-28-LR1','Poste de Sectionnement n°28 LR1','Monday-01-jj','Monday-01-jj',,1,),</v>
      </c>
    </row>
    <row r="307" spans="1:14" ht="20.100000000000001" customHeight="1" x14ac:dyDescent="0.25">
      <c r="A307" s="39">
        <v>29</v>
      </c>
      <c r="B307" s="40" t="str">
        <f t="shared" si="95"/>
        <v>PS-29-LR1</v>
      </c>
      <c r="C307" s="52" t="str">
        <f t="shared" si="96"/>
        <v>Poste de Sectionnement n°29 LR1</v>
      </c>
      <c r="D307" s="19">
        <v>35065</v>
      </c>
      <c r="E307" s="19">
        <v>35065</v>
      </c>
      <c r="F307" s="42"/>
      <c r="G307" s="42">
        <v>1</v>
      </c>
      <c r="H307" s="42"/>
      <c r="I307" s="42" t="s">
        <v>362</v>
      </c>
      <c r="J307" s="42" t="s">
        <v>1830</v>
      </c>
      <c r="K307" s="44">
        <f t="shared" si="97"/>
        <v>558</v>
      </c>
      <c r="L307" s="44">
        <f t="shared" si="98"/>
        <v>918.3</v>
      </c>
      <c r="M307" s="42" t="s">
        <v>1836</v>
      </c>
      <c r="N307" s="52" t="str">
        <f t="shared" si="90"/>
        <v>(29,'PS-29-LR1','Poste de Sectionnement n°29 LR1','Monday-01-jj','Monday-01-jj',,1,),</v>
      </c>
    </row>
    <row r="308" spans="1:14" ht="20.100000000000001" customHeight="1" x14ac:dyDescent="0.25">
      <c r="A308" s="39">
        <v>30</v>
      </c>
      <c r="B308" s="40" t="str">
        <f t="shared" si="95"/>
        <v>PS-30-LR1</v>
      </c>
      <c r="C308" s="52" t="str">
        <f t="shared" si="96"/>
        <v>Poste de Sectionnement n°30 LR1</v>
      </c>
      <c r="D308" s="19">
        <v>35065</v>
      </c>
      <c r="E308" s="19">
        <v>35065</v>
      </c>
      <c r="F308" s="42"/>
      <c r="G308" s="42">
        <v>1</v>
      </c>
      <c r="H308" s="42"/>
      <c r="I308" s="42" t="s">
        <v>362</v>
      </c>
      <c r="J308" s="42" t="s">
        <v>1831</v>
      </c>
      <c r="K308" s="44">
        <f t="shared" si="97"/>
        <v>626</v>
      </c>
      <c r="L308" s="44">
        <f t="shared" si="98"/>
        <v>936.6</v>
      </c>
      <c r="M308" s="42" t="s">
        <v>1837</v>
      </c>
      <c r="N308" s="52" t="str">
        <f t="shared" si="90"/>
        <v>(30,'PS-30-LR1','Poste de Sectionnement n°30 LR1','Monday-01-jj','Monday-01-jj',,1,),</v>
      </c>
    </row>
    <row r="309" spans="1:14" ht="20.100000000000001" customHeight="1" x14ac:dyDescent="0.25">
      <c r="A309" s="39">
        <v>31</v>
      </c>
      <c r="B309" s="40" t="str">
        <f t="shared" si="95"/>
        <v>PS-31-LR1</v>
      </c>
      <c r="C309" s="52" t="str">
        <f t="shared" si="96"/>
        <v>Poste de Sectionnement n°31 LR1</v>
      </c>
      <c r="D309" s="19">
        <v>35065</v>
      </c>
      <c r="E309" s="19">
        <v>35065</v>
      </c>
      <c r="F309" s="42"/>
      <c r="G309" s="42">
        <v>1</v>
      </c>
      <c r="H309" s="42"/>
      <c r="I309" s="42" t="s">
        <v>362</v>
      </c>
      <c r="J309" s="42" t="s">
        <v>1832</v>
      </c>
      <c r="K309" s="44">
        <f t="shared" si="97"/>
        <v>708</v>
      </c>
      <c r="L309" s="44">
        <f t="shared" si="98"/>
        <v>954.3</v>
      </c>
      <c r="M309" s="42" t="s">
        <v>1837</v>
      </c>
      <c r="N309" s="52" t="str">
        <f t="shared" si="90"/>
        <v>(31,'PS-31-LR1','Poste de Sectionnement n°31 LR1','Monday-01-jj','Monday-01-jj',,1,),</v>
      </c>
    </row>
    <row r="310" spans="1:14" ht="20.100000000000001" customHeight="1" x14ac:dyDescent="0.25">
      <c r="A310" s="39">
        <v>32</v>
      </c>
      <c r="B310" s="40" t="str">
        <f t="shared" si="95"/>
        <v>PS-32-LR1</v>
      </c>
      <c r="C310" s="52" t="str">
        <f t="shared" si="96"/>
        <v>Poste de Sectionnement n°32 LR1</v>
      </c>
      <c r="D310" s="19">
        <v>35065</v>
      </c>
      <c r="E310" s="19">
        <v>35065</v>
      </c>
      <c r="F310" s="42"/>
      <c r="G310" s="42">
        <v>1</v>
      </c>
      <c r="H310" s="42"/>
      <c r="I310" s="42" t="s">
        <v>362</v>
      </c>
      <c r="J310" s="42" t="s">
        <v>1833</v>
      </c>
      <c r="K310" s="44">
        <f t="shared" si="97"/>
        <v>770</v>
      </c>
      <c r="L310" s="44">
        <f t="shared" si="98"/>
        <v>971.3</v>
      </c>
      <c r="M310" s="42" t="s">
        <v>1838</v>
      </c>
      <c r="N310" s="52" t="str">
        <f t="shared" si="90"/>
        <v>(32,'PS-32-LR1','Poste de Sectionnement n°32 LR1','Monday-01-jj','Monday-01-jj',,1,),</v>
      </c>
    </row>
    <row r="311" spans="1:14" ht="20.100000000000001" customHeight="1" x14ac:dyDescent="0.25">
      <c r="A311" s="39">
        <v>1</v>
      </c>
      <c r="B311" s="40" t="str">
        <f t="shared" si="95"/>
        <v>PS-01-DLR1</v>
      </c>
      <c r="C311" s="52" t="str">
        <f t="shared" si="96"/>
        <v>Poste de Sectionnement n°01 DLR1</v>
      </c>
      <c r="D311" s="19">
        <v>38182</v>
      </c>
      <c r="E311" s="19">
        <v>38182</v>
      </c>
      <c r="F311" s="42"/>
      <c r="G311" s="42">
        <v>1</v>
      </c>
      <c r="H311" s="42"/>
      <c r="I311" s="42" t="s">
        <v>365</v>
      </c>
      <c r="J311" s="42" t="s">
        <v>1839</v>
      </c>
      <c r="K311" s="44">
        <f t="shared" ref="K311:K335" si="99">VALUE(RIGHT(J311,LEN(J311)-SEARCH("/",J311)))</f>
        <v>558</v>
      </c>
      <c r="L311" s="44">
        <f t="shared" ref="L311:L335" si="100">VALUE(SUBSTITUTE(LEFT(J311,SEARCH("/",J311)-1),"+",","))</f>
        <v>18</v>
      </c>
      <c r="M311" s="42" t="s">
        <v>988</v>
      </c>
      <c r="N311" s="52" t="str">
        <f t="shared" si="90"/>
        <v>(1,'PS-01-DLR1','Poste de Sectionnement n°01 DLR1','Wednesday-07-jj','Wednesday-07-jj',,1,),</v>
      </c>
    </row>
    <row r="312" spans="1:14" ht="20.100000000000001" customHeight="1" x14ac:dyDescent="0.25">
      <c r="A312" s="39">
        <v>2</v>
      </c>
      <c r="B312" s="40" t="str">
        <f t="shared" si="95"/>
        <v>PS-02-DLR1</v>
      </c>
      <c r="C312" s="52" t="str">
        <f t="shared" si="96"/>
        <v>Poste de Sectionnement n°02 DLR1</v>
      </c>
      <c r="D312" s="19">
        <v>38182</v>
      </c>
      <c r="E312" s="19">
        <v>38182</v>
      </c>
      <c r="F312" s="42"/>
      <c r="G312" s="42">
        <v>1</v>
      </c>
      <c r="H312" s="42"/>
      <c r="I312" s="42" t="s">
        <v>365</v>
      </c>
      <c r="J312" s="42" t="s">
        <v>1840</v>
      </c>
      <c r="K312" s="44">
        <f t="shared" si="99"/>
        <v>570</v>
      </c>
      <c r="L312" s="44">
        <f t="shared" si="100"/>
        <v>54</v>
      </c>
      <c r="M312" s="42" t="s">
        <v>988</v>
      </c>
      <c r="N312" s="52" t="str">
        <f t="shared" si="90"/>
        <v>(2,'PS-02-DLR1','Poste de Sectionnement n°02 DLR1','Wednesday-07-jj','Wednesday-07-jj',,1,),</v>
      </c>
    </row>
    <row r="313" spans="1:14" ht="20.100000000000001" customHeight="1" x14ac:dyDescent="0.25">
      <c r="A313" s="39">
        <v>3</v>
      </c>
      <c r="B313" s="40" t="str">
        <f t="shared" ref="B313:B337" si="101">CONCATENATE("PS-",TEXT(A313,"00"),"-",I313)</f>
        <v>PS-03-DLR1</v>
      </c>
      <c r="C313" s="52" t="str">
        <f t="shared" ref="C313:C337" si="102">CONCATENATE("Poste de Sectionnement n°",TEXT(A313,"00")," ",I313)</f>
        <v>Poste de Sectionnement n°03 DLR1</v>
      </c>
      <c r="D313" s="19">
        <v>38182</v>
      </c>
      <c r="E313" s="19">
        <v>38182</v>
      </c>
      <c r="F313" s="42"/>
      <c r="G313" s="42">
        <v>1</v>
      </c>
      <c r="H313" s="42"/>
      <c r="I313" s="42" t="s">
        <v>365</v>
      </c>
      <c r="J313" s="42" t="s">
        <v>1841</v>
      </c>
      <c r="K313" s="44">
        <f t="shared" si="99"/>
        <v>540</v>
      </c>
      <c r="L313" s="44">
        <f t="shared" si="100"/>
        <v>93</v>
      </c>
      <c r="M313" s="42" t="s">
        <v>1812</v>
      </c>
      <c r="N313" s="52" t="str">
        <f t="shared" si="90"/>
        <v>(3,'PS-03-DLR1','Poste de Sectionnement n°03 DLR1','Wednesday-07-jj','Wednesday-07-jj',,1,),</v>
      </c>
    </row>
    <row r="314" spans="1:14" ht="20.100000000000001" customHeight="1" x14ac:dyDescent="0.25">
      <c r="A314" s="39">
        <v>4</v>
      </c>
      <c r="B314" s="40" t="str">
        <f t="shared" si="101"/>
        <v>PS-04-DLR1</v>
      </c>
      <c r="C314" s="52" t="str">
        <f t="shared" si="102"/>
        <v>Poste de Sectionnement n°04 DLR1</v>
      </c>
      <c r="D314" s="19">
        <v>38264</v>
      </c>
      <c r="E314" s="19">
        <v>38264</v>
      </c>
      <c r="F314" s="42"/>
      <c r="G314" s="42">
        <v>1</v>
      </c>
      <c r="H314" s="42"/>
      <c r="I314" s="42" t="s">
        <v>365</v>
      </c>
      <c r="J314" s="42" t="s">
        <v>1842</v>
      </c>
      <c r="K314" s="44">
        <f t="shared" si="99"/>
        <v>423</v>
      </c>
      <c r="L314" s="44">
        <f t="shared" si="100"/>
        <v>161</v>
      </c>
      <c r="M314" s="42" t="s">
        <v>1812</v>
      </c>
      <c r="N314" s="52" t="str">
        <f t="shared" si="90"/>
        <v>(4,'PS-04-DLR1','Poste de Sectionnement n°04 DLR1','Monday-10-jj','Monday-10-jj',,1,),</v>
      </c>
    </row>
    <row r="315" spans="1:14" ht="20.100000000000001" customHeight="1" x14ac:dyDescent="0.25">
      <c r="A315" s="39">
        <v>5</v>
      </c>
      <c r="B315" s="40" t="str">
        <f t="shared" si="101"/>
        <v>PS-05-DLR1</v>
      </c>
      <c r="C315" s="52" t="str">
        <f t="shared" si="102"/>
        <v>Poste de Sectionnement n°05 DLR1</v>
      </c>
      <c r="D315" s="19">
        <v>38264</v>
      </c>
      <c r="E315" s="19">
        <v>38264</v>
      </c>
      <c r="F315" s="42"/>
      <c r="G315" s="42">
        <v>1</v>
      </c>
      <c r="H315" s="42"/>
      <c r="I315" s="42" t="s">
        <v>365</v>
      </c>
      <c r="J315" s="42" t="s">
        <v>1843</v>
      </c>
      <c r="K315" s="44">
        <f t="shared" si="99"/>
        <v>348</v>
      </c>
      <c r="L315" s="44">
        <f t="shared" si="100"/>
        <v>196</v>
      </c>
      <c r="M315" s="42" t="s">
        <v>1812</v>
      </c>
      <c r="N315" s="52" t="str">
        <f t="shared" si="90"/>
        <v>(5,'PS-05-DLR1','Poste de Sectionnement n°05 DLR1','Monday-10-jj','Monday-10-jj',,1,),</v>
      </c>
    </row>
    <row r="316" spans="1:14" ht="20.100000000000001" customHeight="1" x14ac:dyDescent="0.25">
      <c r="A316" s="39">
        <v>6</v>
      </c>
      <c r="B316" s="40" t="str">
        <f t="shared" si="101"/>
        <v>PS-06-DLR1</v>
      </c>
      <c r="C316" s="52" t="str">
        <f t="shared" si="102"/>
        <v>Poste de Sectionnement n°06 DLR1</v>
      </c>
      <c r="D316" s="19">
        <v>38264</v>
      </c>
      <c r="E316" s="19">
        <v>38264</v>
      </c>
      <c r="F316" s="42"/>
      <c r="G316" s="42">
        <v>1</v>
      </c>
      <c r="H316" s="42"/>
      <c r="I316" s="42" t="s">
        <v>365</v>
      </c>
      <c r="J316" s="42" t="s">
        <v>1844</v>
      </c>
      <c r="K316" s="44">
        <f t="shared" si="99"/>
        <v>318</v>
      </c>
      <c r="L316" s="44">
        <f t="shared" si="100"/>
        <v>214</v>
      </c>
      <c r="M316" s="42" t="s">
        <v>1812</v>
      </c>
      <c r="N316" s="52" t="str">
        <f t="shared" si="90"/>
        <v>(6,'PS-06-DLR1','Poste de Sectionnement n°06 DLR1','Monday-10-jj','Monday-10-jj',,1,),</v>
      </c>
    </row>
    <row r="317" spans="1:14" ht="20.100000000000001" customHeight="1" x14ac:dyDescent="0.25">
      <c r="A317" s="39">
        <v>7</v>
      </c>
      <c r="B317" s="40" t="str">
        <f t="shared" si="101"/>
        <v>PS-07-DLR1</v>
      </c>
      <c r="C317" s="52" t="str">
        <f t="shared" si="102"/>
        <v>Poste de Sectionnement n°07 DLR1</v>
      </c>
      <c r="D317" s="19">
        <v>38264</v>
      </c>
      <c r="E317" s="19">
        <v>38264</v>
      </c>
      <c r="F317" s="42"/>
      <c r="G317" s="42">
        <v>1</v>
      </c>
      <c r="H317" s="42"/>
      <c r="I317" s="42" t="s">
        <v>365</v>
      </c>
      <c r="J317" s="42" t="s">
        <v>1845</v>
      </c>
      <c r="K317" s="44">
        <f t="shared" si="99"/>
        <v>300</v>
      </c>
      <c r="L317" s="44">
        <f t="shared" si="100"/>
        <v>255</v>
      </c>
      <c r="M317" s="42" t="s">
        <v>1812</v>
      </c>
      <c r="N317" s="52" t="str">
        <f t="shared" si="90"/>
        <v>(7,'PS-07-DLR1','Poste de Sectionnement n°07 DLR1','Monday-10-jj','Monday-10-jj',,1,),</v>
      </c>
    </row>
    <row r="318" spans="1:14" ht="20.100000000000001" customHeight="1" x14ac:dyDescent="0.25">
      <c r="A318" s="39">
        <v>8</v>
      </c>
      <c r="B318" s="40" t="str">
        <f t="shared" si="101"/>
        <v>PS-08-DLR1</v>
      </c>
      <c r="C318" s="52" t="str">
        <f t="shared" si="102"/>
        <v>Poste de Sectionnement n°08 DLR1</v>
      </c>
      <c r="D318" s="19">
        <v>38264</v>
      </c>
      <c r="E318" s="19">
        <v>38264</v>
      </c>
      <c r="F318" s="42"/>
      <c r="G318" s="42">
        <v>1</v>
      </c>
      <c r="H318" s="42"/>
      <c r="I318" s="42" t="s">
        <v>365</v>
      </c>
      <c r="J318" s="42" t="s">
        <v>1846</v>
      </c>
      <c r="K318" s="44">
        <f t="shared" si="99"/>
        <v>274</v>
      </c>
      <c r="L318" s="44">
        <f t="shared" si="100"/>
        <v>294</v>
      </c>
      <c r="M318" s="42" t="s">
        <v>1812</v>
      </c>
      <c r="N318" s="52" t="str">
        <f t="shared" si="90"/>
        <v>(8,'PS-08-DLR1','Poste de Sectionnement n°08 DLR1','Monday-10-jj','Monday-10-jj',,1,),</v>
      </c>
    </row>
    <row r="319" spans="1:14" ht="20.100000000000001" customHeight="1" x14ac:dyDescent="0.25">
      <c r="A319" s="39">
        <v>9</v>
      </c>
      <c r="B319" s="40" t="str">
        <f t="shared" si="101"/>
        <v>PS-09-DLR1</v>
      </c>
      <c r="C319" s="52" t="str">
        <f t="shared" si="102"/>
        <v>Poste de Sectionnement n°09 DLR1</v>
      </c>
      <c r="D319" s="19">
        <v>38264</v>
      </c>
      <c r="E319" s="19">
        <v>38264</v>
      </c>
      <c r="F319" s="42"/>
      <c r="G319" s="42">
        <v>1</v>
      </c>
      <c r="H319" s="42"/>
      <c r="I319" s="42" t="s">
        <v>365</v>
      </c>
      <c r="J319" s="42" t="s">
        <v>1847</v>
      </c>
      <c r="K319" s="44">
        <f t="shared" si="99"/>
        <v>240</v>
      </c>
      <c r="L319" s="44">
        <f t="shared" si="100"/>
        <v>346</v>
      </c>
      <c r="M319" s="42" t="s">
        <v>1812</v>
      </c>
      <c r="N319" s="52" t="str">
        <f t="shared" si="90"/>
        <v>(9,'PS-09-DLR1','Poste de Sectionnement n°09 DLR1','Monday-10-jj','Monday-10-jj',,1,),</v>
      </c>
    </row>
    <row r="320" spans="1:14" ht="20.100000000000001" customHeight="1" x14ac:dyDescent="0.25">
      <c r="A320" s="39">
        <v>10</v>
      </c>
      <c r="B320" s="40" t="str">
        <f t="shared" si="101"/>
        <v>PS-10-DLR1</v>
      </c>
      <c r="C320" s="52" t="str">
        <f t="shared" si="102"/>
        <v>Poste de Sectionnement n°10 DLR1</v>
      </c>
      <c r="D320" s="19">
        <v>38264</v>
      </c>
      <c r="E320" s="19">
        <v>38264</v>
      </c>
      <c r="F320" s="42"/>
      <c r="G320" s="42">
        <v>1</v>
      </c>
      <c r="H320" s="42"/>
      <c r="I320" s="42" t="s">
        <v>365</v>
      </c>
      <c r="J320" s="42" t="s">
        <v>1848</v>
      </c>
      <c r="K320" s="44">
        <f t="shared" si="99"/>
        <v>220</v>
      </c>
      <c r="L320" s="44">
        <f t="shared" si="100"/>
        <v>382</v>
      </c>
      <c r="M320" s="42" t="s">
        <v>1812</v>
      </c>
      <c r="N320" s="52" t="str">
        <f t="shared" si="90"/>
        <v>(10,'PS-10-DLR1','Poste de Sectionnement n°10 DLR1','Monday-10-jj','Monday-10-jj',,1,),</v>
      </c>
    </row>
    <row r="321" spans="1:14" ht="20.100000000000001" customHeight="1" x14ac:dyDescent="0.25">
      <c r="A321" s="39">
        <v>1</v>
      </c>
      <c r="B321" s="40" t="str">
        <f t="shared" si="101"/>
        <v>PS-01-ELR1</v>
      </c>
      <c r="C321" s="52" t="str">
        <f t="shared" si="102"/>
        <v>Poste de Sectionnement n°01 ELR1</v>
      </c>
      <c r="D321" s="19">
        <v>41640</v>
      </c>
      <c r="E321" s="19">
        <v>41640</v>
      </c>
      <c r="F321" s="42"/>
      <c r="G321" s="42">
        <v>1</v>
      </c>
      <c r="H321" s="42"/>
      <c r="I321" s="42" t="s">
        <v>368</v>
      </c>
      <c r="J321" s="42" t="s">
        <v>1849</v>
      </c>
      <c r="K321" s="44">
        <f t="shared" si="99"/>
        <v>163</v>
      </c>
      <c r="L321" s="44">
        <f t="shared" si="100"/>
        <v>19</v>
      </c>
      <c r="M321" s="42" t="s">
        <v>1006</v>
      </c>
      <c r="N321" s="52" t="str">
        <f t="shared" si="90"/>
        <v>(1,'PS-01-ELR1','Poste de Sectionnement n°01 ELR1','Wednesday-01-jj','Wednesday-01-jj',,1,),</v>
      </c>
    </row>
    <row r="322" spans="1:14" ht="20.100000000000001" customHeight="1" x14ac:dyDescent="0.25">
      <c r="A322" s="39">
        <v>2</v>
      </c>
      <c r="B322" s="40" t="str">
        <f t="shared" si="101"/>
        <v>PS-02-ELR1</v>
      </c>
      <c r="C322" s="52" t="str">
        <f t="shared" si="102"/>
        <v>Poste de Sectionnement n°02 ELR1</v>
      </c>
      <c r="D322" s="19">
        <v>41640</v>
      </c>
      <c r="E322" s="19">
        <v>41640</v>
      </c>
      <c r="F322" s="42"/>
      <c r="G322" s="42">
        <v>1</v>
      </c>
      <c r="H322" s="42"/>
      <c r="I322" s="42" t="s">
        <v>368</v>
      </c>
      <c r="J322" s="42" t="s">
        <v>1850</v>
      </c>
      <c r="K322" s="44">
        <f t="shared" si="99"/>
        <v>177</v>
      </c>
      <c r="L322" s="44">
        <f t="shared" si="100"/>
        <v>41</v>
      </c>
      <c r="M322" s="42" t="s">
        <v>1864</v>
      </c>
      <c r="N322" s="52" t="str">
        <f t="shared" si="90"/>
        <v>(2,'PS-02-ELR1','Poste de Sectionnement n°02 ELR1','Wednesday-01-jj','Wednesday-01-jj',,1,),</v>
      </c>
    </row>
    <row r="323" spans="1:14" ht="20.100000000000001" customHeight="1" x14ac:dyDescent="0.25">
      <c r="A323" s="39">
        <v>3</v>
      </c>
      <c r="B323" s="40" t="str">
        <f t="shared" si="101"/>
        <v>PS-03-ELR1</v>
      </c>
      <c r="C323" s="52" t="str">
        <f t="shared" si="102"/>
        <v>Poste de Sectionnement n°03 ELR1</v>
      </c>
      <c r="D323" s="19">
        <v>41640</v>
      </c>
      <c r="E323" s="19">
        <v>41640</v>
      </c>
      <c r="F323" s="42"/>
      <c r="G323" s="42">
        <v>1</v>
      </c>
      <c r="H323" s="42"/>
      <c r="I323" s="42" t="s">
        <v>368</v>
      </c>
      <c r="J323" s="42" t="s">
        <v>1851</v>
      </c>
      <c r="K323" s="44">
        <f t="shared" si="99"/>
        <v>147</v>
      </c>
      <c r="L323" s="44">
        <f t="shared" si="100"/>
        <v>63</v>
      </c>
      <c r="M323" s="42" t="s">
        <v>1864</v>
      </c>
      <c r="N323" s="52" t="str">
        <f t="shared" si="90"/>
        <v>(3,'PS-03-ELR1','Poste de Sectionnement n°03 ELR1','Wednesday-01-jj','Wednesday-01-jj',,1,),</v>
      </c>
    </row>
    <row r="324" spans="1:14" ht="20.100000000000001" customHeight="1" x14ac:dyDescent="0.25">
      <c r="A324" s="39">
        <v>4</v>
      </c>
      <c r="B324" s="40" t="str">
        <f t="shared" si="101"/>
        <v>PS-04-ELR1</v>
      </c>
      <c r="C324" s="52" t="str">
        <f t="shared" si="102"/>
        <v>Poste de Sectionnement n°04 ELR1</v>
      </c>
      <c r="D324" s="19">
        <v>41640</v>
      </c>
      <c r="E324" s="19">
        <v>41640</v>
      </c>
      <c r="F324" s="42"/>
      <c r="G324" s="42">
        <v>1</v>
      </c>
      <c r="H324" s="42"/>
      <c r="I324" s="42" t="s">
        <v>368</v>
      </c>
      <c r="J324" s="42" t="s">
        <v>1852</v>
      </c>
      <c r="K324" s="44">
        <f t="shared" si="99"/>
        <v>140</v>
      </c>
      <c r="L324" s="44">
        <f t="shared" si="100"/>
        <v>84.016999999999996</v>
      </c>
      <c r="M324" s="42" t="s">
        <v>750</v>
      </c>
      <c r="N324" s="52" t="str">
        <f t="shared" si="90"/>
        <v>(4,'PS-04-ELR1','Poste de Sectionnement n°04 ELR1','Wednesday-01-jj','Wednesday-01-jj',,1,),</v>
      </c>
    </row>
    <row r="325" spans="1:14" ht="20.100000000000001" customHeight="1" x14ac:dyDescent="0.25">
      <c r="A325" s="39">
        <v>5</v>
      </c>
      <c r="B325" s="40" t="str">
        <f t="shared" si="101"/>
        <v>PS-05-ELR1</v>
      </c>
      <c r="C325" s="52" t="str">
        <f t="shared" si="102"/>
        <v>Poste de Sectionnement n°05 ELR1</v>
      </c>
      <c r="D325" s="19">
        <v>41640</v>
      </c>
      <c r="E325" s="19">
        <v>41640</v>
      </c>
      <c r="F325" s="42"/>
      <c r="G325" s="42">
        <v>1</v>
      </c>
      <c r="H325" s="42"/>
      <c r="I325" s="42" t="s">
        <v>368</v>
      </c>
      <c r="J325" s="42" t="s">
        <v>1853</v>
      </c>
      <c r="K325" s="44">
        <f t="shared" si="99"/>
        <v>220</v>
      </c>
      <c r="L325" s="44">
        <f t="shared" si="100"/>
        <v>101.80200000000001</v>
      </c>
      <c r="M325" s="42" t="s">
        <v>752</v>
      </c>
      <c r="N325" s="52" t="str">
        <f t="shared" si="90"/>
        <v>(5,'PS-05-ELR1','Poste de Sectionnement n°05 ELR1','Wednesday-01-jj','Wednesday-01-jj',,1,),</v>
      </c>
    </row>
    <row r="326" spans="1:14" ht="20.100000000000001" customHeight="1" x14ac:dyDescent="0.25">
      <c r="A326" s="39">
        <v>6</v>
      </c>
      <c r="B326" s="40" t="str">
        <f t="shared" si="101"/>
        <v>PS-06-ELR1</v>
      </c>
      <c r="C326" s="52" t="str">
        <f t="shared" si="102"/>
        <v>Poste de Sectionnement n°06 ELR1</v>
      </c>
      <c r="D326" s="19">
        <v>41640</v>
      </c>
      <c r="E326" s="19">
        <v>41640</v>
      </c>
      <c r="F326" s="42"/>
      <c r="G326" s="42">
        <v>1</v>
      </c>
      <c r="H326" s="42"/>
      <c r="I326" s="42" t="s">
        <v>368</v>
      </c>
      <c r="J326" s="42" t="s">
        <v>1854</v>
      </c>
      <c r="K326" s="44">
        <f t="shared" si="99"/>
        <v>230</v>
      </c>
      <c r="L326" s="44">
        <f t="shared" si="100"/>
        <v>121.5</v>
      </c>
      <c r="M326" s="42" t="s">
        <v>752</v>
      </c>
      <c r="N326" s="52" t="str">
        <f t="shared" si="90"/>
        <v>(6,'PS-06-ELR1','Poste de Sectionnement n°06 ELR1','Wednesday-01-jj','Wednesday-01-jj',,1,),</v>
      </c>
    </row>
    <row r="327" spans="1:14" ht="20.100000000000001" customHeight="1" x14ac:dyDescent="0.25">
      <c r="A327" s="39">
        <v>7</v>
      </c>
      <c r="B327" s="40" t="str">
        <f t="shared" si="101"/>
        <v>PS-07-ELR1</v>
      </c>
      <c r="C327" s="52" t="str">
        <f t="shared" si="102"/>
        <v>Poste de Sectionnement n°07 ELR1</v>
      </c>
      <c r="D327" s="19">
        <v>41640</v>
      </c>
      <c r="E327" s="19">
        <v>41640</v>
      </c>
      <c r="F327" s="42"/>
      <c r="G327" s="42">
        <v>1</v>
      </c>
      <c r="H327" s="42"/>
      <c r="I327" s="42" t="s">
        <v>368</v>
      </c>
      <c r="J327" s="42" t="s">
        <v>1855</v>
      </c>
      <c r="K327" s="44">
        <f t="shared" si="99"/>
        <v>250</v>
      </c>
      <c r="L327" s="44">
        <f t="shared" si="100"/>
        <v>142</v>
      </c>
      <c r="M327" s="42" t="s">
        <v>752</v>
      </c>
      <c r="N327" s="52" t="str">
        <f t="shared" si="90"/>
        <v>(7,'PS-07-ELR1','Poste de Sectionnement n°07 ELR1','Wednesday-01-jj','Wednesday-01-jj',,1,),</v>
      </c>
    </row>
    <row r="328" spans="1:14" ht="20.100000000000001" customHeight="1" x14ac:dyDescent="0.25">
      <c r="A328" s="39">
        <v>8</v>
      </c>
      <c r="B328" s="40" t="str">
        <f t="shared" si="101"/>
        <v>PS-08-ELR1</v>
      </c>
      <c r="C328" s="52" t="str">
        <f t="shared" si="102"/>
        <v>Poste de Sectionnement n°08 ELR1</v>
      </c>
      <c r="D328" s="19">
        <v>41640</v>
      </c>
      <c r="E328" s="19">
        <v>41640</v>
      </c>
      <c r="F328" s="42"/>
      <c r="G328" s="42">
        <v>1</v>
      </c>
      <c r="H328" s="42"/>
      <c r="I328" s="42" t="s">
        <v>368</v>
      </c>
      <c r="J328" s="42" t="s">
        <v>1856</v>
      </c>
      <c r="K328" s="44">
        <f t="shared" si="99"/>
        <v>310</v>
      </c>
      <c r="L328" s="44">
        <f t="shared" si="100"/>
        <v>171</v>
      </c>
      <c r="M328" s="42" t="s">
        <v>752</v>
      </c>
      <c r="N328" s="52" t="str">
        <f t="shared" si="90"/>
        <v>(8,'PS-08-ELR1','Poste de Sectionnement n°08 ELR1','Wednesday-01-jj','Wednesday-01-jj',,1,),</v>
      </c>
    </row>
    <row r="329" spans="1:14" ht="20.100000000000001" customHeight="1" x14ac:dyDescent="0.25">
      <c r="A329" s="39">
        <v>9</v>
      </c>
      <c r="B329" s="40" t="str">
        <f t="shared" si="101"/>
        <v>PS-09-ELR1</v>
      </c>
      <c r="C329" s="52" t="str">
        <f t="shared" si="102"/>
        <v>Poste de Sectionnement n°09 ELR1</v>
      </c>
      <c r="D329" s="19">
        <v>41640</v>
      </c>
      <c r="E329" s="19">
        <v>41640</v>
      </c>
      <c r="F329" s="42"/>
      <c r="G329" s="42">
        <v>1</v>
      </c>
      <c r="H329" s="42"/>
      <c r="I329" s="42" t="s">
        <v>368</v>
      </c>
      <c r="J329" s="42" t="s">
        <v>1857</v>
      </c>
      <c r="K329" s="44">
        <f t="shared" si="99"/>
        <v>380</v>
      </c>
      <c r="L329" s="44">
        <f t="shared" si="100"/>
        <v>191.27799999999999</v>
      </c>
      <c r="M329" s="42" t="s">
        <v>753</v>
      </c>
      <c r="N329" s="52" t="str">
        <f t="shared" si="90"/>
        <v>(9,'PS-09-ELR1','Poste de Sectionnement n°09 ELR1','Wednesday-01-jj','Wednesday-01-jj',,1,),</v>
      </c>
    </row>
    <row r="330" spans="1:14" ht="20.100000000000001" customHeight="1" x14ac:dyDescent="0.25">
      <c r="A330" s="39">
        <v>10</v>
      </c>
      <c r="B330" s="40" t="str">
        <f t="shared" si="101"/>
        <v>PS-10-ELR1</v>
      </c>
      <c r="C330" s="52" t="str">
        <f t="shared" si="102"/>
        <v>Poste de Sectionnement n°10 ELR1</v>
      </c>
      <c r="D330" s="19">
        <v>41640</v>
      </c>
      <c r="E330" s="19">
        <v>41640</v>
      </c>
      <c r="F330" s="42"/>
      <c r="G330" s="42">
        <v>1</v>
      </c>
      <c r="H330" s="42"/>
      <c r="I330" s="42" t="s">
        <v>368</v>
      </c>
      <c r="J330" s="42" t="s">
        <v>1858</v>
      </c>
      <c r="K330" s="44">
        <f t="shared" si="99"/>
        <v>440</v>
      </c>
      <c r="L330" s="44">
        <f t="shared" si="100"/>
        <v>212</v>
      </c>
      <c r="M330" s="42" t="s">
        <v>753</v>
      </c>
      <c r="N330" s="52" t="str">
        <f t="shared" si="90"/>
        <v>(10,'PS-10-ELR1','Poste de Sectionnement n°10 ELR1','Wednesday-01-jj','Wednesday-01-jj',,1,),</v>
      </c>
    </row>
    <row r="331" spans="1:14" ht="20.100000000000001" customHeight="1" x14ac:dyDescent="0.25">
      <c r="A331" s="39">
        <v>11</v>
      </c>
      <c r="B331" s="40" t="str">
        <f t="shared" si="101"/>
        <v>PS-11-ELR1</v>
      </c>
      <c r="C331" s="52" t="str">
        <f t="shared" si="102"/>
        <v>Poste de Sectionnement n°11 ELR1</v>
      </c>
      <c r="D331" s="19">
        <v>41640</v>
      </c>
      <c r="E331" s="19">
        <v>41640</v>
      </c>
      <c r="F331" s="42"/>
      <c r="G331" s="42">
        <v>1</v>
      </c>
      <c r="H331" s="42"/>
      <c r="I331" s="42" t="s">
        <v>368</v>
      </c>
      <c r="J331" s="42" t="s">
        <v>1859</v>
      </c>
      <c r="K331" s="44">
        <f t="shared" si="99"/>
        <v>470</v>
      </c>
      <c r="L331" s="44">
        <f t="shared" si="100"/>
        <v>233.24</v>
      </c>
      <c r="M331" s="42" t="s">
        <v>1865</v>
      </c>
      <c r="N331" s="52" t="str">
        <f t="shared" si="90"/>
        <v>(11,'PS-11-ELR1','Poste de Sectionnement n°11 ELR1','Wednesday-01-jj','Wednesday-01-jj',,1,),</v>
      </c>
    </row>
    <row r="332" spans="1:14" ht="20.100000000000001" customHeight="1" x14ac:dyDescent="0.25">
      <c r="A332" s="39">
        <v>12</v>
      </c>
      <c r="B332" s="40" t="str">
        <f t="shared" si="101"/>
        <v>PS-12-ELR1</v>
      </c>
      <c r="C332" s="52" t="str">
        <f t="shared" si="102"/>
        <v>Poste de Sectionnement n°12 ELR1</v>
      </c>
      <c r="D332" s="19">
        <v>41640</v>
      </c>
      <c r="E332" s="19">
        <v>41640</v>
      </c>
      <c r="F332" s="42"/>
      <c r="G332" s="42">
        <v>1</v>
      </c>
      <c r="H332" s="42"/>
      <c r="I332" s="42" t="s">
        <v>368</v>
      </c>
      <c r="J332" s="42" t="s">
        <v>1860</v>
      </c>
      <c r="K332" s="44">
        <f t="shared" si="99"/>
        <v>580</v>
      </c>
      <c r="L332" s="44">
        <f t="shared" si="100"/>
        <v>271.322</v>
      </c>
      <c r="M332" s="42" t="s">
        <v>1835</v>
      </c>
      <c r="N332" s="52" t="str">
        <f t="shared" si="90"/>
        <v>(12,'PS-12-ELR1','Poste de Sectionnement n°12 ELR1','Wednesday-01-jj','Wednesday-01-jj',,1,),</v>
      </c>
    </row>
    <row r="333" spans="1:14" ht="20.100000000000001" customHeight="1" x14ac:dyDescent="0.25">
      <c r="A333" s="39">
        <v>13</v>
      </c>
      <c r="B333" s="40" t="str">
        <f t="shared" si="101"/>
        <v>PS-13-ELR1</v>
      </c>
      <c r="C333" s="52" t="str">
        <f t="shared" si="102"/>
        <v>Poste de Sectionnement n°13 ELR1</v>
      </c>
      <c r="D333" s="19">
        <v>41640</v>
      </c>
      <c r="E333" s="19">
        <v>41640</v>
      </c>
      <c r="F333" s="42"/>
      <c r="G333" s="42">
        <v>1</v>
      </c>
      <c r="H333" s="42"/>
      <c r="I333" s="42" t="s">
        <v>368</v>
      </c>
      <c r="J333" s="42" t="s">
        <v>1861</v>
      </c>
      <c r="K333" s="44">
        <f t="shared" si="99"/>
        <v>640</v>
      </c>
      <c r="L333" s="44">
        <f t="shared" si="100"/>
        <v>291.5</v>
      </c>
      <c r="M333" s="42" t="s">
        <v>1866</v>
      </c>
      <c r="N333" s="52" t="str">
        <f t="shared" si="90"/>
        <v>(13,'PS-13-ELR1','Poste de Sectionnement n°13 ELR1','Wednesday-01-jj','Wednesday-01-jj',,1,),</v>
      </c>
    </row>
    <row r="334" spans="1:14" ht="20.100000000000001" customHeight="1" x14ac:dyDescent="0.25">
      <c r="A334" s="39">
        <v>14</v>
      </c>
      <c r="B334" s="40" t="str">
        <f t="shared" si="101"/>
        <v>PS-14-ELR1</v>
      </c>
      <c r="C334" s="52" t="str">
        <f t="shared" si="102"/>
        <v>Poste de Sectionnement n°14 ELR1</v>
      </c>
      <c r="D334" s="19">
        <v>41640</v>
      </c>
      <c r="E334" s="19">
        <v>41640</v>
      </c>
      <c r="F334" s="42"/>
      <c r="G334" s="42">
        <v>1</v>
      </c>
      <c r="H334" s="42"/>
      <c r="I334" s="42" t="s">
        <v>368</v>
      </c>
      <c r="J334" s="42" t="s">
        <v>1862</v>
      </c>
      <c r="K334" s="44">
        <f t="shared" si="99"/>
        <v>690</v>
      </c>
      <c r="L334" s="44">
        <f t="shared" si="100"/>
        <v>305.61799999999999</v>
      </c>
      <c r="M334" s="42" t="s">
        <v>797</v>
      </c>
      <c r="N334" s="52" t="str">
        <f t="shared" si="90"/>
        <v>(14,'PS-14-ELR1','Poste de Sectionnement n°14 ELR1','Wednesday-01-jj','Wednesday-01-jj',,1,),</v>
      </c>
    </row>
    <row r="335" spans="1:14" ht="20.100000000000001" customHeight="1" x14ac:dyDescent="0.25">
      <c r="A335" s="39">
        <v>15</v>
      </c>
      <c r="B335" s="40" t="str">
        <f t="shared" si="101"/>
        <v>PS-15-ELR1</v>
      </c>
      <c r="C335" s="52" t="str">
        <f t="shared" si="102"/>
        <v>Poste de Sectionnement n°15 ELR1</v>
      </c>
      <c r="D335" s="19">
        <v>41640</v>
      </c>
      <c r="E335" s="19">
        <v>41640</v>
      </c>
      <c r="F335" s="42"/>
      <c r="G335" s="42">
        <v>1</v>
      </c>
      <c r="H335" s="42"/>
      <c r="I335" s="42" t="s">
        <v>368</v>
      </c>
      <c r="J335" s="42" t="s">
        <v>1863</v>
      </c>
      <c r="K335" s="44">
        <f t="shared" si="99"/>
        <v>750</v>
      </c>
      <c r="L335" s="44">
        <f t="shared" si="100"/>
        <v>324</v>
      </c>
      <c r="M335" s="42" t="s">
        <v>1838</v>
      </c>
      <c r="N335" s="52" t="str">
        <f t="shared" si="90"/>
        <v>(15,'PS-15-ELR1','Poste de Sectionnement n°15 ELR1','Wednesday-01-jj','Wednesday-01-jj',,1,),</v>
      </c>
    </row>
    <row r="336" spans="1:14" ht="20.100000000000001" customHeight="1" x14ac:dyDescent="0.25">
      <c r="A336" s="39">
        <v>1</v>
      </c>
      <c r="B336" s="40" t="str">
        <f t="shared" si="101"/>
        <v>PS-01-GZ0</v>
      </c>
      <c r="C336" s="52" t="str">
        <f t="shared" si="102"/>
        <v>Poste de Sectionnement n°01 GZ0</v>
      </c>
      <c r="D336" s="19">
        <v>22282</v>
      </c>
      <c r="E336" s="19">
        <v>22282</v>
      </c>
      <c r="F336" s="19">
        <v>44838</v>
      </c>
      <c r="G336" s="42">
        <v>0</v>
      </c>
      <c r="H336" s="42"/>
      <c r="I336" s="42" t="s">
        <v>371</v>
      </c>
      <c r="J336" s="42" t="s">
        <v>1901</v>
      </c>
      <c r="K336" s="44">
        <f t="shared" ref="K336:K346" si="103">VALUE(RIGHT(J336,LEN(J336)-SEARCH("/",J336)))</f>
        <v>829.2</v>
      </c>
      <c r="L336" s="44">
        <f t="shared" ref="L336:L346" si="104">VALUE(SUBSTITUTE(LEFT(J336,SEARCH("/",J336)-1),"+",","))</f>
        <v>56.305999999999997</v>
      </c>
      <c r="M336" s="42" t="s">
        <v>798</v>
      </c>
      <c r="N336" s="52" t="str">
        <f t="shared" si="90"/>
        <v>(1,'PS-01-GZ0','Poste de Sectionnement n°01 GZ0','1961-01-01','1961-01-01',44838,0,),</v>
      </c>
    </row>
    <row r="337" spans="1:14" ht="20.100000000000001" customHeight="1" x14ac:dyDescent="0.25">
      <c r="A337" s="39">
        <v>2</v>
      </c>
      <c r="B337" s="40" t="str">
        <f t="shared" si="101"/>
        <v>PS-02-GZ0</v>
      </c>
      <c r="C337" s="52" t="str">
        <f t="shared" si="102"/>
        <v>Poste de Sectionnement n°02 GZ0</v>
      </c>
      <c r="D337" s="19">
        <v>22282</v>
      </c>
      <c r="E337" s="19">
        <v>22282</v>
      </c>
      <c r="F337" s="19">
        <v>44838</v>
      </c>
      <c r="G337" s="42">
        <v>0</v>
      </c>
      <c r="H337" s="42"/>
      <c r="I337" s="42" t="s">
        <v>371</v>
      </c>
      <c r="J337" s="42" t="s">
        <v>1867</v>
      </c>
      <c r="K337" s="44">
        <f t="shared" si="103"/>
        <v>1238</v>
      </c>
      <c r="L337" s="44">
        <f t="shared" si="104"/>
        <v>168.131</v>
      </c>
      <c r="M337" s="42" t="s">
        <v>1749</v>
      </c>
      <c r="N337" s="52" t="str">
        <f t="shared" si="90"/>
        <v>(2,'PS-02-GZ0','Poste de Sectionnement n°02 GZ0','1961-01-01','1961-01-01',44838,0,),</v>
      </c>
    </row>
    <row r="338" spans="1:14" ht="20.100000000000001" customHeight="1" x14ac:dyDescent="0.25">
      <c r="A338" s="39">
        <v>3</v>
      </c>
      <c r="B338" s="40" t="str">
        <f t="shared" ref="B338:B347" si="105">CONCATENATE("PS-",TEXT(A338,"00"),"-",I338)</f>
        <v>PS-03-GZ0</v>
      </c>
      <c r="C338" s="52" t="str">
        <f t="shared" ref="C338:C347" si="106">CONCATENATE("Poste de Sectionnement n°",TEXT(A338,"00")," ",I338)</f>
        <v>Poste de Sectionnement n°03 GZ0</v>
      </c>
      <c r="D338" s="19">
        <v>22282</v>
      </c>
      <c r="E338" s="19">
        <v>22282</v>
      </c>
      <c r="F338" s="19">
        <v>44838</v>
      </c>
      <c r="G338" s="42">
        <v>0</v>
      </c>
      <c r="H338" s="42"/>
      <c r="I338" s="42" t="s">
        <v>371</v>
      </c>
      <c r="J338" s="42" t="s">
        <v>1868</v>
      </c>
      <c r="K338" s="44">
        <f t="shared" si="103"/>
        <v>1175</v>
      </c>
      <c r="L338" s="44">
        <f t="shared" si="104"/>
        <v>275.084</v>
      </c>
      <c r="M338" s="42" t="s">
        <v>1875</v>
      </c>
      <c r="N338" s="52" t="str">
        <f t="shared" si="90"/>
        <v>(3,'PS-03-GZ0','Poste de Sectionnement n°03 GZ0','1961-01-01','1961-01-01',44838,0,),</v>
      </c>
    </row>
    <row r="339" spans="1:14" ht="20.100000000000001" customHeight="1" x14ac:dyDescent="0.25">
      <c r="A339" s="39">
        <v>4</v>
      </c>
      <c r="B339" s="40" t="str">
        <f t="shared" si="105"/>
        <v>PS-04-GZ0</v>
      </c>
      <c r="C339" s="52" t="str">
        <f t="shared" si="106"/>
        <v>Poste de Sectionnement n°04 GZ0</v>
      </c>
      <c r="D339" s="19">
        <v>22282</v>
      </c>
      <c r="E339" s="19">
        <v>22282</v>
      </c>
      <c r="F339" s="19">
        <v>44838</v>
      </c>
      <c r="G339" s="42">
        <v>0</v>
      </c>
      <c r="H339" s="42"/>
      <c r="I339" s="42" t="s">
        <v>371</v>
      </c>
      <c r="J339" s="42" t="s">
        <v>1869</v>
      </c>
      <c r="K339" s="44">
        <f t="shared" si="103"/>
        <v>1193</v>
      </c>
      <c r="L339" s="44">
        <f t="shared" si="104"/>
        <v>304.86700000000002</v>
      </c>
      <c r="M339" s="42" t="s">
        <v>1751</v>
      </c>
      <c r="N339" s="52" t="str">
        <f t="shared" si="90"/>
        <v>(4,'PS-04-GZ0','Poste de Sectionnement n°04 GZ0','1961-01-01','1961-01-01',44838,0,),</v>
      </c>
    </row>
    <row r="340" spans="1:14" ht="20.100000000000001" customHeight="1" x14ac:dyDescent="0.25">
      <c r="A340" s="39">
        <v>5</v>
      </c>
      <c r="B340" s="40" t="str">
        <f t="shared" si="105"/>
        <v>PS-05-GZ0</v>
      </c>
      <c r="C340" s="52" t="str">
        <f t="shared" si="106"/>
        <v>Poste de Sectionnement n°05 GZ0</v>
      </c>
      <c r="D340" s="19">
        <v>22282</v>
      </c>
      <c r="E340" s="19">
        <v>22282</v>
      </c>
      <c r="F340" s="19">
        <v>44838</v>
      </c>
      <c r="G340" s="42">
        <v>0</v>
      </c>
      <c r="H340" s="42"/>
      <c r="I340" s="42" t="s">
        <v>371</v>
      </c>
      <c r="J340" s="42" t="s">
        <v>1900</v>
      </c>
      <c r="K340" s="44">
        <f t="shared" si="103"/>
        <v>647.65</v>
      </c>
      <c r="L340" s="44">
        <f t="shared" si="104"/>
        <v>350.83</v>
      </c>
      <c r="M340" s="42" t="s">
        <v>762</v>
      </c>
      <c r="N340" s="52" t="str">
        <f t="shared" si="90"/>
        <v>(5,'PS-05-GZ0','Poste de Sectionnement n°05 GZ0','1961-01-01','1961-01-01',44838,0,),</v>
      </c>
    </row>
    <row r="341" spans="1:14" ht="20.100000000000001" customHeight="1" x14ac:dyDescent="0.25">
      <c r="A341" s="39">
        <v>7</v>
      </c>
      <c r="B341" s="40" t="str">
        <f t="shared" si="105"/>
        <v>PS-07-GZ0</v>
      </c>
      <c r="C341" s="52" t="str">
        <f t="shared" si="106"/>
        <v>Poste de Sectionnement n°07 GZ0</v>
      </c>
      <c r="D341" s="19">
        <v>22282</v>
      </c>
      <c r="E341" s="19">
        <v>22282</v>
      </c>
      <c r="F341" s="19">
        <v>44838</v>
      </c>
      <c r="G341" s="42">
        <v>0</v>
      </c>
      <c r="H341" s="42"/>
      <c r="I341" s="42" t="s">
        <v>371</v>
      </c>
      <c r="J341" s="42" t="s">
        <v>1870</v>
      </c>
      <c r="K341" s="44">
        <f t="shared" si="103"/>
        <v>520</v>
      </c>
      <c r="L341" s="44">
        <f t="shared" si="104"/>
        <v>397.798</v>
      </c>
      <c r="M341" s="42" t="s">
        <v>807</v>
      </c>
      <c r="N341" s="52" t="str">
        <f t="shared" ref="N341:N404" si="107">CONCATENATE("(",A341,",'",B341,"','",C341,"','",TEXT(D341,"aaaa-mm-jj"),"','",TEXT(E341,"aaaa-mm-jj"),"',",F341,",",G341,",",H341,"),")</f>
        <v>(7,'PS-07-GZ0','Poste de Sectionnement n°07 GZ0','1961-01-01','1961-01-01',44838,0,),</v>
      </c>
    </row>
    <row r="342" spans="1:14" ht="20.100000000000001" customHeight="1" x14ac:dyDescent="0.25">
      <c r="A342" s="39">
        <v>8</v>
      </c>
      <c r="B342" s="40" t="str">
        <f t="shared" si="105"/>
        <v>PS-08-GZ0</v>
      </c>
      <c r="C342" s="52" t="str">
        <f t="shared" si="106"/>
        <v>Poste de Sectionnement n°08 GZ0</v>
      </c>
      <c r="D342" s="19">
        <v>22282</v>
      </c>
      <c r="E342" s="19">
        <v>22282</v>
      </c>
      <c r="F342" s="19">
        <v>44838</v>
      </c>
      <c r="G342" s="42">
        <v>0</v>
      </c>
      <c r="H342" s="42"/>
      <c r="I342" s="42" t="s">
        <v>371</v>
      </c>
      <c r="J342" s="42" t="s">
        <v>1871</v>
      </c>
      <c r="K342" s="44">
        <f t="shared" si="103"/>
        <v>127</v>
      </c>
      <c r="L342" s="44">
        <f t="shared" si="104"/>
        <v>442.06200000000001</v>
      </c>
      <c r="M342" s="42" t="s">
        <v>1876</v>
      </c>
      <c r="N342" s="52" t="str">
        <f t="shared" si="107"/>
        <v>(8,'PS-08-GZ0','Poste de Sectionnement n°08 GZ0','1961-01-01','1961-01-01',44838,0,),</v>
      </c>
    </row>
    <row r="343" spans="1:14" ht="20.100000000000001" customHeight="1" x14ac:dyDescent="0.25">
      <c r="A343" s="39">
        <v>9</v>
      </c>
      <c r="B343" s="40" t="str">
        <f t="shared" si="105"/>
        <v>PS-09-GZ0</v>
      </c>
      <c r="C343" s="52" t="str">
        <f t="shared" si="106"/>
        <v>Poste de Sectionnement n°09 GZ0</v>
      </c>
      <c r="D343" s="19">
        <v>22282</v>
      </c>
      <c r="E343" s="19">
        <v>22282</v>
      </c>
      <c r="F343" s="19">
        <v>44838</v>
      </c>
      <c r="G343" s="42">
        <v>0</v>
      </c>
      <c r="H343" s="42"/>
      <c r="I343" s="42" t="s">
        <v>371</v>
      </c>
      <c r="J343" s="42" t="s">
        <v>1872</v>
      </c>
      <c r="K343" s="44">
        <f t="shared" si="103"/>
        <v>13</v>
      </c>
      <c r="L343" s="44">
        <f t="shared" si="104"/>
        <v>470.44900000000001</v>
      </c>
      <c r="M343" s="42" t="s">
        <v>1877</v>
      </c>
      <c r="N343" s="52" t="str">
        <f t="shared" si="107"/>
        <v>(9,'PS-09-GZ0','Poste de Sectionnement n°09 GZ0','1961-01-01','1961-01-01',44838,0,),</v>
      </c>
    </row>
    <row r="344" spans="1:14" ht="20.100000000000001" customHeight="1" x14ac:dyDescent="0.25">
      <c r="A344" s="39">
        <v>10</v>
      </c>
      <c r="B344" s="40" t="str">
        <f t="shared" si="105"/>
        <v>PS-10-GZ0</v>
      </c>
      <c r="C344" s="52" t="str">
        <f t="shared" si="106"/>
        <v>Poste de Sectionnement n°10 GZ0</v>
      </c>
      <c r="D344" s="19">
        <v>22282</v>
      </c>
      <c r="E344" s="19">
        <v>22282</v>
      </c>
      <c r="F344" s="19">
        <v>44838</v>
      </c>
      <c r="G344" s="42">
        <v>0</v>
      </c>
      <c r="H344" s="42"/>
      <c r="I344" s="42" t="s">
        <v>371</v>
      </c>
      <c r="J344" s="42" t="s">
        <v>1873</v>
      </c>
      <c r="K344" s="44">
        <f t="shared" si="103"/>
        <v>24</v>
      </c>
      <c r="L344" s="44">
        <f t="shared" si="104"/>
        <v>486.214</v>
      </c>
      <c r="M344" s="42" t="s">
        <v>1878</v>
      </c>
      <c r="N344" s="52" t="str">
        <f t="shared" si="107"/>
        <v>(10,'PS-10-GZ0','Poste de Sectionnement n°10 GZ0','1961-01-01','1961-01-01',44838,0,),</v>
      </c>
    </row>
    <row r="345" spans="1:14" ht="20.100000000000001" customHeight="1" x14ac:dyDescent="0.25">
      <c r="A345" s="39">
        <v>11</v>
      </c>
      <c r="B345" s="40" t="str">
        <f t="shared" si="105"/>
        <v>PS-11-GZ0</v>
      </c>
      <c r="C345" s="52" t="str">
        <f t="shared" si="106"/>
        <v>Poste de Sectionnement n°11 GZ0</v>
      </c>
      <c r="D345" s="19">
        <v>22282</v>
      </c>
      <c r="E345" s="19">
        <v>22282</v>
      </c>
      <c r="F345" s="19">
        <v>44838</v>
      </c>
      <c r="G345" s="42">
        <v>0</v>
      </c>
      <c r="H345" s="42"/>
      <c r="I345" s="42" t="s">
        <v>371</v>
      </c>
      <c r="J345" s="42" t="s">
        <v>1899</v>
      </c>
      <c r="K345" s="44">
        <f t="shared" si="103"/>
        <v>4.3600000000000003</v>
      </c>
      <c r="L345" s="44">
        <f t="shared" si="104"/>
        <v>486.964</v>
      </c>
      <c r="M345" s="42" t="s">
        <v>1879</v>
      </c>
      <c r="N345" s="52" t="str">
        <f t="shared" si="107"/>
        <v>(11,'PS-11-GZ0','Poste de Sectionnement n°11 GZ0','1961-01-01','1961-01-01',44838,0,),</v>
      </c>
    </row>
    <row r="346" spans="1:14" ht="20.100000000000001" customHeight="1" x14ac:dyDescent="0.25">
      <c r="A346" s="39">
        <v>12</v>
      </c>
      <c r="B346" s="40" t="str">
        <f t="shared" si="105"/>
        <v>PS-12-GZ0</v>
      </c>
      <c r="C346" s="52" t="str">
        <f t="shared" si="106"/>
        <v>Poste de Sectionnement n°12 GZ0</v>
      </c>
      <c r="D346" s="19">
        <v>22282</v>
      </c>
      <c r="E346" s="19">
        <v>22282</v>
      </c>
      <c r="F346" s="19">
        <v>44838</v>
      </c>
      <c r="G346" s="42">
        <v>0</v>
      </c>
      <c r="H346" s="42"/>
      <c r="I346" s="42" t="s">
        <v>371</v>
      </c>
      <c r="J346" s="42" t="s">
        <v>1874</v>
      </c>
      <c r="K346" s="44">
        <f t="shared" si="103"/>
        <v>53</v>
      </c>
      <c r="L346" s="44">
        <f t="shared" si="104"/>
        <v>504.5</v>
      </c>
      <c r="M346" s="42" t="s">
        <v>1880</v>
      </c>
      <c r="N346" s="52" t="str">
        <f t="shared" si="107"/>
        <v>(12,'PS-12-GZ0','Poste de Sectionnement n°12 GZ0','1961-01-01','1961-01-01',44838,0,),</v>
      </c>
    </row>
    <row r="347" spans="1:14" ht="20.100000000000001" customHeight="1" x14ac:dyDescent="0.25">
      <c r="A347" s="39">
        <v>1</v>
      </c>
      <c r="B347" s="40" t="str">
        <f t="shared" si="105"/>
        <v>PS-01-RGZ1</v>
      </c>
      <c r="C347" s="52" t="str">
        <f t="shared" si="106"/>
        <v>Poste de Sectionnement n°01 RGZ1</v>
      </c>
      <c r="D347" s="12"/>
      <c r="E347" s="13"/>
      <c r="F347" s="42"/>
      <c r="G347" s="42">
        <v>1</v>
      </c>
      <c r="H347" s="42"/>
      <c r="I347" s="42" t="s">
        <v>1007</v>
      </c>
      <c r="J347" s="42" t="s">
        <v>1881</v>
      </c>
      <c r="K347" s="44">
        <f t="shared" ref="K347:K364" si="108">VALUE(RIGHT(J347,LEN(J347)-SEARCH("/",J347)))</f>
        <v>732</v>
      </c>
      <c r="L347" s="44">
        <f t="shared" ref="L347:L364" si="109">VALUE(SUBSTITUTE(LEFT(J347,SEARCH("/",J347)-1),"+",","))</f>
        <v>17.100000000000001</v>
      </c>
      <c r="M347" s="42" t="s">
        <v>798</v>
      </c>
      <c r="N347" s="52" t="str">
        <f t="shared" si="107"/>
        <v>(1,'PS-01-RGZ1','Poste de Sectionnement n°01 RGZ1','Saturday-01-jj','Saturday-01-jj',,1,),</v>
      </c>
    </row>
    <row r="348" spans="1:14" ht="20.100000000000001" customHeight="1" x14ac:dyDescent="0.25">
      <c r="A348" s="39">
        <v>2</v>
      </c>
      <c r="B348" s="40" t="str">
        <f t="shared" ref="B348:B366" si="110">CONCATENATE("PS-",TEXT(A348,"00"),"-",I348)</f>
        <v>PS-02-RGZ1</v>
      </c>
      <c r="C348" s="52" t="str">
        <f t="shared" ref="C348:C366" si="111">CONCATENATE("Poste de Sectionnement n°",TEXT(A348,"00")," ",I348)</f>
        <v>Poste de Sectionnement n°02 RGZ1</v>
      </c>
      <c r="D348" s="12"/>
      <c r="E348" s="13"/>
      <c r="F348" s="42"/>
      <c r="G348" s="42">
        <v>1</v>
      </c>
      <c r="H348" s="42"/>
      <c r="I348" s="42" t="s">
        <v>1007</v>
      </c>
      <c r="J348" s="42" t="s">
        <v>1882</v>
      </c>
      <c r="K348" s="44">
        <f t="shared" si="108"/>
        <v>790</v>
      </c>
      <c r="L348" s="44">
        <f t="shared" si="109"/>
        <v>37.4</v>
      </c>
      <c r="M348" s="42" t="s">
        <v>798</v>
      </c>
      <c r="N348" s="52" t="str">
        <f t="shared" si="107"/>
        <v>(2,'PS-02-RGZ1','Poste de Sectionnement n°02 RGZ1','Saturday-01-jj','Saturday-01-jj',,1,),</v>
      </c>
    </row>
    <row r="349" spans="1:14" ht="20.100000000000001" customHeight="1" x14ac:dyDescent="0.25">
      <c r="A349" s="39">
        <v>3</v>
      </c>
      <c r="B349" s="40" t="str">
        <f t="shared" si="110"/>
        <v>PS-03-RGZ1</v>
      </c>
      <c r="C349" s="52" t="str">
        <f t="shared" si="111"/>
        <v>Poste de Sectionnement n°03 RGZ1</v>
      </c>
      <c r="D349" s="12"/>
      <c r="E349" s="13"/>
      <c r="F349" s="42"/>
      <c r="G349" s="42">
        <v>1</v>
      </c>
      <c r="H349" s="42"/>
      <c r="I349" s="42" t="s">
        <v>1007</v>
      </c>
      <c r="J349" s="42" t="s">
        <v>1883</v>
      </c>
      <c r="K349" s="44">
        <f t="shared" si="108"/>
        <v>810</v>
      </c>
      <c r="L349" s="44">
        <f t="shared" si="109"/>
        <v>55.8</v>
      </c>
      <c r="M349" s="42" t="s">
        <v>798</v>
      </c>
      <c r="N349" s="52" t="str">
        <f t="shared" si="107"/>
        <v>(3,'PS-03-RGZ1','Poste de Sectionnement n°03 RGZ1','Saturday-01-jj','Saturday-01-jj',,1,),</v>
      </c>
    </row>
    <row r="350" spans="1:14" ht="20.100000000000001" customHeight="1" x14ac:dyDescent="0.25">
      <c r="A350" s="39">
        <v>4</v>
      </c>
      <c r="B350" s="40" t="str">
        <f t="shared" si="110"/>
        <v>PS-04-RGZ1</v>
      </c>
      <c r="C350" s="52" t="str">
        <f t="shared" si="111"/>
        <v>Poste de Sectionnement n°04 RGZ1</v>
      </c>
      <c r="D350" s="12"/>
      <c r="E350" s="13"/>
      <c r="F350" s="42"/>
      <c r="G350" s="42">
        <v>1</v>
      </c>
      <c r="H350" s="42"/>
      <c r="I350" s="42" t="s">
        <v>1007</v>
      </c>
      <c r="J350" s="42" t="s">
        <v>1884</v>
      </c>
      <c r="K350" s="44">
        <f t="shared" si="108"/>
        <v>790</v>
      </c>
      <c r="L350" s="44">
        <f t="shared" si="109"/>
        <v>91.7</v>
      </c>
      <c r="M350" s="42" t="s">
        <v>1950</v>
      </c>
      <c r="N350" s="52" t="str">
        <f t="shared" si="107"/>
        <v>(4,'PS-04-RGZ1','Poste de Sectionnement n°04 RGZ1','Saturday-01-jj','Saturday-01-jj',,1,),</v>
      </c>
    </row>
    <row r="351" spans="1:14" ht="20.100000000000001" customHeight="1" x14ac:dyDescent="0.25">
      <c r="A351" s="39">
        <v>5</v>
      </c>
      <c r="B351" s="40" t="str">
        <f t="shared" si="110"/>
        <v>PS-05-RGZ1</v>
      </c>
      <c r="C351" s="52" t="str">
        <f t="shared" si="111"/>
        <v>Poste de Sectionnement n°05 RGZ1</v>
      </c>
      <c r="D351" s="12"/>
      <c r="E351" s="13"/>
      <c r="F351" s="42"/>
      <c r="G351" s="42">
        <v>1</v>
      </c>
      <c r="H351" s="42"/>
      <c r="I351" s="42" t="s">
        <v>1007</v>
      </c>
      <c r="J351" s="42" t="s">
        <v>1885</v>
      </c>
      <c r="K351" s="44">
        <f t="shared" si="108"/>
        <v>801</v>
      </c>
      <c r="L351" s="44">
        <f t="shared" si="109"/>
        <v>108.4</v>
      </c>
      <c r="M351" s="42" t="s">
        <v>1951</v>
      </c>
      <c r="N351" s="52" t="str">
        <f t="shared" si="107"/>
        <v>(5,'PS-05-RGZ1','Poste de Sectionnement n°05 RGZ1','Saturday-01-jj','Saturday-01-jj',,1,),</v>
      </c>
    </row>
    <row r="352" spans="1:14" ht="20.100000000000001" customHeight="1" x14ac:dyDescent="0.25">
      <c r="A352" s="39">
        <v>6</v>
      </c>
      <c r="B352" s="40" t="str">
        <f t="shared" si="110"/>
        <v>PS-06-RGZ1</v>
      </c>
      <c r="C352" s="52" t="str">
        <f t="shared" si="111"/>
        <v>Poste de Sectionnement n°06 RGZ1</v>
      </c>
      <c r="D352" s="12"/>
      <c r="E352" s="13"/>
      <c r="F352" s="42"/>
      <c r="G352" s="42">
        <v>1</v>
      </c>
      <c r="H352" s="42"/>
      <c r="I352" s="42" t="s">
        <v>1007</v>
      </c>
      <c r="J352" s="42" t="s">
        <v>1886</v>
      </c>
      <c r="K352" s="44">
        <f t="shared" si="108"/>
        <v>921</v>
      </c>
      <c r="L352" s="44">
        <f t="shared" si="109"/>
        <v>127.1</v>
      </c>
      <c r="M352" s="42" t="s">
        <v>1945</v>
      </c>
      <c r="N352" s="52" t="str">
        <f t="shared" si="107"/>
        <v>(6,'PS-06-RGZ1','Poste de Sectionnement n°06 RGZ1','Saturday-01-jj','Saturday-01-jj',,1,),</v>
      </c>
    </row>
    <row r="353" spans="1:14" ht="20.100000000000001" customHeight="1" x14ac:dyDescent="0.25">
      <c r="A353" s="39">
        <v>7</v>
      </c>
      <c r="B353" s="40" t="str">
        <f t="shared" si="110"/>
        <v>PS-07-RGZ1</v>
      </c>
      <c r="C353" s="52" t="str">
        <f t="shared" si="111"/>
        <v>Poste de Sectionnement n°07 RGZ1</v>
      </c>
      <c r="D353" s="12"/>
      <c r="E353" s="13"/>
      <c r="F353" s="42"/>
      <c r="G353" s="42">
        <v>1</v>
      </c>
      <c r="H353" s="42"/>
      <c r="I353" s="42" t="s">
        <v>1007</v>
      </c>
      <c r="J353" s="42" t="s">
        <v>1887</v>
      </c>
      <c r="K353" s="44">
        <f t="shared" si="108"/>
        <v>1172</v>
      </c>
      <c r="L353" s="44">
        <f t="shared" si="109"/>
        <v>156.5</v>
      </c>
      <c r="M353" s="42" t="s">
        <v>1945</v>
      </c>
      <c r="N353" s="52" t="str">
        <f t="shared" si="107"/>
        <v>(7,'PS-07-RGZ1','Poste de Sectionnement n°07 RGZ1','Saturday-01-jj','Saturday-01-jj',,1,),</v>
      </c>
    </row>
    <row r="354" spans="1:14" ht="20.100000000000001" customHeight="1" x14ac:dyDescent="0.25">
      <c r="A354" s="39">
        <v>8</v>
      </c>
      <c r="B354" s="40" t="str">
        <f t="shared" si="110"/>
        <v>PS-08-RGZ1</v>
      </c>
      <c r="C354" s="52" t="str">
        <f t="shared" si="111"/>
        <v>Poste de Sectionnement n°08 RGZ1</v>
      </c>
      <c r="D354" s="12"/>
      <c r="E354" s="13"/>
      <c r="F354" s="42"/>
      <c r="G354" s="42">
        <v>1</v>
      </c>
      <c r="H354" s="42"/>
      <c r="I354" s="42" t="s">
        <v>1007</v>
      </c>
      <c r="J354" s="42" t="s">
        <v>1888</v>
      </c>
      <c r="K354" s="44">
        <f t="shared" si="108"/>
        <v>1010</v>
      </c>
      <c r="L354" s="44">
        <f t="shared" si="109"/>
        <v>186.3</v>
      </c>
      <c r="M354" s="42" t="s">
        <v>1945</v>
      </c>
      <c r="N354" s="52" t="str">
        <f t="shared" si="107"/>
        <v>(8,'PS-08-RGZ1','Poste de Sectionnement n°08 RGZ1','Saturday-01-jj','Saturday-01-jj',,1,),</v>
      </c>
    </row>
    <row r="355" spans="1:14" ht="20.100000000000001" customHeight="1" x14ac:dyDescent="0.25">
      <c r="A355" s="39">
        <v>9</v>
      </c>
      <c r="B355" s="40" t="str">
        <f t="shared" si="110"/>
        <v>PS-09-RGZ1</v>
      </c>
      <c r="C355" s="52" t="str">
        <f t="shared" si="111"/>
        <v>Poste de Sectionnement n°09 RGZ1</v>
      </c>
      <c r="D355" s="12"/>
      <c r="E355" s="13"/>
      <c r="F355" s="42"/>
      <c r="G355" s="42">
        <v>1</v>
      </c>
      <c r="H355" s="42"/>
      <c r="I355" s="42" t="s">
        <v>1007</v>
      </c>
      <c r="J355" s="42" t="s">
        <v>1889</v>
      </c>
      <c r="K355" s="44">
        <f t="shared" si="108"/>
        <v>990</v>
      </c>
      <c r="L355" s="44">
        <f t="shared" si="109"/>
        <v>204.6</v>
      </c>
      <c r="M355" s="42" t="s">
        <v>1952</v>
      </c>
      <c r="N355" s="52" t="str">
        <f t="shared" si="107"/>
        <v>(9,'PS-09-RGZ1','Poste de Sectionnement n°09 RGZ1','Saturday-01-jj','Saturday-01-jj',,1,),</v>
      </c>
    </row>
    <row r="356" spans="1:14" ht="20.100000000000001" customHeight="1" x14ac:dyDescent="0.25">
      <c r="A356" s="39">
        <v>4</v>
      </c>
      <c r="B356" s="40" t="str">
        <f t="shared" si="110"/>
        <v>PS-04-GZ1</v>
      </c>
      <c r="C356" s="52" t="str">
        <f t="shared" si="111"/>
        <v>Poste de Sectionnement n°04 GZ1</v>
      </c>
      <c r="D356" s="19">
        <v>27760</v>
      </c>
      <c r="E356" s="19">
        <v>27760</v>
      </c>
      <c r="F356" s="42"/>
      <c r="G356" s="42">
        <v>1</v>
      </c>
      <c r="H356" s="42"/>
      <c r="I356" s="42" t="s">
        <v>376</v>
      </c>
      <c r="J356" s="42" t="s">
        <v>1890</v>
      </c>
      <c r="K356" s="44">
        <f t="shared" si="108"/>
        <v>1162</v>
      </c>
      <c r="L356" s="44">
        <f t="shared" si="109"/>
        <v>275.04899999999998</v>
      </c>
      <c r="M356" s="42" t="s">
        <v>1875</v>
      </c>
      <c r="N356" s="52" t="str">
        <f t="shared" si="107"/>
        <v>(4,'PS-04-GZ1','Poste de Sectionnement n°04 GZ1','Thursday-01-jj','Thursday-01-jj',,1,),</v>
      </c>
    </row>
    <row r="357" spans="1:14" ht="20.100000000000001" customHeight="1" x14ac:dyDescent="0.25">
      <c r="A357" s="39">
        <v>5</v>
      </c>
      <c r="B357" s="40" t="str">
        <f t="shared" si="110"/>
        <v>PS-05-GZ1</v>
      </c>
      <c r="C357" s="52" t="str">
        <f t="shared" si="111"/>
        <v>Poste de Sectionnement n°05 GZ1</v>
      </c>
      <c r="D357" s="19">
        <v>27760</v>
      </c>
      <c r="E357" s="19">
        <v>27760</v>
      </c>
      <c r="F357" s="42"/>
      <c r="G357" s="42">
        <v>1</v>
      </c>
      <c r="H357" s="42"/>
      <c r="I357" s="42" t="s">
        <v>376</v>
      </c>
      <c r="J357" s="42" t="s">
        <v>1891</v>
      </c>
      <c r="K357" s="44">
        <f t="shared" si="108"/>
        <v>984</v>
      </c>
      <c r="L357" s="44">
        <f t="shared" si="109"/>
        <v>325.27300000000002</v>
      </c>
      <c r="M357" s="42" t="s">
        <v>1946</v>
      </c>
      <c r="N357" s="52" t="str">
        <f t="shared" si="107"/>
        <v>(5,'PS-05-GZ1','Poste de Sectionnement n°05 GZ1','Thursday-01-jj','Thursday-01-jj',,1,),</v>
      </c>
    </row>
    <row r="358" spans="1:14" ht="20.100000000000001" customHeight="1" x14ac:dyDescent="0.25">
      <c r="A358" s="39">
        <v>6</v>
      </c>
      <c r="B358" s="40" t="str">
        <f t="shared" si="110"/>
        <v>PS-06-GZ1</v>
      </c>
      <c r="C358" s="52" t="str">
        <f t="shared" si="111"/>
        <v>Poste de Sectionnement n°06 GZ1</v>
      </c>
      <c r="D358" s="19">
        <v>27760</v>
      </c>
      <c r="E358" s="19">
        <v>27760</v>
      </c>
      <c r="F358" s="42"/>
      <c r="G358" s="42">
        <v>1</v>
      </c>
      <c r="H358" s="42"/>
      <c r="I358" s="42" t="s">
        <v>376</v>
      </c>
      <c r="J358" s="42" t="s">
        <v>1892</v>
      </c>
      <c r="K358" s="44">
        <f t="shared" si="108"/>
        <v>630</v>
      </c>
      <c r="L358" s="44">
        <f t="shared" si="109"/>
        <v>351.2</v>
      </c>
      <c r="M358" s="42" t="s">
        <v>762</v>
      </c>
      <c r="N358" s="52" t="str">
        <f t="shared" si="107"/>
        <v>(6,'PS-06-GZ1','Poste de Sectionnement n°06 GZ1','Thursday-01-jj','Thursday-01-jj',,1,),</v>
      </c>
    </row>
    <row r="359" spans="1:14" ht="20.100000000000001" customHeight="1" x14ac:dyDescent="0.25">
      <c r="A359" s="39">
        <v>7</v>
      </c>
      <c r="B359" s="40" t="str">
        <f t="shared" si="110"/>
        <v>PS-07-GZ1</v>
      </c>
      <c r="C359" s="52" t="str">
        <f t="shared" si="111"/>
        <v>Poste de Sectionnement n°07 GZ1</v>
      </c>
      <c r="D359" s="19">
        <v>27760</v>
      </c>
      <c r="E359" s="19">
        <v>27760</v>
      </c>
      <c r="F359" s="42"/>
      <c r="G359" s="42">
        <v>1</v>
      </c>
      <c r="H359" s="42"/>
      <c r="I359" s="42" t="s">
        <v>376</v>
      </c>
      <c r="J359" s="42" t="s">
        <v>1893</v>
      </c>
      <c r="K359" s="44">
        <f t="shared" si="108"/>
        <v>670</v>
      </c>
      <c r="L359" s="44">
        <f t="shared" si="109"/>
        <v>371.12799999999999</v>
      </c>
      <c r="M359" s="42" t="s">
        <v>763</v>
      </c>
      <c r="N359" s="52" t="str">
        <f t="shared" si="107"/>
        <v>(7,'PS-07-GZ1','Poste de Sectionnement n°07 GZ1','Thursday-01-jj','Thursday-01-jj',,1,),</v>
      </c>
    </row>
    <row r="360" spans="1:14" ht="20.100000000000001" customHeight="1" x14ac:dyDescent="0.25">
      <c r="A360" s="39">
        <v>8</v>
      </c>
      <c r="B360" s="40" t="str">
        <f t="shared" si="110"/>
        <v>PS-08-GZ1</v>
      </c>
      <c r="C360" s="52" t="str">
        <f t="shared" si="111"/>
        <v>Poste de Sectionnement n°08 GZ1</v>
      </c>
      <c r="D360" s="19">
        <v>27760</v>
      </c>
      <c r="E360" s="19">
        <v>27760</v>
      </c>
      <c r="F360" s="42"/>
      <c r="G360" s="42">
        <v>1</v>
      </c>
      <c r="H360" s="42"/>
      <c r="I360" s="42" t="s">
        <v>376</v>
      </c>
      <c r="J360" s="42" t="s">
        <v>1894</v>
      </c>
      <c r="K360" s="44">
        <f t="shared" si="108"/>
        <v>73</v>
      </c>
      <c r="L360" s="44">
        <f t="shared" si="109"/>
        <v>421.375</v>
      </c>
      <c r="M360" s="42" t="s">
        <v>1947</v>
      </c>
      <c r="N360" s="52" t="str">
        <f t="shared" si="107"/>
        <v>(8,'PS-08-GZ1','Poste de Sectionnement n°08 GZ1','Thursday-01-jj','Thursday-01-jj',,1,),</v>
      </c>
    </row>
    <row r="361" spans="1:14" ht="20.100000000000001" customHeight="1" x14ac:dyDescent="0.25">
      <c r="A361" s="39">
        <v>9</v>
      </c>
      <c r="B361" s="40" t="str">
        <f t="shared" si="110"/>
        <v>PS-09-GZ1</v>
      </c>
      <c r="C361" s="52" t="str">
        <f t="shared" si="111"/>
        <v>Poste de Sectionnement n°09 GZ1</v>
      </c>
      <c r="D361" s="19">
        <v>27760</v>
      </c>
      <c r="E361" s="19">
        <v>27760</v>
      </c>
      <c r="F361" s="42"/>
      <c r="G361" s="42">
        <v>1</v>
      </c>
      <c r="H361" s="42"/>
      <c r="I361" s="42" t="s">
        <v>376</v>
      </c>
      <c r="J361" s="42" t="s">
        <v>1895</v>
      </c>
      <c r="K361" s="44">
        <f t="shared" si="108"/>
        <v>70</v>
      </c>
      <c r="L361" s="44">
        <f t="shared" si="109"/>
        <v>442.51499999999999</v>
      </c>
      <c r="M361" s="42" t="s">
        <v>1948</v>
      </c>
      <c r="N361" s="52" t="str">
        <f t="shared" si="107"/>
        <v>(9,'PS-09-GZ1','Poste de Sectionnement n°09 GZ1','Thursday-01-jj','Thursday-01-jj',,1,),</v>
      </c>
    </row>
    <row r="362" spans="1:14" ht="20.100000000000001" customHeight="1" x14ac:dyDescent="0.25">
      <c r="A362" s="39">
        <v>10</v>
      </c>
      <c r="B362" s="40" t="str">
        <f t="shared" si="110"/>
        <v>PS-10-GZ1</v>
      </c>
      <c r="C362" s="52" t="str">
        <f t="shared" si="111"/>
        <v>Poste de Sectionnement n°10 GZ1</v>
      </c>
      <c r="D362" s="19">
        <v>27760</v>
      </c>
      <c r="E362" s="19">
        <v>27760</v>
      </c>
      <c r="F362" s="42"/>
      <c r="G362" s="42">
        <v>1</v>
      </c>
      <c r="H362" s="42"/>
      <c r="I362" s="42" t="s">
        <v>376</v>
      </c>
      <c r="J362" s="42" t="s">
        <v>1896</v>
      </c>
      <c r="K362" s="44">
        <f t="shared" si="108"/>
        <v>13</v>
      </c>
      <c r="L362" s="44">
        <f t="shared" si="109"/>
        <v>470.26600000000002</v>
      </c>
      <c r="M362" s="42" t="s">
        <v>1953</v>
      </c>
      <c r="N362" s="52" t="str">
        <f t="shared" si="107"/>
        <v>(10,'PS-10-GZ1','Poste de Sectionnement n°10 GZ1','Thursday-01-jj','Thursday-01-jj',,1,),</v>
      </c>
    </row>
    <row r="363" spans="1:14" ht="20.100000000000001" customHeight="1" x14ac:dyDescent="0.25">
      <c r="A363" s="39">
        <v>11</v>
      </c>
      <c r="B363" s="40" t="str">
        <f t="shared" si="110"/>
        <v>PS-11-GZ1</v>
      </c>
      <c r="C363" s="52" t="str">
        <f t="shared" si="111"/>
        <v>Poste de Sectionnement n°11 GZ1</v>
      </c>
      <c r="D363" s="19">
        <v>27760</v>
      </c>
      <c r="E363" s="19">
        <v>27760</v>
      </c>
      <c r="F363" s="42"/>
      <c r="G363" s="42">
        <v>1</v>
      </c>
      <c r="H363" s="42"/>
      <c r="I363" s="42" t="s">
        <v>376</v>
      </c>
      <c r="J363" s="42" t="s">
        <v>1897</v>
      </c>
      <c r="K363" s="44">
        <f t="shared" si="108"/>
        <v>24</v>
      </c>
      <c r="L363" s="44">
        <f t="shared" si="109"/>
        <v>486.45</v>
      </c>
      <c r="M363" s="42" t="s">
        <v>1954</v>
      </c>
      <c r="N363" s="52" t="str">
        <f t="shared" si="107"/>
        <v>(11,'PS-11-GZ1','Poste de Sectionnement n°11 GZ1','Thursday-01-jj','Thursday-01-jj',,1,),</v>
      </c>
    </row>
    <row r="364" spans="1:14" ht="20.100000000000001" customHeight="1" x14ac:dyDescent="0.25">
      <c r="A364" s="39">
        <v>12</v>
      </c>
      <c r="B364" s="40" t="str">
        <f t="shared" si="110"/>
        <v>PS-12-GZ1</v>
      </c>
      <c r="C364" s="52" t="str">
        <f t="shared" si="111"/>
        <v>Poste de Sectionnement n°12 GZ1</v>
      </c>
      <c r="D364" s="19">
        <v>27760</v>
      </c>
      <c r="E364" s="19">
        <v>27760</v>
      </c>
      <c r="F364" s="42"/>
      <c r="G364" s="42">
        <v>1</v>
      </c>
      <c r="H364" s="42"/>
      <c r="I364" s="42" t="s">
        <v>376</v>
      </c>
      <c r="J364" s="42" t="s">
        <v>1898</v>
      </c>
      <c r="K364" s="44">
        <f t="shared" si="108"/>
        <v>436</v>
      </c>
      <c r="L364" s="44">
        <f t="shared" si="109"/>
        <v>487.72</v>
      </c>
      <c r="M364" s="42" t="s">
        <v>1955</v>
      </c>
      <c r="N364" s="52" t="str">
        <f t="shared" si="107"/>
        <v>(12,'PS-12-GZ1','Poste de Sectionnement n°12 GZ1','Thursday-01-jj','Thursday-01-jj',,1,),</v>
      </c>
    </row>
    <row r="365" spans="1:14" ht="20.100000000000001" customHeight="1" x14ac:dyDescent="0.25">
      <c r="A365" s="39">
        <v>1</v>
      </c>
      <c r="B365" s="40" t="str">
        <f t="shared" si="110"/>
        <v>PS-01-GZ2</v>
      </c>
      <c r="C365" s="52" t="str">
        <f t="shared" si="111"/>
        <v>Poste de Sectionnement n°01 GZ2</v>
      </c>
      <c r="D365" s="19">
        <v>29952</v>
      </c>
      <c r="E365" s="19">
        <v>29952</v>
      </c>
      <c r="F365" s="42"/>
      <c r="G365" s="42">
        <v>1</v>
      </c>
      <c r="H365" s="42"/>
      <c r="I365" s="42" t="s">
        <v>379</v>
      </c>
      <c r="J365" s="42" t="s">
        <v>1902</v>
      </c>
      <c r="K365" s="44">
        <f t="shared" ref="K365:K394" si="112">VALUE(RIGHT(J365,LEN(J365)-SEARCH("/",J365)))</f>
        <v>836</v>
      </c>
      <c r="L365" s="44">
        <f t="shared" ref="L365:L394" si="113">VALUE(SUBSTITUTE(LEFT(J365,SEARCH("/",J365)-1),"+",","))</f>
        <v>57.293999999999997</v>
      </c>
      <c r="M365" s="42" t="s">
        <v>798</v>
      </c>
      <c r="N365" s="52" t="str">
        <f t="shared" si="107"/>
        <v>(1,'PS-01-GZ2','Poste de Sectionnement n°01 GZ2','Friday-01-jj','Friday-01-jj',,1,),</v>
      </c>
    </row>
    <row r="366" spans="1:14" ht="20.100000000000001" customHeight="1" x14ac:dyDescent="0.25">
      <c r="A366" s="39">
        <v>2</v>
      </c>
      <c r="B366" s="40" t="str">
        <f t="shared" si="110"/>
        <v>PS-02-GZ2</v>
      </c>
      <c r="C366" s="52" t="str">
        <f t="shared" si="111"/>
        <v>Poste de Sectionnement n°02 GZ2</v>
      </c>
      <c r="D366" s="19">
        <v>29952</v>
      </c>
      <c r="E366" s="19">
        <v>29952</v>
      </c>
      <c r="F366" s="42"/>
      <c r="G366" s="42">
        <v>1</v>
      </c>
      <c r="H366" s="42"/>
      <c r="I366" s="42" t="s">
        <v>379</v>
      </c>
      <c r="J366" s="42" t="s">
        <v>1903</v>
      </c>
      <c r="K366" s="44">
        <f t="shared" si="112"/>
        <v>820</v>
      </c>
      <c r="L366" s="44">
        <f t="shared" si="113"/>
        <v>113.494</v>
      </c>
      <c r="M366" s="42" t="s">
        <v>1945</v>
      </c>
      <c r="N366" s="52" t="str">
        <f t="shared" si="107"/>
        <v>(2,'PS-02-GZ2','Poste de Sectionnement n°02 GZ2','Friday-01-jj','Friday-01-jj',,1,),</v>
      </c>
    </row>
    <row r="367" spans="1:14" ht="20.100000000000001" customHeight="1" x14ac:dyDescent="0.25">
      <c r="A367" s="39">
        <v>3</v>
      </c>
      <c r="B367" s="40" t="str">
        <f t="shared" ref="B367:B396" si="114">CONCATENATE("PS-",TEXT(A367,"00"),"-",I367)</f>
        <v>PS-03-GZ2</v>
      </c>
      <c r="C367" s="52" t="str">
        <f t="shared" ref="C367:C396" si="115">CONCATENATE("Poste de Sectionnement n°",TEXT(A367,"00")," ",I367)</f>
        <v>Poste de Sectionnement n°03 GZ2</v>
      </c>
      <c r="D367" s="19">
        <v>29952</v>
      </c>
      <c r="E367" s="19">
        <v>29952</v>
      </c>
      <c r="F367" s="42"/>
      <c r="G367" s="42">
        <v>1</v>
      </c>
      <c r="H367" s="42"/>
      <c r="I367" s="42" t="s">
        <v>379</v>
      </c>
      <c r="J367" s="42" t="s">
        <v>1904</v>
      </c>
      <c r="K367" s="44">
        <f t="shared" si="112"/>
        <v>1237</v>
      </c>
      <c r="L367" s="44">
        <f t="shared" si="113"/>
        <v>167.279</v>
      </c>
      <c r="M367" s="42" t="s">
        <v>1945</v>
      </c>
      <c r="N367" s="52" t="str">
        <f t="shared" si="107"/>
        <v>(3,'PS-03-GZ2','Poste de Sectionnement n°03 GZ2','Friday-01-jj','Friday-01-jj',,1,),</v>
      </c>
    </row>
    <row r="368" spans="1:14" ht="20.100000000000001" customHeight="1" x14ac:dyDescent="0.25">
      <c r="A368" s="39">
        <v>4</v>
      </c>
      <c r="B368" s="40" t="str">
        <f t="shared" si="114"/>
        <v>PS-04-GZ2</v>
      </c>
      <c r="C368" s="52" t="str">
        <f t="shared" si="115"/>
        <v>Poste de Sectionnement n°04 GZ2</v>
      </c>
      <c r="D368" s="19">
        <v>29952</v>
      </c>
      <c r="E368" s="19">
        <v>29952</v>
      </c>
      <c r="F368" s="42"/>
      <c r="G368" s="42">
        <v>1</v>
      </c>
      <c r="H368" s="42"/>
      <c r="I368" s="42" t="s">
        <v>379</v>
      </c>
      <c r="J368" s="42" t="s">
        <v>1905</v>
      </c>
      <c r="K368" s="44">
        <f t="shared" si="112"/>
        <v>1162</v>
      </c>
      <c r="L368" s="44">
        <f t="shared" si="113"/>
        <v>275.327</v>
      </c>
      <c r="M368" s="42" t="s">
        <v>1875</v>
      </c>
      <c r="N368" s="52" t="str">
        <f t="shared" si="107"/>
        <v>(4,'PS-04-GZ2','Poste de Sectionnement n°04 GZ2','Friday-01-jj','Friday-01-jj',,1,),</v>
      </c>
    </row>
    <row r="369" spans="1:14" ht="20.100000000000001" customHeight="1" x14ac:dyDescent="0.25">
      <c r="A369" s="39">
        <v>5</v>
      </c>
      <c r="B369" s="40" t="str">
        <f t="shared" si="114"/>
        <v>PS-05-GZ2</v>
      </c>
      <c r="C369" s="52" t="str">
        <f t="shared" si="115"/>
        <v>Poste de Sectionnement n°05 GZ2</v>
      </c>
      <c r="D369" s="19">
        <v>29952</v>
      </c>
      <c r="E369" s="19">
        <v>29952</v>
      </c>
      <c r="F369" s="42"/>
      <c r="G369" s="42">
        <v>1</v>
      </c>
      <c r="H369" s="42"/>
      <c r="I369" s="42" t="s">
        <v>379</v>
      </c>
      <c r="J369" s="42" t="s">
        <v>1906</v>
      </c>
      <c r="K369" s="44">
        <f t="shared" si="112"/>
        <v>984</v>
      </c>
      <c r="L369" s="44">
        <f t="shared" si="113"/>
        <v>325.846</v>
      </c>
      <c r="M369" s="42" t="s">
        <v>1946</v>
      </c>
      <c r="N369" s="52" t="str">
        <f t="shared" si="107"/>
        <v>(5,'PS-05-GZ2','Poste de Sectionnement n°05 GZ2','Friday-01-jj','Friday-01-jj',,1,),</v>
      </c>
    </row>
    <row r="370" spans="1:14" ht="20.100000000000001" customHeight="1" x14ac:dyDescent="0.25">
      <c r="A370" s="39">
        <v>6</v>
      </c>
      <c r="B370" s="40" t="str">
        <f t="shared" si="114"/>
        <v>PS-06-GZ2</v>
      </c>
      <c r="C370" s="52" t="str">
        <f t="shared" si="115"/>
        <v>Poste de Sectionnement n°06 GZ2</v>
      </c>
      <c r="D370" s="19">
        <v>29952</v>
      </c>
      <c r="E370" s="19">
        <v>29952</v>
      </c>
      <c r="F370" s="42"/>
      <c r="G370" s="42">
        <v>1</v>
      </c>
      <c r="H370" s="42"/>
      <c r="I370" s="42" t="s">
        <v>379</v>
      </c>
      <c r="J370" s="42" t="s">
        <v>1907</v>
      </c>
      <c r="K370" s="44">
        <f t="shared" si="112"/>
        <v>630</v>
      </c>
      <c r="L370" s="44">
        <f t="shared" si="113"/>
        <v>351.44900000000001</v>
      </c>
      <c r="M370" s="42" t="s">
        <v>762</v>
      </c>
      <c r="N370" s="52" t="str">
        <f t="shared" si="107"/>
        <v>(6,'PS-06-GZ2','Poste de Sectionnement n°06 GZ2','Friday-01-jj','Friday-01-jj',,1,),</v>
      </c>
    </row>
    <row r="371" spans="1:14" ht="20.100000000000001" customHeight="1" x14ac:dyDescent="0.25">
      <c r="A371" s="39">
        <v>7</v>
      </c>
      <c r="B371" s="40" t="str">
        <f t="shared" si="114"/>
        <v>PS-07-GZ2</v>
      </c>
      <c r="C371" s="52" t="str">
        <f t="shared" si="115"/>
        <v>Poste de Sectionnement n°07 GZ2</v>
      </c>
      <c r="D371" s="19">
        <v>29952</v>
      </c>
      <c r="E371" s="19">
        <v>29952</v>
      </c>
      <c r="F371" s="42"/>
      <c r="G371" s="42">
        <v>1</v>
      </c>
      <c r="H371" s="42"/>
      <c r="I371" s="42" t="s">
        <v>379</v>
      </c>
      <c r="J371" s="42" t="s">
        <v>1908</v>
      </c>
      <c r="K371" s="44">
        <f t="shared" si="112"/>
        <v>670</v>
      </c>
      <c r="L371" s="44">
        <f t="shared" si="113"/>
        <v>371.791</v>
      </c>
      <c r="M371" s="42" t="s">
        <v>763</v>
      </c>
      <c r="N371" s="52" t="str">
        <f t="shared" si="107"/>
        <v>(7,'PS-07-GZ2','Poste de Sectionnement n°07 GZ2','Friday-01-jj','Friday-01-jj',,1,),</v>
      </c>
    </row>
    <row r="372" spans="1:14" ht="20.100000000000001" customHeight="1" x14ac:dyDescent="0.25">
      <c r="A372" s="39">
        <v>8</v>
      </c>
      <c r="B372" s="40" t="str">
        <f t="shared" si="114"/>
        <v>PS-08-GZ2</v>
      </c>
      <c r="C372" s="52" t="str">
        <f t="shared" si="115"/>
        <v>Poste de Sectionnement n°08 GZ2</v>
      </c>
      <c r="D372" s="19">
        <v>29952</v>
      </c>
      <c r="E372" s="19">
        <v>29952</v>
      </c>
      <c r="F372" s="42"/>
      <c r="G372" s="42">
        <v>1</v>
      </c>
      <c r="H372" s="42"/>
      <c r="I372" s="42" t="s">
        <v>379</v>
      </c>
      <c r="J372" s="42" t="s">
        <v>1909</v>
      </c>
      <c r="K372" s="44">
        <f t="shared" si="112"/>
        <v>73</v>
      </c>
      <c r="L372" s="44">
        <f t="shared" si="113"/>
        <v>423.3</v>
      </c>
      <c r="M372" s="42" t="s">
        <v>1947</v>
      </c>
      <c r="N372" s="52" t="str">
        <f t="shared" si="107"/>
        <v>(8,'PS-08-GZ2','Poste de Sectionnement n°08 GZ2','Friday-01-jj','Friday-01-jj',,1,),</v>
      </c>
    </row>
    <row r="373" spans="1:14" ht="20.100000000000001" customHeight="1" x14ac:dyDescent="0.25">
      <c r="A373" s="39">
        <v>9</v>
      </c>
      <c r="B373" s="40" t="str">
        <f t="shared" si="114"/>
        <v>PS-09-GZ2</v>
      </c>
      <c r="C373" s="52" t="str">
        <f t="shared" si="115"/>
        <v>Poste de Sectionnement n°09 GZ2</v>
      </c>
      <c r="D373" s="19">
        <v>29952</v>
      </c>
      <c r="E373" s="19">
        <v>29952</v>
      </c>
      <c r="F373" s="42"/>
      <c r="G373" s="42">
        <v>1</v>
      </c>
      <c r="H373" s="42"/>
      <c r="I373" s="42" t="s">
        <v>379</v>
      </c>
      <c r="J373" s="42" t="s">
        <v>1910</v>
      </c>
      <c r="K373" s="44">
        <f t="shared" si="112"/>
        <v>181</v>
      </c>
      <c r="L373" s="44">
        <f t="shared" si="113"/>
        <v>444.06</v>
      </c>
      <c r="M373" s="42" t="s">
        <v>1948</v>
      </c>
      <c r="N373" s="52" t="str">
        <f t="shared" si="107"/>
        <v>(9,'PS-09-GZ2','Poste de Sectionnement n°09 GZ2','Friday-01-jj','Friday-01-jj',,1,),</v>
      </c>
    </row>
    <row r="374" spans="1:14" ht="20.100000000000001" customHeight="1" x14ac:dyDescent="0.25">
      <c r="A374" s="39">
        <v>10</v>
      </c>
      <c r="B374" s="40" t="str">
        <f t="shared" si="114"/>
        <v>PS-10-GZ2</v>
      </c>
      <c r="C374" s="52" t="str">
        <f t="shared" si="115"/>
        <v>Poste de Sectionnement n°10 GZ2</v>
      </c>
      <c r="D374" s="19">
        <v>29952</v>
      </c>
      <c r="E374" s="19">
        <v>29952</v>
      </c>
      <c r="F374" s="42"/>
      <c r="G374" s="42">
        <v>1</v>
      </c>
      <c r="H374" s="42"/>
      <c r="I374" s="42" t="s">
        <v>379</v>
      </c>
      <c r="J374" s="42" t="s">
        <v>1911</v>
      </c>
      <c r="K374" s="44">
        <f t="shared" si="112"/>
        <v>65</v>
      </c>
      <c r="L374" s="44">
        <f t="shared" si="113"/>
        <v>470.71600000000001</v>
      </c>
      <c r="M374" s="42" t="s">
        <v>1796</v>
      </c>
      <c r="N374" s="52" t="str">
        <f t="shared" si="107"/>
        <v>(10,'PS-10-GZ2','Poste de Sectionnement n°10 GZ2','Friday-01-jj','Friday-01-jj',,1,),</v>
      </c>
    </row>
    <row r="375" spans="1:14" ht="20.100000000000001" customHeight="1" x14ac:dyDescent="0.25">
      <c r="A375" s="39">
        <v>11</v>
      </c>
      <c r="B375" s="40" t="str">
        <f t="shared" si="114"/>
        <v>PS-11-GZ2</v>
      </c>
      <c r="C375" s="52" t="str">
        <f t="shared" si="115"/>
        <v>Poste de Sectionnement n°11 GZ2</v>
      </c>
      <c r="D375" s="19">
        <v>29952</v>
      </c>
      <c r="E375" s="19">
        <v>29952</v>
      </c>
      <c r="F375" s="42"/>
      <c r="G375" s="42">
        <v>1</v>
      </c>
      <c r="H375" s="42"/>
      <c r="I375" s="42" t="s">
        <v>379</v>
      </c>
      <c r="J375" s="42" t="s">
        <v>1912</v>
      </c>
      <c r="K375" s="44">
        <f t="shared" si="112"/>
        <v>95</v>
      </c>
      <c r="L375" s="44">
        <f t="shared" si="113"/>
        <v>501.85</v>
      </c>
      <c r="M375" s="42" t="s">
        <v>1949</v>
      </c>
      <c r="N375" s="52" t="str">
        <f t="shared" si="107"/>
        <v>(11,'PS-11-GZ2','Poste de Sectionnement n°11 GZ2','Friday-01-jj','Friday-01-jj',,1,),</v>
      </c>
    </row>
    <row r="376" spans="1:14" ht="20.100000000000001" customHeight="1" x14ac:dyDescent="0.25">
      <c r="A376" s="39">
        <v>1</v>
      </c>
      <c r="B376" s="40" t="str">
        <f t="shared" si="114"/>
        <v>PS-01-RGZ2</v>
      </c>
      <c r="C376" s="52" t="str">
        <f t="shared" si="115"/>
        <v>Poste de Sectionnement n°01 RGZ2</v>
      </c>
      <c r="D376" s="19"/>
      <c r="E376" s="42"/>
      <c r="F376" s="42"/>
      <c r="G376" s="42">
        <v>1</v>
      </c>
      <c r="H376" s="42"/>
      <c r="I376" s="42" t="s">
        <v>381</v>
      </c>
      <c r="J376" s="42" t="s">
        <v>1913</v>
      </c>
      <c r="K376" s="44">
        <f t="shared" si="112"/>
        <v>1211</v>
      </c>
      <c r="L376" s="44">
        <f t="shared" si="113"/>
        <v>13.6</v>
      </c>
      <c r="M376" s="42" t="s">
        <v>1932</v>
      </c>
      <c r="N376" s="52" t="str">
        <f t="shared" si="107"/>
        <v>(1,'PS-01-RGZ2','Poste de Sectionnement n°01 RGZ2','Saturday-01-jj','Saturday-01-jj',,1,),</v>
      </c>
    </row>
    <row r="377" spans="1:14" ht="20.100000000000001" customHeight="1" x14ac:dyDescent="0.25">
      <c r="A377" s="39">
        <v>2</v>
      </c>
      <c r="B377" s="40" t="str">
        <f t="shared" si="114"/>
        <v>PS-02-RGZ2</v>
      </c>
      <c r="C377" s="52" t="str">
        <f t="shared" si="115"/>
        <v>Poste de Sectionnement n°02 RGZ2</v>
      </c>
      <c r="D377" s="19"/>
      <c r="E377" s="42"/>
      <c r="F377" s="42"/>
      <c r="G377" s="42">
        <v>1</v>
      </c>
      <c r="H377" s="42"/>
      <c r="I377" s="42" t="s">
        <v>381</v>
      </c>
      <c r="J377" s="42" t="s">
        <v>1914</v>
      </c>
      <c r="K377" s="44">
        <f t="shared" si="112"/>
        <v>1059</v>
      </c>
      <c r="L377" s="44">
        <f t="shared" si="113"/>
        <v>24.9</v>
      </c>
      <c r="M377" s="42" t="s">
        <v>761</v>
      </c>
      <c r="N377" s="52" t="str">
        <f t="shared" si="107"/>
        <v>(2,'PS-02-RGZ2','Poste de Sectionnement n°02 RGZ2','Saturday-01-jj','Saturday-01-jj',,1,),</v>
      </c>
    </row>
    <row r="378" spans="1:14" ht="20.100000000000001" customHeight="1" x14ac:dyDescent="0.25">
      <c r="A378" s="39">
        <v>3</v>
      </c>
      <c r="B378" s="40" t="str">
        <f t="shared" si="114"/>
        <v>PS-03-RGZ2</v>
      </c>
      <c r="C378" s="52" t="str">
        <f t="shared" si="115"/>
        <v>Poste de Sectionnement n°03 RGZ2</v>
      </c>
      <c r="D378" s="19"/>
      <c r="E378" s="42"/>
      <c r="F378" s="42"/>
      <c r="G378" s="42">
        <v>1</v>
      </c>
      <c r="H378" s="42"/>
      <c r="I378" s="42" t="s">
        <v>381</v>
      </c>
      <c r="J378" s="42" t="s">
        <v>1915</v>
      </c>
      <c r="K378" s="44">
        <f t="shared" si="112"/>
        <v>953</v>
      </c>
      <c r="L378" s="44">
        <f t="shared" si="113"/>
        <v>35</v>
      </c>
      <c r="M378" s="42" t="s">
        <v>1933</v>
      </c>
      <c r="N378" s="52" t="str">
        <f t="shared" si="107"/>
        <v>(3,'PS-03-RGZ2','Poste de Sectionnement n°03 RGZ2','Saturday-01-jj','Saturday-01-jj',,1,),</v>
      </c>
    </row>
    <row r="379" spans="1:14" ht="20.100000000000001" customHeight="1" x14ac:dyDescent="0.25">
      <c r="A379" s="39">
        <v>4</v>
      </c>
      <c r="B379" s="40" t="str">
        <f t="shared" si="114"/>
        <v>PS-04-RGZ2</v>
      </c>
      <c r="C379" s="52" t="str">
        <f t="shared" si="115"/>
        <v>Poste de Sectionnement n°04 RGZ2</v>
      </c>
      <c r="D379" s="19"/>
      <c r="E379" s="42"/>
      <c r="F379" s="42"/>
      <c r="G379" s="42">
        <v>1</v>
      </c>
      <c r="H379" s="42"/>
      <c r="I379" s="42" t="s">
        <v>381</v>
      </c>
      <c r="J379" s="42" t="s">
        <v>1916</v>
      </c>
      <c r="K379" s="44">
        <f t="shared" si="112"/>
        <v>910</v>
      </c>
      <c r="L379" s="44">
        <f t="shared" si="113"/>
        <v>43</v>
      </c>
      <c r="M379" s="42" t="s">
        <v>1934</v>
      </c>
      <c r="N379" s="52" t="str">
        <f t="shared" si="107"/>
        <v>(4,'PS-04-RGZ2','Poste de Sectionnement n°04 RGZ2','Saturday-01-jj','Saturday-01-jj',,1,),</v>
      </c>
    </row>
    <row r="380" spans="1:14" ht="20.100000000000001" customHeight="1" x14ac:dyDescent="0.25">
      <c r="A380" s="39">
        <v>5</v>
      </c>
      <c r="B380" s="40" t="str">
        <f t="shared" si="114"/>
        <v>PS-05-RGZ2</v>
      </c>
      <c r="C380" s="52" t="str">
        <f t="shared" si="115"/>
        <v>Poste de Sectionnement n°05 RGZ2</v>
      </c>
      <c r="D380" s="19"/>
      <c r="E380" s="42"/>
      <c r="F380" s="42"/>
      <c r="G380" s="42">
        <v>1</v>
      </c>
      <c r="H380" s="42"/>
      <c r="I380" s="42" t="s">
        <v>381</v>
      </c>
      <c r="J380" s="42" t="s">
        <v>1917</v>
      </c>
      <c r="K380" s="44">
        <f t="shared" si="112"/>
        <v>722</v>
      </c>
      <c r="L380" s="44">
        <f t="shared" si="113"/>
        <v>55</v>
      </c>
      <c r="M380" s="42" t="s">
        <v>1934</v>
      </c>
      <c r="N380" s="52" t="str">
        <f t="shared" si="107"/>
        <v>(5,'PS-05-RGZ2','Poste de Sectionnement n°05 RGZ2','Saturday-01-jj','Saturday-01-jj',,1,),</v>
      </c>
    </row>
    <row r="381" spans="1:14" ht="20.100000000000001" customHeight="1" x14ac:dyDescent="0.25">
      <c r="A381" s="39">
        <v>6</v>
      </c>
      <c r="B381" s="40" t="str">
        <f t="shared" si="114"/>
        <v>PS-06-RGZ2</v>
      </c>
      <c r="C381" s="52" t="str">
        <f t="shared" si="115"/>
        <v>Poste de Sectionnement n°06 RGZ2</v>
      </c>
      <c r="D381" s="19"/>
      <c r="E381" s="42"/>
      <c r="F381" s="42"/>
      <c r="G381" s="42">
        <v>1</v>
      </c>
      <c r="H381" s="42"/>
      <c r="I381" s="42" t="s">
        <v>381</v>
      </c>
      <c r="J381" s="42" t="s">
        <v>1918</v>
      </c>
      <c r="K381" s="44">
        <f t="shared" si="112"/>
        <v>589</v>
      </c>
      <c r="L381" s="44">
        <f t="shared" si="113"/>
        <v>65</v>
      </c>
      <c r="M381" s="42" t="s">
        <v>1935</v>
      </c>
      <c r="N381" s="52" t="str">
        <f t="shared" si="107"/>
        <v>(6,'PS-06-RGZ2','Poste de Sectionnement n°06 RGZ2','Saturday-01-jj','Saturday-01-jj',,1,),</v>
      </c>
    </row>
    <row r="382" spans="1:14" ht="20.100000000000001" customHeight="1" x14ac:dyDescent="0.25">
      <c r="A382" s="39">
        <v>7</v>
      </c>
      <c r="B382" s="40" t="str">
        <f t="shared" si="114"/>
        <v>PS-07-RGZ2</v>
      </c>
      <c r="C382" s="52" t="str">
        <f t="shared" si="115"/>
        <v>Poste de Sectionnement n°07 RGZ2</v>
      </c>
      <c r="D382" s="19"/>
      <c r="E382" s="42"/>
      <c r="F382" s="42"/>
      <c r="G382" s="42">
        <v>1</v>
      </c>
      <c r="H382" s="42"/>
      <c r="I382" s="42" t="s">
        <v>381</v>
      </c>
      <c r="J382" s="42" t="s">
        <v>1919</v>
      </c>
      <c r="K382" s="44">
        <f t="shared" si="112"/>
        <v>679</v>
      </c>
      <c r="L382" s="44">
        <f t="shared" si="113"/>
        <v>74</v>
      </c>
      <c r="M382" s="42" t="s">
        <v>763</v>
      </c>
      <c r="N382" s="52" t="str">
        <f t="shared" si="107"/>
        <v>(7,'PS-07-RGZ2','Poste de Sectionnement n°07 RGZ2','Saturday-01-jj','Saturday-01-jj',,1,),</v>
      </c>
    </row>
    <row r="383" spans="1:14" ht="20.100000000000001" customHeight="1" x14ac:dyDescent="0.25">
      <c r="A383" s="39">
        <v>8</v>
      </c>
      <c r="B383" s="40" t="str">
        <f t="shared" si="114"/>
        <v>PS-08-RGZ2</v>
      </c>
      <c r="C383" s="52" t="str">
        <f t="shared" si="115"/>
        <v>Poste de Sectionnement n°08 RGZ2</v>
      </c>
      <c r="D383" s="19"/>
      <c r="E383" s="42"/>
      <c r="F383" s="42"/>
      <c r="G383" s="42">
        <v>1</v>
      </c>
      <c r="H383" s="42"/>
      <c r="I383" s="42" t="s">
        <v>381</v>
      </c>
      <c r="J383" s="42" t="s">
        <v>1920</v>
      </c>
      <c r="K383" s="44">
        <f t="shared" si="112"/>
        <v>556</v>
      </c>
      <c r="L383" s="44">
        <f t="shared" si="113"/>
        <v>86</v>
      </c>
      <c r="M383" s="42" t="s">
        <v>1936</v>
      </c>
      <c r="N383" s="52" t="str">
        <f t="shared" si="107"/>
        <v>(8,'PS-08-RGZ2','Poste de Sectionnement n°08 RGZ2','Saturday-01-jj','Saturday-01-jj',,1,),</v>
      </c>
    </row>
    <row r="384" spans="1:14" ht="20.100000000000001" customHeight="1" x14ac:dyDescent="0.25">
      <c r="A384" s="39">
        <v>9</v>
      </c>
      <c r="B384" s="40" t="str">
        <f t="shared" si="114"/>
        <v>PS-09-RGZ2</v>
      </c>
      <c r="C384" s="52" t="str">
        <f t="shared" si="115"/>
        <v>Poste de Sectionnement n°09 RGZ2</v>
      </c>
      <c r="D384" s="19"/>
      <c r="E384" s="42"/>
      <c r="F384" s="42"/>
      <c r="G384" s="42">
        <v>1</v>
      </c>
      <c r="H384" s="42"/>
      <c r="I384" s="42" t="s">
        <v>381</v>
      </c>
      <c r="J384" s="42" t="s">
        <v>1921</v>
      </c>
      <c r="K384" s="44">
        <f t="shared" si="112"/>
        <v>489</v>
      </c>
      <c r="L384" s="44">
        <f t="shared" si="113"/>
        <v>96</v>
      </c>
      <c r="M384" s="42" t="s">
        <v>764</v>
      </c>
      <c r="N384" s="52" t="str">
        <f t="shared" si="107"/>
        <v>(9,'PS-09-RGZ2','Poste de Sectionnement n°09 RGZ2','Saturday-01-jj','Saturday-01-jj',,1,),</v>
      </c>
    </row>
    <row r="385" spans="1:14" ht="20.100000000000001" customHeight="1" x14ac:dyDescent="0.25">
      <c r="A385" s="39">
        <v>10</v>
      </c>
      <c r="B385" s="40" t="str">
        <f t="shared" si="114"/>
        <v>PS-10-RGZ2</v>
      </c>
      <c r="C385" s="52" t="str">
        <f t="shared" si="115"/>
        <v>Poste de Sectionnement n°10 RGZ2</v>
      </c>
      <c r="D385" s="19"/>
      <c r="E385" s="42"/>
      <c r="F385" s="42"/>
      <c r="G385" s="42">
        <v>1</v>
      </c>
      <c r="H385" s="42"/>
      <c r="I385" s="42" t="s">
        <v>381</v>
      </c>
      <c r="J385" s="42" t="s">
        <v>1922</v>
      </c>
      <c r="K385" s="44">
        <f t="shared" si="112"/>
        <v>198</v>
      </c>
      <c r="L385" s="44">
        <f t="shared" si="113"/>
        <v>115</v>
      </c>
      <c r="M385" s="42" t="s">
        <v>1937</v>
      </c>
      <c r="N385" s="52" t="str">
        <f t="shared" si="107"/>
        <v>(10,'PS-10-RGZ2','Poste de Sectionnement n°10 RGZ2','Saturday-01-jj','Saturday-01-jj',,1,),</v>
      </c>
    </row>
    <row r="386" spans="1:14" ht="20.100000000000001" customHeight="1" x14ac:dyDescent="0.25">
      <c r="A386" s="39">
        <v>11</v>
      </c>
      <c r="B386" s="40" t="str">
        <f t="shared" si="114"/>
        <v>PS-11-RGZ2</v>
      </c>
      <c r="C386" s="52" t="str">
        <f t="shared" si="115"/>
        <v>Poste de Sectionnement n°11 RGZ2</v>
      </c>
      <c r="D386" s="19"/>
      <c r="E386" s="42"/>
      <c r="F386" s="42"/>
      <c r="G386" s="42">
        <v>1</v>
      </c>
      <c r="H386" s="42"/>
      <c r="I386" s="42" t="s">
        <v>381</v>
      </c>
      <c r="J386" s="42" t="s">
        <v>1923</v>
      </c>
      <c r="K386" s="44">
        <f t="shared" si="112"/>
        <v>136</v>
      </c>
      <c r="L386" s="44">
        <f t="shared" si="113"/>
        <v>126</v>
      </c>
      <c r="M386" s="42" t="s">
        <v>1938</v>
      </c>
      <c r="N386" s="52" t="str">
        <f t="shared" si="107"/>
        <v>(11,'PS-11-RGZ2','Poste de Sectionnement n°11 RGZ2','Saturday-01-jj','Saturday-01-jj',,1,),</v>
      </c>
    </row>
    <row r="387" spans="1:14" ht="20.100000000000001" customHeight="1" x14ac:dyDescent="0.25">
      <c r="A387" s="39">
        <v>12</v>
      </c>
      <c r="B387" s="40" t="str">
        <f t="shared" si="114"/>
        <v>PS-12-RGZ2</v>
      </c>
      <c r="C387" s="52" t="str">
        <f t="shared" si="115"/>
        <v>Poste de Sectionnement n°12 RGZ2</v>
      </c>
      <c r="D387" s="19"/>
      <c r="E387" s="42"/>
      <c r="F387" s="42"/>
      <c r="G387" s="42">
        <v>1</v>
      </c>
      <c r="H387" s="42"/>
      <c r="I387" s="42" t="s">
        <v>381</v>
      </c>
      <c r="J387" s="42" t="s">
        <v>1924</v>
      </c>
      <c r="K387" s="44">
        <f t="shared" si="112"/>
        <v>119</v>
      </c>
      <c r="L387" s="44">
        <f t="shared" si="113"/>
        <v>135</v>
      </c>
      <c r="M387" s="42" t="s">
        <v>1794</v>
      </c>
      <c r="N387" s="52" t="str">
        <f t="shared" si="107"/>
        <v>(12,'PS-12-RGZ2','Poste de Sectionnement n°12 RGZ2','Saturday-01-jj','Saturday-01-jj',,1,),</v>
      </c>
    </row>
    <row r="388" spans="1:14" ht="20.100000000000001" customHeight="1" x14ac:dyDescent="0.25">
      <c r="A388" s="39">
        <v>13</v>
      </c>
      <c r="B388" s="40" t="str">
        <f t="shared" si="114"/>
        <v>PS-13-RGZ2</v>
      </c>
      <c r="C388" s="52" t="str">
        <f t="shared" si="115"/>
        <v>Poste de Sectionnement n°13 RGZ2</v>
      </c>
      <c r="D388" s="19"/>
      <c r="E388" s="42"/>
      <c r="F388" s="42"/>
      <c r="G388" s="42">
        <v>1</v>
      </c>
      <c r="H388" s="42"/>
      <c r="I388" s="42" t="s">
        <v>381</v>
      </c>
      <c r="J388" s="42" t="s">
        <v>1925</v>
      </c>
      <c r="K388" s="44">
        <f t="shared" si="112"/>
        <v>334</v>
      </c>
      <c r="L388" s="44">
        <f t="shared" si="113"/>
        <v>145</v>
      </c>
      <c r="M388" s="42" t="s">
        <v>1939</v>
      </c>
      <c r="N388" s="52" t="str">
        <f t="shared" si="107"/>
        <v>(13,'PS-13-RGZ2','Poste de Sectionnement n°13 RGZ2','Saturday-01-jj','Saturday-01-jj',,1,),</v>
      </c>
    </row>
    <row r="389" spans="1:14" ht="20.100000000000001" customHeight="1" x14ac:dyDescent="0.25">
      <c r="A389" s="39">
        <v>14</v>
      </c>
      <c r="B389" s="40" t="str">
        <f t="shared" si="114"/>
        <v>PS-14-RGZ2</v>
      </c>
      <c r="C389" s="52" t="str">
        <f t="shared" si="115"/>
        <v>Poste de Sectionnement n°14 RGZ2</v>
      </c>
      <c r="D389" s="19"/>
      <c r="E389" s="42"/>
      <c r="F389" s="42"/>
      <c r="G389" s="42">
        <v>1</v>
      </c>
      <c r="H389" s="42"/>
      <c r="I389" s="42" t="s">
        <v>381</v>
      </c>
      <c r="J389" s="42" t="s">
        <v>1926</v>
      </c>
      <c r="K389" s="44">
        <f t="shared" si="112"/>
        <v>114</v>
      </c>
      <c r="L389" s="44">
        <f t="shared" si="113"/>
        <v>156</v>
      </c>
      <c r="M389" s="42" t="s">
        <v>1940</v>
      </c>
      <c r="N389" s="52" t="str">
        <f t="shared" si="107"/>
        <v>(14,'PS-14-RGZ2','Poste de Sectionnement n°14 RGZ2','Saturday-01-jj','Saturday-01-jj',,1,),</v>
      </c>
    </row>
    <row r="390" spans="1:14" ht="20.100000000000001" customHeight="1" x14ac:dyDescent="0.25">
      <c r="A390" s="39">
        <v>15</v>
      </c>
      <c r="B390" s="40" t="str">
        <f t="shared" si="114"/>
        <v>PS-15-RGZ2</v>
      </c>
      <c r="C390" s="52" t="str">
        <f t="shared" si="115"/>
        <v>Poste de Sectionnement n°15 RGZ2</v>
      </c>
      <c r="D390" s="19"/>
      <c r="E390" s="42"/>
      <c r="F390" s="42"/>
      <c r="G390" s="42">
        <v>1</v>
      </c>
      <c r="H390" s="42"/>
      <c r="I390" s="42" t="s">
        <v>381</v>
      </c>
      <c r="J390" s="42" t="s">
        <v>1927</v>
      </c>
      <c r="K390" s="44">
        <f t="shared" si="112"/>
        <v>40</v>
      </c>
      <c r="L390" s="44">
        <f t="shared" si="113"/>
        <v>166</v>
      </c>
      <c r="M390" s="42" t="s">
        <v>1756</v>
      </c>
      <c r="N390" s="52" t="str">
        <f t="shared" si="107"/>
        <v>(15,'PS-15-RGZ2','Poste de Sectionnement n°15 RGZ2','Saturday-01-jj','Saturday-01-jj',,1,),</v>
      </c>
    </row>
    <row r="391" spans="1:14" ht="20.100000000000001" customHeight="1" x14ac:dyDescent="0.25">
      <c r="A391" s="39">
        <v>16</v>
      </c>
      <c r="B391" s="40" t="str">
        <f t="shared" si="114"/>
        <v>PS-16-RGZ2</v>
      </c>
      <c r="C391" s="52" t="str">
        <f t="shared" si="115"/>
        <v>Poste de Sectionnement n°16 RGZ2</v>
      </c>
      <c r="D391" s="19"/>
      <c r="E391" s="42"/>
      <c r="F391" s="42"/>
      <c r="G391" s="42">
        <v>1</v>
      </c>
      <c r="H391" s="42"/>
      <c r="I391" s="42" t="s">
        <v>381</v>
      </c>
      <c r="J391" s="42" t="s">
        <v>1928</v>
      </c>
      <c r="K391" s="44">
        <f t="shared" si="112"/>
        <v>23</v>
      </c>
      <c r="L391" s="44">
        <f t="shared" si="113"/>
        <v>176</v>
      </c>
      <c r="M391" s="42" t="s">
        <v>1941</v>
      </c>
      <c r="N391" s="52" t="str">
        <f t="shared" si="107"/>
        <v>(16,'PS-16-RGZ2','Poste de Sectionnement n°16 RGZ2','Saturday-01-jj','Saturday-01-jj',,1,),</v>
      </c>
    </row>
    <row r="392" spans="1:14" ht="20.100000000000001" customHeight="1" x14ac:dyDescent="0.25">
      <c r="A392" s="39">
        <v>17</v>
      </c>
      <c r="B392" s="40" t="str">
        <f t="shared" si="114"/>
        <v>PS-17-RGZ2</v>
      </c>
      <c r="C392" s="52" t="str">
        <f t="shared" si="115"/>
        <v>Poste de Sectionnement n°17 RGZ2</v>
      </c>
      <c r="D392" s="19"/>
      <c r="E392" s="42"/>
      <c r="F392" s="42"/>
      <c r="G392" s="42">
        <v>1</v>
      </c>
      <c r="H392" s="42"/>
      <c r="I392" s="42" t="s">
        <v>381</v>
      </c>
      <c r="J392" s="42" t="s">
        <v>1929</v>
      </c>
      <c r="K392" s="44">
        <f t="shared" si="112"/>
        <v>5</v>
      </c>
      <c r="L392" s="44">
        <f t="shared" si="113"/>
        <v>185</v>
      </c>
      <c r="M392" s="42" t="s">
        <v>1942</v>
      </c>
      <c r="N392" s="52" t="str">
        <f t="shared" si="107"/>
        <v>(17,'PS-17-RGZ2','Poste de Sectionnement n°17 RGZ2','Saturday-01-jj','Saturday-01-jj',,1,),</v>
      </c>
    </row>
    <row r="393" spans="1:14" ht="20.100000000000001" customHeight="1" x14ac:dyDescent="0.25">
      <c r="A393" s="39">
        <v>18</v>
      </c>
      <c r="B393" s="40" t="str">
        <f t="shared" si="114"/>
        <v>PS-18-RGZ2</v>
      </c>
      <c r="C393" s="52" t="str">
        <f t="shared" si="115"/>
        <v>Poste de Sectionnement n°18 RGZ2</v>
      </c>
      <c r="D393" s="19"/>
      <c r="E393" s="42"/>
      <c r="F393" s="42"/>
      <c r="G393" s="42">
        <v>1</v>
      </c>
      <c r="H393" s="42"/>
      <c r="I393" s="42" t="s">
        <v>381</v>
      </c>
      <c r="J393" s="42" t="s">
        <v>1930</v>
      </c>
      <c r="K393" s="44">
        <f t="shared" si="112"/>
        <v>4</v>
      </c>
      <c r="L393" s="44">
        <f t="shared" si="113"/>
        <v>195</v>
      </c>
      <c r="M393" s="42" t="s">
        <v>1943</v>
      </c>
      <c r="N393" s="52" t="str">
        <f t="shared" si="107"/>
        <v>(18,'PS-18-RGZ2','Poste de Sectionnement n°18 RGZ2','Saturday-01-jj','Saturday-01-jj',,1,),</v>
      </c>
    </row>
    <row r="394" spans="1:14" ht="20.100000000000001" customHeight="1" x14ac:dyDescent="0.25">
      <c r="A394" s="39">
        <v>19</v>
      </c>
      <c r="B394" s="40" t="str">
        <f t="shared" si="114"/>
        <v>PS-19-RGZ2</v>
      </c>
      <c r="C394" s="52" t="str">
        <f t="shared" si="115"/>
        <v>Poste de Sectionnement n°19 RGZ2</v>
      </c>
      <c r="D394" s="19"/>
      <c r="E394" s="42"/>
      <c r="F394" s="42"/>
      <c r="G394" s="42">
        <v>1</v>
      </c>
      <c r="H394" s="42"/>
      <c r="I394" s="42" t="s">
        <v>381</v>
      </c>
      <c r="J394" s="42" t="s">
        <v>1931</v>
      </c>
      <c r="K394" s="44">
        <f t="shared" si="112"/>
        <v>59</v>
      </c>
      <c r="L394" s="44">
        <f t="shared" si="113"/>
        <v>208</v>
      </c>
      <c r="M394" s="42" t="s">
        <v>1944</v>
      </c>
      <c r="N394" s="52" t="str">
        <f t="shared" si="107"/>
        <v>(19,'PS-19-RGZ2','Poste de Sectionnement n°19 RGZ2','Saturday-01-jj','Saturday-01-jj',,1,),</v>
      </c>
    </row>
    <row r="395" spans="1:14" ht="20.100000000000001" customHeight="1" x14ac:dyDescent="0.25">
      <c r="A395" s="39">
        <v>1</v>
      </c>
      <c r="B395" s="40" t="str">
        <f t="shared" si="114"/>
        <v>PS-01-GZ3</v>
      </c>
      <c r="C395" s="52" t="str">
        <f t="shared" si="115"/>
        <v>Poste de Sectionnement n°01 GZ3</v>
      </c>
      <c r="D395" s="19"/>
      <c r="E395" s="42"/>
      <c r="F395" s="42"/>
      <c r="G395" s="42">
        <v>1</v>
      </c>
      <c r="H395" s="42"/>
      <c r="I395" s="42" t="s">
        <v>383</v>
      </c>
      <c r="J395" s="42" t="s">
        <v>1956</v>
      </c>
      <c r="K395" s="44">
        <f t="shared" ref="K395:K416" si="116">VALUE(RIGHT(J395,LEN(J395)-SEARCH("/",J395)))</f>
        <v>740</v>
      </c>
      <c r="L395" s="44">
        <f t="shared" ref="L395:L416" si="117">VALUE(SUBSTITUTE(LEFT(J395,SEARCH("/",J395)-1),"+",","))</f>
        <v>25.145</v>
      </c>
      <c r="M395" s="42" t="s">
        <v>798</v>
      </c>
      <c r="N395" s="52" t="str">
        <f t="shared" si="107"/>
        <v>(1,'PS-01-GZ3','Poste de Sectionnement n°01 GZ3','Saturday-01-jj','Saturday-01-jj',,1,),</v>
      </c>
    </row>
    <row r="396" spans="1:14" ht="20.100000000000001" customHeight="1" x14ac:dyDescent="0.25">
      <c r="A396" s="39">
        <v>2</v>
      </c>
      <c r="B396" s="40" t="str">
        <f t="shared" si="114"/>
        <v>PS-02-GZ3</v>
      </c>
      <c r="C396" s="52" t="str">
        <f t="shared" si="115"/>
        <v>Poste de Sectionnement n°02 GZ3</v>
      </c>
      <c r="D396" s="19">
        <v>32509</v>
      </c>
      <c r="E396" s="19">
        <v>32509</v>
      </c>
      <c r="F396" s="42"/>
      <c r="G396" s="42">
        <v>1</v>
      </c>
      <c r="H396" s="42"/>
      <c r="I396" s="42" t="s">
        <v>383</v>
      </c>
      <c r="J396" s="42" t="s">
        <v>1957</v>
      </c>
      <c r="K396" s="44">
        <f t="shared" si="116"/>
        <v>844</v>
      </c>
      <c r="L396" s="44">
        <f t="shared" si="117"/>
        <v>50.15</v>
      </c>
      <c r="M396" s="42" t="s">
        <v>798</v>
      </c>
      <c r="N396" s="52" t="str">
        <f t="shared" si="107"/>
        <v>(2,'PS-02-GZ3','Poste de Sectionnement n°02 GZ3','Sunday-01-jj','Sunday-01-jj',,1,),</v>
      </c>
    </row>
    <row r="397" spans="1:14" ht="20.100000000000001" customHeight="1" x14ac:dyDescent="0.25">
      <c r="A397" s="39">
        <v>3</v>
      </c>
      <c r="B397" s="40" t="str">
        <f t="shared" ref="B397:B418" si="118">CONCATENATE("PS-",TEXT(A397,"00"),"-",I397)</f>
        <v>PS-03-GZ3</v>
      </c>
      <c r="C397" s="52" t="str">
        <f t="shared" ref="C397:C418" si="119">CONCATENATE("Poste de Sectionnement n°",TEXT(A397,"00")," ",I397)</f>
        <v>Poste de Sectionnement n°03 GZ3</v>
      </c>
      <c r="D397" s="19">
        <v>32509</v>
      </c>
      <c r="E397" s="19">
        <v>32509</v>
      </c>
      <c r="F397" s="42"/>
      <c r="G397" s="42">
        <v>1</v>
      </c>
      <c r="H397" s="42"/>
      <c r="I397" s="42" t="s">
        <v>383</v>
      </c>
      <c r="J397" s="42" t="s">
        <v>1958</v>
      </c>
      <c r="K397" s="44">
        <f t="shared" si="116"/>
        <v>770</v>
      </c>
      <c r="L397" s="44">
        <f t="shared" si="117"/>
        <v>98.286000000000001</v>
      </c>
      <c r="M397" s="42" t="s">
        <v>1950</v>
      </c>
      <c r="N397" s="52" t="str">
        <f t="shared" si="107"/>
        <v>(3,'PS-03-GZ3','Poste de Sectionnement n°03 GZ3','Sunday-01-jj','Sunday-01-jj',,1,),</v>
      </c>
    </row>
    <row r="398" spans="1:14" ht="20.100000000000001" customHeight="1" x14ac:dyDescent="0.25">
      <c r="A398" s="39">
        <v>4</v>
      </c>
      <c r="B398" s="40" t="str">
        <f t="shared" si="118"/>
        <v>PS-04-GZ3</v>
      </c>
      <c r="C398" s="52" t="str">
        <f t="shared" si="119"/>
        <v>Poste de Sectionnement n°04 GZ3</v>
      </c>
      <c r="D398" s="19">
        <v>32509</v>
      </c>
      <c r="E398" s="19">
        <v>32509</v>
      </c>
      <c r="F398" s="42"/>
      <c r="G398" s="42">
        <v>1</v>
      </c>
      <c r="H398" s="42"/>
      <c r="I398" s="42" t="s">
        <v>383</v>
      </c>
      <c r="J398" s="42" t="s">
        <v>1959</v>
      </c>
      <c r="K398" s="44">
        <f t="shared" si="116"/>
        <v>914</v>
      </c>
      <c r="L398" s="44">
        <f t="shared" si="117"/>
        <v>122.431</v>
      </c>
      <c r="M398" s="42" t="s">
        <v>1945</v>
      </c>
      <c r="N398" s="52" t="str">
        <f t="shared" si="107"/>
        <v>(4,'PS-04-GZ3','Poste de Sectionnement n°04 GZ3','Sunday-01-jj','Sunday-01-jj',,1,),</v>
      </c>
    </row>
    <row r="399" spans="1:14" ht="20.100000000000001" customHeight="1" x14ac:dyDescent="0.25">
      <c r="A399" s="39">
        <v>5</v>
      </c>
      <c r="B399" s="40" t="str">
        <f t="shared" si="118"/>
        <v>PS-05-GZ3</v>
      </c>
      <c r="C399" s="52" t="str">
        <f t="shared" si="119"/>
        <v>Poste de Sectionnement n°05 GZ3</v>
      </c>
      <c r="D399" s="19">
        <v>32509</v>
      </c>
      <c r="E399" s="19">
        <v>32509</v>
      </c>
      <c r="F399" s="42"/>
      <c r="G399" s="42">
        <v>1</v>
      </c>
      <c r="H399" s="42"/>
      <c r="I399" s="42" t="s">
        <v>383</v>
      </c>
      <c r="J399" s="42" t="s">
        <v>1960</v>
      </c>
      <c r="K399" s="44">
        <f t="shared" si="116"/>
        <v>1243</v>
      </c>
      <c r="L399" s="44">
        <f t="shared" si="117"/>
        <v>172.24199999999999</v>
      </c>
      <c r="M399" s="42" t="s">
        <v>1945</v>
      </c>
      <c r="N399" s="52" t="str">
        <f t="shared" si="107"/>
        <v>(5,'PS-05-GZ3','Poste de Sectionnement n°05 GZ3','Sunday-01-jj','Sunday-01-jj',,1,),</v>
      </c>
    </row>
    <row r="400" spans="1:14" ht="20.100000000000001" customHeight="1" x14ac:dyDescent="0.25">
      <c r="A400" s="39">
        <v>6</v>
      </c>
      <c r="B400" s="40" t="str">
        <f t="shared" si="118"/>
        <v>PS-06-GZ3</v>
      </c>
      <c r="C400" s="52" t="str">
        <f t="shared" si="119"/>
        <v>Poste de Sectionnement n°06 GZ3</v>
      </c>
      <c r="D400" s="19">
        <v>32509</v>
      </c>
      <c r="E400" s="19">
        <v>32509</v>
      </c>
      <c r="F400" s="42"/>
      <c r="G400" s="42">
        <v>1</v>
      </c>
      <c r="H400" s="42"/>
      <c r="I400" s="42" t="s">
        <v>383</v>
      </c>
      <c r="J400" s="42" t="s">
        <v>1961</v>
      </c>
      <c r="K400" s="44">
        <f t="shared" si="116"/>
        <v>1040</v>
      </c>
      <c r="L400" s="44">
        <f t="shared" si="117"/>
        <v>199.018</v>
      </c>
      <c r="M400" s="42" t="s">
        <v>1978</v>
      </c>
      <c r="N400" s="52" t="str">
        <f t="shared" si="107"/>
        <v>(6,'PS-06-GZ3','Poste de Sectionnement n°06 GZ3','Sunday-01-jj','Sunday-01-jj',,1,),</v>
      </c>
    </row>
    <row r="401" spans="1:14" ht="20.100000000000001" customHeight="1" x14ac:dyDescent="0.25">
      <c r="A401" s="39">
        <v>7</v>
      </c>
      <c r="B401" s="40" t="str">
        <f t="shared" si="118"/>
        <v>PS-07-GZ3</v>
      </c>
      <c r="C401" s="52" t="str">
        <f t="shared" si="119"/>
        <v>Poste de Sectionnement n°07 GZ3</v>
      </c>
      <c r="D401" s="19">
        <v>32509</v>
      </c>
      <c r="E401" s="19">
        <v>32509</v>
      </c>
      <c r="F401" s="42"/>
      <c r="G401" s="42">
        <v>1</v>
      </c>
      <c r="H401" s="42"/>
      <c r="I401" s="42" t="s">
        <v>383</v>
      </c>
      <c r="J401" s="42" t="s">
        <v>1962</v>
      </c>
      <c r="K401" s="44">
        <f t="shared" si="116"/>
        <v>996</v>
      </c>
      <c r="L401" s="44">
        <f t="shared" si="117"/>
        <v>248.63399999999999</v>
      </c>
      <c r="M401" s="42" t="s">
        <v>1979</v>
      </c>
      <c r="N401" s="52" t="str">
        <f t="shared" si="107"/>
        <v>(7,'PS-07-GZ3','Poste de Sectionnement n°07 GZ3','Sunday-01-jj','Sunday-01-jj',,1,),</v>
      </c>
    </row>
    <row r="402" spans="1:14" ht="20.100000000000001" customHeight="1" x14ac:dyDescent="0.25">
      <c r="A402" s="39">
        <v>8</v>
      </c>
      <c r="B402" s="40" t="str">
        <f t="shared" si="118"/>
        <v>PS-08-GZ3</v>
      </c>
      <c r="C402" s="52" t="str">
        <f t="shared" si="119"/>
        <v>Poste de Sectionnement n°08 GZ3</v>
      </c>
      <c r="D402" s="19">
        <v>32509</v>
      </c>
      <c r="E402" s="19">
        <v>32509</v>
      </c>
      <c r="F402" s="42"/>
      <c r="G402" s="42">
        <v>1</v>
      </c>
      <c r="H402" s="42"/>
      <c r="I402" s="42" t="s">
        <v>383</v>
      </c>
      <c r="J402" s="42" t="s">
        <v>1963</v>
      </c>
      <c r="K402" s="44">
        <f t="shared" si="116"/>
        <v>1162</v>
      </c>
      <c r="L402" s="44">
        <f t="shared" si="117"/>
        <v>272.09199999999998</v>
      </c>
      <c r="M402" s="42" t="s">
        <v>1875</v>
      </c>
      <c r="N402" s="52" t="str">
        <f t="shared" si="107"/>
        <v>(8,'PS-08-GZ3','Poste de Sectionnement n°08 GZ3','Sunday-01-jj','Sunday-01-jj',,1,),</v>
      </c>
    </row>
    <row r="403" spans="1:14" ht="20.100000000000001" customHeight="1" x14ac:dyDescent="0.25">
      <c r="A403" s="39">
        <v>9</v>
      </c>
      <c r="B403" s="40" t="str">
        <f t="shared" si="118"/>
        <v>PS-09-RGZ3</v>
      </c>
      <c r="C403" s="52" t="str">
        <f t="shared" si="119"/>
        <v>Poste de Sectionnement n°09 RGZ3</v>
      </c>
      <c r="D403" s="19">
        <v>42736</v>
      </c>
      <c r="E403" s="19">
        <v>42736</v>
      </c>
      <c r="F403" s="42"/>
      <c r="G403" s="42">
        <v>1</v>
      </c>
      <c r="H403" s="42"/>
      <c r="I403" s="42" t="s">
        <v>1008</v>
      </c>
      <c r="J403" s="42" t="s">
        <v>1964</v>
      </c>
      <c r="K403" s="44">
        <f t="shared" si="116"/>
        <v>1060</v>
      </c>
      <c r="L403" s="44">
        <f t="shared" si="117"/>
        <v>318.74</v>
      </c>
      <c r="M403" s="42" t="s">
        <v>1980</v>
      </c>
      <c r="N403" s="52" t="str">
        <f t="shared" si="107"/>
        <v>(9,'PS-09-RGZ3','Poste de Sectionnement n°09 RGZ3','Sunday-01-jj','Sunday-01-jj',,1,),</v>
      </c>
    </row>
    <row r="404" spans="1:14" ht="20.100000000000001" customHeight="1" x14ac:dyDescent="0.25">
      <c r="A404" s="39">
        <v>10</v>
      </c>
      <c r="B404" s="40" t="str">
        <f t="shared" si="118"/>
        <v>PS-10-RGZ3</v>
      </c>
      <c r="C404" s="52" t="str">
        <f t="shared" si="119"/>
        <v>Poste de Sectionnement n°10 RGZ3</v>
      </c>
      <c r="D404" s="19">
        <v>42736</v>
      </c>
      <c r="E404" s="19">
        <v>42736</v>
      </c>
      <c r="F404" s="42"/>
      <c r="G404" s="42">
        <v>1</v>
      </c>
      <c r="H404" s="42"/>
      <c r="I404" s="42" t="s">
        <v>1008</v>
      </c>
      <c r="J404" s="42" t="s">
        <v>1965</v>
      </c>
      <c r="K404" s="44">
        <f t="shared" si="116"/>
        <v>907</v>
      </c>
      <c r="L404" s="44">
        <f t="shared" si="117"/>
        <v>337.78800000000001</v>
      </c>
      <c r="M404" s="42" t="s">
        <v>1981</v>
      </c>
      <c r="N404" s="52" t="str">
        <f t="shared" si="107"/>
        <v>(10,'PS-10-RGZ3','Poste de Sectionnement n°10 RGZ3','Sunday-01-jj','Sunday-01-jj',,1,),</v>
      </c>
    </row>
    <row r="405" spans="1:14" ht="20.100000000000001" customHeight="1" x14ac:dyDescent="0.25">
      <c r="A405" s="39">
        <v>11</v>
      </c>
      <c r="B405" s="40" t="str">
        <f t="shared" si="118"/>
        <v>PS-11-RGZ3</v>
      </c>
      <c r="C405" s="52" t="str">
        <f t="shared" si="119"/>
        <v>Poste de Sectionnement n°11 RGZ3</v>
      </c>
      <c r="D405" s="19">
        <v>42736</v>
      </c>
      <c r="E405" s="19">
        <v>42736</v>
      </c>
      <c r="F405" s="42"/>
      <c r="G405" s="42">
        <v>1</v>
      </c>
      <c r="H405" s="42"/>
      <c r="I405" s="42" t="s">
        <v>1008</v>
      </c>
      <c r="J405" s="42" t="s">
        <v>1966</v>
      </c>
      <c r="K405" s="44">
        <f t="shared" si="116"/>
        <v>597</v>
      </c>
      <c r="L405" s="44">
        <f t="shared" si="117"/>
        <v>358.85500000000002</v>
      </c>
      <c r="M405" s="42" t="s">
        <v>1982</v>
      </c>
      <c r="N405" s="52" t="str">
        <f t="shared" ref="N405:N468" si="120">CONCATENATE("(",A405,",'",B405,"','",C405,"','",TEXT(D405,"aaaa-mm-jj"),"','",TEXT(E405,"aaaa-mm-jj"),"',",F405,",",G405,",",H405,"),")</f>
        <v>(11,'PS-11-RGZ3','Poste de Sectionnement n°11 RGZ3','Sunday-01-jj','Sunday-01-jj',,1,),</v>
      </c>
    </row>
    <row r="406" spans="1:14" ht="20.100000000000001" customHeight="1" x14ac:dyDescent="0.25">
      <c r="A406" s="39">
        <v>12</v>
      </c>
      <c r="B406" s="40" t="str">
        <f t="shared" si="118"/>
        <v>PS-12-RGZ3</v>
      </c>
      <c r="C406" s="52" t="str">
        <f t="shared" si="119"/>
        <v>Poste de Sectionnement n°12 RGZ3</v>
      </c>
      <c r="D406" s="19">
        <v>42736</v>
      </c>
      <c r="E406" s="19">
        <v>42736</v>
      </c>
      <c r="F406" s="42"/>
      <c r="G406" s="42">
        <v>1</v>
      </c>
      <c r="H406" s="42"/>
      <c r="I406" s="42" t="s">
        <v>1008</v>
      </c>
      <c r="J406" s="42" t="s">
        <v>1967</v>
      </c>
      <c r="K406" s="44">
        <f t="shared" si="116"/>
        <v>528</v>
      </c>
      <c r="L406" s="44">
        <f t="shared" si="117"/>
        <v>379.64800000000002</v>
      </c>
      <c r="M406" s="42" t="s">
        <v>1983</v>
      </c>
      <c r="N406" s="52" t="str">
        <f t="shared" si="120"/>
        <v>(12,'PS-12-RGZ3','Poste de Sectionnement n°12 RGZ3','Sunday-01-jj','Sunday-01-jj',,1,),</v>
      </c>
    </row>
    <row r="407" spans="1:14" ht="20.100000000000001" customHeight="1" x14ac:dyDescent="0.25">
      <c r="A407" s="39">
        <v>13</v>
      </c>
      <c r="B407" s="40" t="str">
        <f t="shared" si="118"/>
        <v>PS-13-RGZ3</v>
      </c>
      <c r="C407" s="52" t="str">
        <f t="shared" si="119"/>
        <v>Poste de Sectionnement n°13 RGZ3</v>
      </c>
      <c r="D407" s="19">
        <v>43101</v>
      </c>
      <c r="E407" s="19">
        <v>43101</v>
      </c>
      <c r="F407" s="42"/>
      <c r="G407" s="42">
        <v>1</v>
      </c>
      <c r="H407" s="42"/>
      <c r="I407" s="42" t="s">
        <v>1008</v>
      </c>
      <c r="J407" s="42" t="s">
        <v>1968</v>
      </c>
      <c r="K407" s="44">
        <f t="shared" si="116"/>
        <v>305.44</v>
      </c>
      <c r="L407" s="44">
        <f t="shared" si="117"/>
        <v>409.61</v>
      </c>
      <c r="M407" s="42" t="s">
        <v>1937</v>
      </c>
      <c r="N407" s="52" t="str">
        <f t="shared" si="120"/>
        <v>(13,'PS-13-RGZ3','Poste de Sectionnement n°13 RGZ3','Monday-01-jj','Monday-01-jj',,1,),</v>
      </c>
    </row>
    <row r="408" spans="1:14" ht="20.100000000000001" customHeight="1" x14ac:dyDescent="0.25">
      <c r="A408" s="39">
        <v>14</v>
      </c>
      <c r="B408" s="40" t="str">
        <f t="shared" si="118"/>
        <v>PS-14-RGZ3</v>
      </c>
      <c r="C408" s="52" t="str">
        <f t="shared" si="119"/>
        <v>Poste de Sectionnement n°14 RGZ3</v>
      </c>
      <c r="D408" s="19">
        <v>43101</v>
      </c>
      <c r="E408" s="19">
        <v>43101</v>
      </c>
      <c r="F408" s="42"/>
      <c r="G408" s="42">
        <v>1</v>
      </c>
      <c r="H408" s="42"/>
      <c r="I408" s="42" t="s">
        <v>1008</v>
      </c>
      <c r="J408" s="42" t="s">
        <v>1969</v>
      </c>
      <c r="K408" s="44">
        <f t="shared" si="116"/>
        <v>158.79</v>
      </c>
      <c r="L408" s="44">
        <f t="shared" si="117"/>
        <v>420.065</v>
      </c>
      <c r="M408" s="42" t="s">
        <v>1937</v>
      </c>
      <c r="N408" s="52" t="str">
        <f t="shared" si="120"/>
        <v>(14,'PS-14-RGZ3','Poste de Sectionnement n°14 RGZ3','Monday-01-jj','Monday-01-jj',,1,),</v>
      </c>
    </row>
    <row r="409" spans="1:14" ht="20.100000000000001" customHeight="1" x14ac:dyDescent="0.25">
      <c r="A409" s="39">
        <v>15</v>
      </c>
      <c r="B409" s="40" t="str">
        <f t="shared" si="118"/>
        <v>PS-15-RGZ3</v>
      </c>
      <c r="C409" s="52" t="str">
        <f t="shared" si="119"/>
        <v>Poste de Sectionnement n°15 RGZ3</v>
      </c>
      <c r="D409" s="19">
        <v>43101</v>
      </c>
      <c r="E409" s="19">
        <v>43101</v>
      </c>
      <c r="F409" s="42"/>
      <c r="G409" s="42">
        <v>1</v>
      </c>
      <c r="H409" s="42"/>
      <c r="I409" s="42" t="s">
        <v>1008</v>
      </c>
      <c r="J409" s="42" t="s">
        <v>1970</v>
      </c>
      <c r="K409" s="44">
        <f t="shared" si="116"/>
        <v>130.43</v>
      </c>
      <c r="L409" s="44">
        <f t="shared" si="117"/>
        <v>429.55099999999999</v>
      </c>
      <c r="M409" s="42" t="s">
        <v>1984</v>
      </c>
      <c r="N409" s="52" t="str">
        <f t="shared" si="120"/>
        <v>(15,'PS-15-RGZ3','Poste de Sectionnement n°15 RGZ3','Monday-01-jj','Monday-01-jj',,1,),</v>
      </c>
    </row>
    <row r="410" spans="1:14" ht="20.100000000000001" customHeight="1" x14ac:dyDescent="0.25">
      <c r="A410" s="39">
        <v>16</v>
      </c>
      <c r="B410" s="40" t="str">
        <f t="shared" si="118"/>
        <v>PS-16-RGZ3</v>
      </c>
      <c r="C410" s="52" t="str">
        <f t="shared" si="119"/>
        <v>Poste de Sectionnement n°16 RGZ3</v>
      </c>
      <c r="D410" s="19">
        <v>43101</v>
      </c>
      <c r="E410" s="19">
        <v>43101</v>
      </c>
      <c r="F410" s="42"/>
      <c r="G410" s="42">
        <v>1</v>
      </c>
      <c r="H410" s="42"/>
      <c r="I410" s="42" t="s">
        <v>1008</v>
      </c>
      <c r="J410" s="42" t="s">
        <v>1971</v>
      </c>
      <c r="K410" s="44">
        <f t="shared" si="116"/>
        <v>279.93</v>
      </c>
      <c r="L410" s="44">
        <f t="shared" si="117"/>
        <v>439.00799999999998</v>
      </c>
      <c r="M410" s="42" t="s">
        <v>1794</v>
      </c>
      <c r="N410" s="52" t="str">
        <f t="shared" si="120"/>
        <v>(16,'PS-16-RGZ3','Poste de Sectionnement n°16 RGZ3','Monday-01-jj','Monday-01-jj',,1,),</v>
      </c>
    </row>
    <row r="411" spans="1:14" ht="20.100000000000001" customHeight="1" x14ac:dyDescent="0.25">
      <c r="A411" s="39">
        <v>17</v>
      </c>
      <c r="B411" s="40" t="str">
        <f t="shared" si="118"/>
        <v>PS-17-RGZ3</v>
      </c>
      <c r="C411" s="52" t="str">
        <f t="shared" si="119"/>
        <v>Poste de Sectionnement n°17 RGZ3</v>
      </c>
      <c r="D411" s="19">
        <v>43101</v>
      </c>
      <c r="E411" s="19">
        <v>43101</v>
      </c>
      <c r="F411" s="42"/>
      <c r="G411" s="42">
        <v>1</v>
      </c>
      <c r="H411" s="42"/>
      <c r="I411" s="42" t="s">
        <v>1008</v>
      </c>
      <c r="J411" s="42" t="s">
        <v>1972</v>
      </c>
      <c r="K411" s="44">
        <f t="shared" si="116"/>
        <v>341.69</v>
      </c>
      <c r="L411" s="44">
        <f t="shared" si="117"/>
        <v>450.40100000000001</v>
      </c>
      <c r="M411" s="42" t="s">
        <v>1939</v>
      </c>
      <c r="N411" s="52" t="str">
        <f t="shared" si="120"/>
        <v>(17,'PS-17-RGZ3','Poste de Sectionnement n°17 RGZ3','Monday-01-jj','Monday-01-jj',,1,),</v>
      </c>
    </row>
    <row r="412" spans="1:14" ht="20.100000000000001" customHeight="1" x14ac:dyDescent="0.25">
      <c r="A412" s="39">
        <v>18</v>
      </c>
      <c r="B412" s="40" t="str">
        <f t="shared" si="118"/>
        <v>PS-18-RGZ3</v>
      </c>
      <c r="C412" s="52" t="str">
        <f t="shared" si="119"/>
        <v>Poste de Sectionnement n°18 RGZ3</v>
      </c>
      <c r="D412" s="19">
        <v>43101</v>
      </c>
      <c r="E412" s="19">
        <v>43101</v>
      </c>
      <c r="F412" s="42"/>
      <c r="G412" s="42">
        <v>1</v>
      </c>
      <c r="H412" s="42"/>
      <c r="I412" s="42" t="s">
        <v>1008</v>
      </c>
      <c r="J412" s="42" t="s">
        <v>1973</v>
      </c>
      <c r="K412" s="44">
        <f t="shared" si="116"/>
        <v>111.08</v>
      </c>
      <c r="L412" s="44">
        <f t="shared" si="117"/>
        <v>460.59899999999999</v>
      </c>
      <c r="M412" s="42" t="s">
        <v>1940</v>
      </c>
      <c r="N412" s="52" t="str">
        <f t="shared" si="120"/>
        <v>(18,'PS-18-RGZ3','Poste de Sectionnement n°18 RGZ3','Monday-01-jj','Monday-01-jj',,1,),</v>
      </c>
    </row>
    <row r="413" spans="1:14" ht="20.100000000000001" customHeight="1" x14ac:dyDescent="0.25">
      <c r="A413" s="39">
        <v>19</v>
      </c>
      <c r="B413" s="40" t="str">
        <f t="shared" si="118"/>
        <v>PS-19-RGZ3</v>
      </c>
      <c r="C413" s="52" t="str">
        <f t="shared" si="119"/>
        <v>Poste de Sectionnement n°19 RGZ3</v>
      </c>
      <c r="D413" s="19">
        <v>43101</v>
      </c>
      <c r="E413" s="19">
        <v>43101</v>
      </c>
      <c r="F413" s="42"/>
      <c r="G413" s="42">
        <v>1</v>
      </c>
      <c r="H413" s="42"/>
      <c r="I413" s="42" t="s">
        <v>1008</v>
      </c>
      <c r="J413" s="42" t="s">
        <v>1974</v>
      </c>
      <c r="K413" s="44">
        <f t="shared" si="116"/>
        <v>56.3</v>
      </c>
      <c r="L413" s="44">
        <f t="shared" si="117"/>
        <v>470.31099999999998</v>
      </c>
      <c r="M413" s="42" t="s">
        <v>1756</v>
      </c>
      <c r="N413" s="52" t="str">
        <f t="shared" si="120"/>
        <v>(19,'PS-19-RGZ3','Poste de Sectionnement n°19 RGZ3','Monday-01-jj','Monday-01-jj',,1,),</v>
      </c>
    </row>
    <row r="414" spans="1:14" ht="20.100000000000001" customHeight="1" x14ac:dyDescent="0.25">
      <c r="A414" s="39">
        <v>20</v>
      </c>
      <c r="B414" s="40" t="str">
        <f t="shared" si="118"/>
        <v>PS-20-RGZ3</v>
      </c>
      <c r="C414" s="52" t="str">
        <f t="shared" si="119"/>
        <v>Poste de Sectionnement n°20 RGZ3</v>
      </c>
      <c r="D414" s="19">
        <v>43101</v>
      </c>
      <c r="E414" s="19">
        <v>43101</v>
      </c>
      <c r="F414" s="42"/>
      <c r="G414" s="42">
        <v>1</v>
      </c>
      <c r="H414" s="42"/>
      <c r="I414" s="42" t="s">
        <v>1008</v>
      </c>
      <c r="J414" s="42" t="s">
        <v>1975</v>
      </c>
      <c r="K414" s="44">
        <f t="shared" si="116"/>
        <v>34.56</v>
      </c>
      <c r="L414" s="44">
        <f t="shared" si="117"/>
        <v>478.99700000000001</v>
      </c>
      <c r="M414" s="42" t="s">
        <v>1985</v>
      </c>
      <c r="N414" s="52" t="str">
        <f t="shared" si="120"/>
        <v>(20,'PS-20-RGZ3','Poste de Sectionnement n°20 RGZ3','Monday-01-jj','Monday-01-jj',,1,),</v>
      </c>
    </row>
    <row r="415" spans="1:14" ht="20.100000000000001" customHeight="1" x14ac:dyDescent="0.25">
      <c r="A415" s="39">
        <v>21</v>
      </c>
      <c r="B415" s="40" t="str">
        <f t="shared" si="118"/>
        <v>PS-21-RGZ3</v>
      </c>
      <c r="C415" s="52" t="str">
        <f t="shared" si="119"/>
        <v>Poste de Sectionnement n°21 RGZ3</v>
      </c>
      <c r="D415" s="19">
        <v>43101</v>
      </c>
      <c r="E415" s="19">
        <v>43101</v>
      </c>
      <c r="F415" s="42"/>
      <c r="G415" s="42">
        <v>1</v>
      </c>
      <c r="H415" s="42"/>
      <c r="I415" s="42" t="s">
        <v>1008</v>
      </c>
      <c r="J415" s="42" t="s">
        <v>1976</v>
      </c>
      <c r="K415" s="44">
        <f t="shared" si="116"/>
        <v>16.739999999999998</v>
      </c>
      <c r="L415" s="44">
        <f t="shared" si="117"/>
        <v>489.59399999999999</v>
      </c>
      <c r="M415" s="42" t="s">
        <v>1942</v>
      </c>
      <c r="N415" s="52" t="str">
        <f t="shared" si="120"/>
        <v>(21,'PS-21-RGZ3','Poste de Sectionnement n°21 RGZ3','Monday-01-jj','Monday-01-jj',,1,),</v>
      </c>
    </row>
    <row r="416" spans="1:14" ht="20.100000000000001" customHeight="1" x14ac:dyDescent="0.25">
      <c r="A416" s="39">
        <v>22</v>
      </c>
      <c r="B416" s="40" t="str">
        <f t="shared" si="118"/>
        <v>PS-22-RGZ3</v>
      </c>
      <c r="C416" s="52" t="str">
        <f t="shared" si="119"/>
        <v>Poste de Sectionnement n°22 RGZ3</v>
      </c>
      <c r="D416" s="19">
        <v>43101</v>
      </c>
      <c r="E416" s="19">
        <v>43101</v>
      </c>
      <c r="F416" s="42"/>
      <c r="G416" s="42">
        <v>1</v>
      </c>
      <c r="H416" s="42"/>
      <c r="I416" s="42" t="s">
        <v>1008</v>
      </c>
      <c r="J416" s="42" t="s">
        <v>1977</v>
      </c>
      <c r="K416" s="44">
        <f t="shared" si="116"/>
        <v>11.13</v>
      </c>
      <c r="L416" s="44">
        <f t="shared" si="117"/>
        <v>502.15199999999999</v>
      </c>
      <c r="M416" s="42" t="s">
        <v>1986</v>
      </c>
      <c r="N416" s="52" t="str">
        <f t="shared" si="120"/>
        <v>(22,'PS-22-RGZ3','Poste de Sectionnement n°22 RGZ3','Monday-01-jj','Monday-01-jj',,1,),</v>
      </c>
    </row>
    <row r="417" spans="1:14" ht="20.100000000000001" customHeight="1" x14ac:dyDescent="0.25">
      <c r="A417" s="39">
        <v>1</v>
      </c>
      <c r="B417" s="40" t="str">
        <f t="shared" si="118"/>
        <v>PS-01-GZ4</v>
      </c>
      <c r="C417" s="52" t="str">
        <f t="shared" si="119"/>
        <v>Poste de Sectionnement n°01 GZ4</v>
      </c>
      <c r="D417" s="19">
        <v>39838</v>
      </c>
      <c r="E417" s="19">
        <v>39838</v>
      </c>
      <c r="F417" s="42"/>
      <c r="G417" s="42">
        <v>1</v>
      </c>
      <c r="H417" s="42"/>
      <c r="I417" s="42" t="s">
        <v>646</v>
      </c>
      <c r="J417" s="42" t="s">
        <v>1987</v>
      </c>
      <c r="K417" s="44">
        <f t="shared" ref="K417:K453" si="121">VALUE(RIGHT(J417,LEN(J417)-SEARCH("/",J417)))</f>
        <v>748</v>
      </c>
      <c r="L417" s="44">
        <f t="shared" ref="L417:L453" si="122">VALUE(SUBSTITUTE(LEFT(J417,SEARCH("/",J417)-1),"+",","))</f>
        <v>17.306000000000001</v>
      </c>
      <c r="M417" s="42" t="s">
        <v>2024</v>
      </c>
      <c r="N417" s="52" t="str">
        <f t="shared" si="120"/>
        <v>(1,'PS-01-GZ4','Poste de Sectionnement n°01 GZ4','Sunday-01-jj','Sunday-01-jj',,1,),</v>
      </c>
    </row>
    <row r="418" spans="1:14" ht="20.100000000000001" customHeight="1" x14ac:dyDescent="0.25">
      <c r="A418" s="39">
        <v>2</v>
      </c>
      <c r="B418" s="40" t="str">
        <f t="shared" si="118"/>
        <v>PS-02-GZ4</v>
      </c>
      <c r="C418" s="52" t="str">
        <f t="shared" si="119"/>
        <v>Poste de Sectionnement n°02 GZ4</v>
      </c>
      <c r="D418" s="19">
        <v>39838</v>
      </c>
      <c r="E418" s="19">
        <v>39838</v>
      </c>
      <c r="F418" s="42"/>
      <c r="G418" s="42">
        <v>1</v>
      </c>
      <c r="H418" s="42"/>
      <c r="I418" s="42" t="s">
        <v>646</v>
      </c>
      <c r="J418" s="42" t="s">
        <v>1988</v>
      </c>
      <c r="K418" s="44">
        <f t="shared" si="121"/>
        <v>780</v>
      </c>
      <c r="L418" s="44">
        <f t="shared" si="122"/>
        <v>37.234000000000002</v>
      </c>
      <c r="M418" s="42" t="s">
        <v>2024</v>
      </c>
      <c r="N418" s="52" t="str">
        <f t="shared" si="120"/>
        <v>(2,'PS-02-GZ4','Poste de Sectionnement n°02 GZ4','Sunday-01-jj','Sunday-01-jj',,1,),</v>
      </c>
    </row>
    <row r="419" spans="1:14" ht="20.100000000000001" customHeight="1" x14ac:dyDescent="0.25">
      <c r="A419" s="39">
        <v>3</v>
      </c>
      <c r="B419" s="40" t="str">
        <f t="shared" ref="B419:B455" si="123">CONCATENATE("PS-",TEXT(A419,"00"),"-",I419)</f>
        <v>PS-03-GZ4</v>
      </c>
      <c r="C419" s="52" t="str">
        <f t="shared" ref="C419:C455" si="124">CONCATENATE("Poste de Sectionnement n°",TEXT(A419,"00")," ",I419)</f>
        <v>Poste de Sectionnement n°03 GZ4</v>
      </c>
      <c r="D419" s="19">
        <v>39838</v>
      </c>
      <c r="E419" s="19">
        <v>39838</v>
      </c>
      <c r="F419" s="42"/>
      <c r="G419" s="42">
        <v>1</v>
      </c>
      <c r="H419" s="42"/>
      <c r="I419" s="42" t="s">
        <v>646</v>
      </c>
      <c r="J419" s="42" t="s">
        <v>1989</v>
      </c>
      <c r="K419" s="44">
        <f t="shared" si="121"/>
        <v>820</v>
      </c>
      <c r="L419" s="44">
        <f t="shared" si="122"/>
        <v>55.674999999999997</v>
      </c>
      <c r="M419" s="42" t="s">
        <v>2024</v>
      </c>
      <c r="N419" s="52" t="str">
        <f t="shared" si="120"/>
        <v>(3,'PS-03-GZ4','Poste de Sectionnement n°03 GZ4','Sunday-01-jj','Sunday-01-jj',,1,),</v>
      </c>
    </row>
    <row r="420" spans="1:14" ht="20.100000000000001" customHeight="1" x14ac:dyDescent="0.25">
      <c r="A420" s="39">
        <v>4</v>
      </c>
      <c r="B420" s="40" t="str">
        <f t="shared" si="123"/>
        <v>PS-04-GZ4</v>
      </c>
      <c r="C420" s="52" t="str">
        <f t="shared" si="124"/>
        <v>Poste de Sectionnement n°04 GZ4</v>
      </c>
      <c r="D420" s="19">
        <v>39838</v>
      </c>
      <c r="E420" s="19">
        <v>39838</v>
      </c>
      <c r="F420" s="42"/>
      <c r="G420" s="42">
        <v>1</v>
      </c>
      <c r="H420" s="42"/>
      <c r="I420" s="42" t="s">
        <v>646</v>
      </c>
      <c r="J420" s="42" t="s">
        <v>1990</v>
      </c>
      <c r="K420" s="44">
        <f t="shared" si="121"/>
        <v>772</v>
      </c>
      <c r="L420" s="44">
        <f t="shared" si="122"/>
        <v>91.727999999999994</v>
      </c>
      <c r="M420" s="42" t="s">
        <v>1950</v>
      </c>
      <c r="N420" s="52" t="str">
        <f t="shared" si="120"/>
        <v>(4,'PS-04-GZ4','Poste de Sectionnement n°04 GZ4','Sunday-01-jj','Sunday-01-jj',,1,),</v>
      </c>
    </row>
    <row r="421" spans="1:14" ht="20.100000000000001" customHeight="1" x14ac:dyDescent="0.25">
      <c r="A421" s="39">
        <v>5</v>
      </c>
      <c r="B421" s="40" t="str">
        <f t="shared" si="123"/>
        <v>PS-05-GZ4</v>
      </c>
      <c r="C421" s="52" t="str">
        <f t="shared" si="124"/>
        <v>Poste de Sectionnement n°05 GZ4</v>
      </c>
      <c r="D421" s="19">
        <v>39838</v>
      </c>
      <c r="E421" s="19">
        <v>39838</v>
      </c>
      <c r="F421" s="42"/>
      <c r="G421" s="42">
        <v>1</v>
      </c>
      <c r="H421" s="42"/>
      <c r="I421" s="42" t="s">
        <v>646</v>
      </c>
      <c r="J421" s="42" t="s">
        <v>1991</v>
      </c>
      <c r="K421" s="44">
        <f t="shared" si="121"/>
        <v>850</v>
      </c>
      <c r="L421" s="44">
        <f t="shared" si="122"/>
        <v>108.506</v>
      </c>
      <c r="M421" s="42" t="s">
        <v>1951</v>
      </c>
      <c r="N421" s="52" t="str">
        <f t="shared" si="120"/>
        <v>(5,'PS-05-GZ4','Poste de Sectionnement n°05 GZ4','Sunday-01-jj','Sunday-01-jj',,1,),</v>
      </c>
    </row>
    <row r="422" spans="1:14" ht="20.100000000000001" customHeight="1" x14ac:dyDescent="0.25">
      <c r="A422" s="39">
        <v>6</v>
      </c>
      <c r="B422" s="40" t="str">
        <f t="shared" si="123"/>
        <v>PS-06-GZ4</v>
      </c>
      <c r="C422" s="52" t="str">
        <f t="shared" si="124"/>
        <v>Poste de Sectionnement n°06 GZ4</v>
      </c>
      <c r="D422" s="19">
        <v>39838</v>
      </c>
      <c r="E422" s="19">
        <v>39838</v>
      </c>
      <c r="F422" s="42"/>
      <c r="G422" s="42">
        <v>1</v>
      </c>
      <c r="H422" s="42"/>
      <c r="I422" s="42" t="s">
        <v>646</v>
      </c>
      <c r="J422" s="42" t="s">
        <v>1992</v>
      </c>
      <c r="K422" s="44">
        <f t="shared" si="121"/>
        <v>1000</v>
      </c>
      <c r="L422" s="44">
        <f t="shared" si="122"/>
        <v>127.193</v>
      </c>
      <c r="M422" s="42" t="s">
        <v>1945</v>
      </c>
      <c r="N422" s="52" t="str">
        <f t="shared" si="120"/>
        <v>(6,'PS-06-GZ4','Poste de Sectionnement n°06 GZ4','Sunday-01-jj','Sunday-01-jj',,1,),</v>
      </c>
    </row>
    <row r="423" spans="1:14" ht="20.100000000000001" customHeight="1" x14ac:dyDescent="0.25">
      <c r="A423" s="39">
        <v>7</v>
      </c>
      <c r="B423" s="40" t="str">
        <f t="shared" si="123"/>
        <v>PS-07-GZ4</v>
      </c>
      <c r="C423" s="52" t="str">
        <f t="shared" si="124"/>
        <v>Poste de Sectionnement n°07 GZ4</v>
      </c>
      <c r="D423" s="19">
        <v>39838</v>
      </c>
      <c r="E423" s="19">
        <v>39838</v>
      </c>
      <c r="F423" s="42"/>
      <c r="G423" s="42">
        <v>1</v>
      </c>
      <c r="H423" s="42"/>
      <c r="I423" s="42" t="s">
        <v>646</v>
      </c>
      <c r="J423" s="42" t="s">
        <v>1993</v>
      </c>
      <c r="K423" s="44">
        <f t="shared" si="121"/>
        <v>1268</v>
      </c>
      <c r="L423" s="44">
        <f t="shared" si="122"/>
        <v>164.97200000000001</v>
      </c>
      <c r="M423" s="42" t="s">
        <v>1945</v>
      </c>
      <c r="N423" s="52" t="str">
        <f t="shared" si="120"/>
        <v>(7,'PS-07-GZ4','Poste de Sectionnement n°07 GZ4','Sunday-01-jj','Sunday-01-jj',,1,),</v>
      </c>
    </row>
    <row r="424" spans="1:14" ht="20.100000000000001" customHeight="1" x14ac:dyDescent="0.25">
      <c r="A424" s="39">
        <v>8</v>
      </c>
      <c r="B424" s="40" t="str">
        <f t="shared" si="123"/>
        <v>PS-08-GZ4</v>
      </c>
      <c r="C424" s="52" t="str">
        <f t="shared" si="124"/>
        <v>Poste de Sectionnement n°08 GZ4</v>
      </c>
      <c r="D424" s="19">
        <v>39838</v>
      </c>
      <c r="E424" s="19">
        <v>39838</v>
      </c>
      <c r="F424" s="42"/>
      <c r="G424" s="42">
        <v>1</v>
      </c>
      <c r="H424" s="42"/>
      <c r="I424" s="42" t="s">
        <v>646</v>
      </c>
      <c r="J424" s="42" t="s">
        <v>1994</v>
      </c>
      <c r="K424" s="44">
        <f t="shared" si="121"/>
        <v>1120</v>
      </c>
      <c r="L424" s="44">
        <f t="shared" si="122"/>
        <v>184.93600000000001</v>
      </c>
      <c r="M424" s="42" t="s">
        <v>1945</v>
      </c>
      <c r="N424" s="52" t="str">
        <f t="shared" si="120"/>
        <v>(8,'PS-08-GZ4','Poste de Sectionnement n°08 GZ4','Sunday-01-jj','Sunday-01-jj',,1,),</v>
      </c>
    </row>
    <row r="425" spans="1:14" ht="20.100000000000001" customHeight="1" x14ac:dyDescent="0.25">
      <c r="A425" s="39">
        <v>9</v>
      </c>
      <c r="B425" s="40" t="str">
        <f t="shared" si="123"/>
        <v>PS-09-GZ4</v>
      </c>
      <c r="C425" s="52" t="str">
        <f t="shared" si="124"/>
        <v>Poste de Sectionnement n°09 GZ4</v>
      </c>
      <c r="D425" s="19">
        <v>39838</v>
      </c>
      <c r="E425" s="19">
        <v>39838</v>
      </c>
      <c r="F425" s="42"/>
      <c r="G425" s="42">
        <v>1</v>
      </c>
      <c r="H425" s="42"/>
      <c r="I425" s="42" t="s">
        <v>646</v>
      </c>
      <c r="J425" s="42" t="s">
        <v>1995</v>
      </c>
      <c r="K425" s="44">
        <f t="shared" si="121"/>
        <v>990</v>
      </c>
      <c r="L425" s="44">
        <f t="shared" si="122"/>
        <v>204.69900000000001</v>
      </c>
      <c r="M425" s="42" t="s">
        <v>2025</v>
      </c>
      <c r="N425" s="52" t="str">
        <f t="shared" si="120"/>
        <v>(9,'PS-09-GZ4','Poste de Sectionnement n°09 GZ4','Sunday-01-jj','Sunday-01-jj',,1,),</v>
      </c>
    </row>
    <row r="426" spans="1:14" ht="20.100000000000001" customHeight="1" x14ac:dyDescent="0.25">
      <c r="A426" s="39">
        <v>10</v>
      </c>
      <c r="B426" s="40" t="str">
        <f t="shared" si="123"/>
        <v>PS-10-GZ4</v>
      </c>
      <c r="C426" s="52" t="str">
        <f t="shared" si="124"/>
        <v>Poste de Sectionnement n°10 GZ4</v>
      </c>
      <c r="D426" s="19">
        <v>39838</v>
      </c>
      <c r="E426" s="19">
        <v>39838</v>
      </c>
      <c r="F426" s="42"/>
      <c r="G426" s="42">
        <v>1</v>
      </c>
      <c r="H426" s="42"/>
      <c r="I426" s="42" t="s">
        <v>646</v>
      </c>
      <c r="J426" s="42" t="s">
        <v>1996</v>
      </c>
      <c r="K426" s="44">
        <f t="shared" si="121"/>
        <v>990</v>
      </c>
      <c r="L426" s="44">
        <f t="shared" si="122"/>
        <v>243.28100000000001</v>
      </c>
      <c r="M426" s="42" t="s">
        <v>1875</v>
      </c>
      <c r="N426" s="52" t="str">
        <f t="shared" si="120"/>
        <v>(10,'PS-10-GZ4','Poste de Sectionnement n°10 GZ4','Sunday-01-jj','Sunday-01-jj',,1,),</v>
      </c>
    </row>
    <row r="427" spans="1:14" ht="20.100000000000001" customHeight="1" x14ac:dyDescent="0.25">
      <c r="A427" s="39">
        <v>11</v>
      </c>
      <c r="B427" s="40" t="str">
        <f t="shared" si="123"/>
        <v>PS-11-GZ4</v>
      </c>
      <c r="C427" s="52" t="str">
        <f t="shared" si="124"/>
        <v>Poste de Sectionnement n°11 GZ4</v>
      </c>
      <c r="D427" s="19">
        <v>39838</v>
      </c>
      <c r="E427" s="19">
        <v>39838</v>
      </c>
      <c r="F427" s="42"/>
      <c r="G427" s="42">
        <v>1</v>
      </c>
      <c r="H427" s="42"/>
      <c r="I427" s="42" t="s">
        <v>646</v>
      </c>
      <c r="J427" s="42" t="s">
        <v>1997</v>
      </c>
      <c r="K427" s="44">
        <f t="shared" si="121"/>
        <v>1025</v>
      </c>
      <c r="L427" s="44">
        <f t="shared" si="122"/>
        <v>260.57100000000003</v>
      </c>
      <c r="M427" s="42" t="s">
        <v>1875</v>
      </c>
      <c r="N427" s="52" t="str">
        <f t="shared" si="120"/>
        <v>(11,'PS-11-GZ4','Poste de Sectionnement n°11 GZ4','Sunday-01-jj','Sunday-01-jj',,1,),</v>
      </c>
    </row>
    <row r="428" spans="1:14" ht="20.100000000000001" customHeight="1" x14ac:dyDescent="0.25">
      <c r="A428" s="39">
        <v>12</v>
      </c>
      <c r="B428" s="40" t="str">
        <f t="shared" si="123"/>
        <v>PS-12-GZ4</v>
      </c>
      <c r="C428" s="52" t="str">
        <f t="shared" si="124"/>
        <v>Poste de Sectionnement n°12 GZ4</v>
      </c>
      <c r="D428" s="19">
        <v>39838</v>
      </c>
      <c r="E428" s="19">
        <v>39838</v>
      </c>
      <c r="F428" s="42"/>
      <c r="G428" s="42">
        <v>1</v>
      </c>
      <c r="H428" s="42"/>
      <c r="I428" s="42" t="s">
        <v>646</v>
      </c>
      <c r="J428" s="42" t="s">
        <v>1998</v>
      </c>
      <c r="K428" s="44">
        <f t="shared" si="121"/>
        <v>1029</v>
      </c>
      <c r="L428" s="44">
        <f t="shared" si="122"/>
        <v>277.84899999999999</v>
      </c>
      <c r="M428" s="42" t="s">
        <v>1875</v>
      </c>
      <c r="N428" s="52" t="str">
        <f t="shared" si="120"/>
        <v>(12,'PS-12-GZ4','Poste de Sectionnement n°12 GZ4','Sunday-01-jj','Sunday-01-jj',,1,),</v>
      </c>
    </row>
    <row r="429" spans="1:14" ht="20.100000000000001" customHeight="1" x14ac:dyDescent="0.25">
      <c r="A429" s="39">
        <v>13</v>
      </c>
      <c r="B429" s="40" t="str">
        <f t="shared" si="123"/>
        <v>PS-13-GZ4</v>
      </c>
      <c r="C429" s="52" t="str">
        <f t="shared" si="124"/>
        <v>Poste de Sectionnement n°13 GZ4</v>
      </c>
      <c r="D429" s="19">
        <v>40021</v>
      </c>
      <c r="E429" s="19">
        <v>40021</v>
      </c>
      <c r="F429" s="42"/>
      <c r="G429" s="42">
        <v>1</v>
      </c>
      <c r="H429" s="42"/>
      <c r="I429" s="42" t="s">
        <v>646</v>
      </c>
      <c r="J429" s="42" t="s">
        <v>1999</v>
      </c>
      <c r="K429" s="44">
        <f t="shared" si="121"/>
        <v>990</v>
      </c>
      <c r="L429" s="44">
        <f t="shared" si="122"/>
        <v>309.88099999999997</v>
      </c>
      <c r="M429" s="42" t="s">
        <v>761</v>
      </c>
      <c r="N429" s="52" t="str">
        <f t="shared" si="120"/>
        <v>(13,'PS-13-GZ4','Poste de Sectionnement n°13 GZ4','Monday-07-jj','Monday-07-jj',,1,),</v>
      </c>
    </row>
    <row r="430" spans="1:14" ht="20.100000000000001" customHeight="1" x14ac:dyDescent="0.25">
      <c r="A430" s="39">
        <v>14</v>
      </c>
      <c r="B430" s="40" t="str">
        <f t="shared" si="123"/>
        <v>PS-14-GZ4</v>
      </c>
      <c r="C430" s="52" t="str">
        <f t="shared" si="124"/>
        <v>Poste de Sectionnement n°14 GZ4</v>
      </c>
      <c r="D430" s="19">
        <v>40021</v>
      </c>
      <c r="E430" s="19">
        <v>40021</v>
      </c>
      <c r="F430" s="42"/>
      <c r="G430" s="42">
        <v>1</v>
      </c>
      <c r="H430" s="42"/>
      <c r="I430" s="42" t="s">
        <v>646</v>
      </c>
      <c r="J430" s="42" t="s">
        <v>2000</v>
      </c>
      <c r="K430" s="44">
        <f t="shared" si="121"/>
        <v>1000</v>
      </c>
      <c r="L430" s="44">
        <f t="shared" si="122"/>
        <v>320.28199999999998</v>
      </c>
      <c r="M430" s="42" t="s">
        <v>761</v>
      </c>
      <c r="N430" s="52" t="str">
        <f t="shared" si="120"/>
        <v>(14,'PS-14-GZ4','Poste de Sectionnement n°14 GZ4','Monday-07-jj','Monday-07-jj',,1,),</v>
      </c>
    </row>
    <row r="431" spans="1:14" ht="20.100000000000001" customHeight="1" x14ac:dyDescent="0.25">
      <c r="A431" s="39">
        <v>15</v>
      </c>
      <c r="B431" s="40" t="str">
        <f t="shared" si="123"/>
        <v>PS-15-GZ4</v>
      </c>
      <c r="C431" s="52" t="str">
        <f t="shared" si="124"/>
        <v>Poste de Sectionnement n°15 GZ4</v>
      </c>
      <c r="D431" s="19">
        <v>40021</v>
      </c>
      <c r="E431" s="19">
        <v>40021</v>
      </c>
      <c r="F431" s="42"/>
      <c r="G431" s="42">
        <v>1</v>
      </c>
      <c r="H431" s="42"/>
      <c r="I431" s="42" t="s">
        <v>646</v>
      </c>
      <c r="J431" s="42" t="s">
        <v>2001</v>
      </c>
      <c r="K431" s="44">
        <f t="shared" si="121"/>
        <v>996</v>
      </c>
      <c r="L431" s="44">
        <f t="shared" si="122"/>
        <v>329.40300000000002</v>
      </c>
      <c r="M431" s="42" t="s">
        <v>2032</v>
      </c>
      <c r="N431" s="52" t="str">
        <f t="shared" si="120"/>
        <v>(15,'PS-15-GZ4','Poste de Sectionnement n°15 GZ4','Monday-07-jj','Monday-07-jj',,1,),</v>
      </c>
    </row>
    <row r="432" spans="1:14" ht="20.100000000000001" customHeight="1" x14ac:dyDescent="0.25">
      <c r="A432" s="39">
        <v>16</v>
      </c>
      <c r="B432" s="40" t="str">
        <f t="shared" si="123"/>
        <v>PS-16-GZ4</v>
      </c>
      <c r="C432" s="52" t="str">
        <f t="shared" si="124"/>
        <v>Poste de Sectionnement n°16 GZ4</v>
      </c>
      <c r="D432" s="19">
        <v>40021</v>
      </c>
      <c r="E432" s="19">
        <v>40021</v>
      </c>
      <c r="F432" s="42"/>
      <c r="G432" s="42">
        <v>1</v>
      </c>
      <c r="H432" s="42"/>
      <c r="I432" s="42" t="s">
        <v>646</v>
      </c>
      <c r="J432" s="42" t="s">
        <v>2002</v>
      </c>
      <c r="K432" s="44">
        <f t="shared" si="121"/>
        <v>997</v>
      </c>
      <c r="L432" s="44">
        <f t="shared" si="122"/>
        <v>337.40699999999998</v>
      </c>
      <c r="M432" s="42" t="s">
        <v>762</v>
      </c>
      <c r="N432" s="52" t="str">
        <f t="shared" si="120"/>
        <v>(16,'PS-16-GZ4','Poste de Sectionnement n°16 GZ4','Monday-07-jj','Monday-07-jj',,1,),</v>
      </c>
    </row>
    <row r="433" spans="1:14" ht="20.100000000000001" customHeight="1" x14ac:dyDescent="0.25">
      <c r="A433" s="39">
        <v>17</v>
      </c>
      <c r="B433" s="40" t="str">
        <f t="shared" si="123"/>
        <v>PS-17-GZ4</v>
      </c>
      <c r="C433" s="52" t="str">
        <f t="shared" si="124"/>
        <v>Poste de Sectionnement n°17 GZ4</v>
      </c>
      <c r="D433" s="19">
        <v>40021</v>
      </c>
      <c r="E433" s="19">
        <v>40021</v>
      </c>
      <c r="F433" s="42"/>
      <c r="G433" s="42">
        <v>1</v>
      </c>
      <c r="H433" s="42"/>
      <c r="I433" s="42" t="s">
        <v>646</v>
      </c>
      <c r="J433" s="42" t="s">
        <v>2003</v>
      </c>
      <c r="K433" s="44">
        <f t="shared" si="121"/>
        <v>1000</v>
      </c>
      <c r="L433" s="44">
        <f t="shared" si="122"/>
        <v>351.58199999999999</v>
      </c>
      <c r="M433" s="42" t="s">
        <v>806</v>
      </c>
      <c r="N433" s="52" t="str">
        <f t="shared" si="120"/>
        <v>(17,'PS-17-GZ4','Poste de Sectionnement n°17 GZ4','Monday-07-jj','Monday-07-jj',,1,),</v>
      </c>
    </row>
    <row r="434" spans="1:14" ht="20.100000000000001" customHeight="1" x14ac:dyDescent="0.25">
      <c r="A434" s="39">
        <v>18</v>
      </c>
      <c r="B434" s="40" t="str">
        <f t="shared" si="123"/>
        <v>PS-18-GZ4</v>
      </c>
      <c r="C434" s="52" t="str">
        <f t="shared" si="124"/>
        <v>Poste de Sectionnement n°18 GZ4</v>
      </c>
      <c r="D434" s="19">
        <v>40021</v>
      </c>
      <c r="E434" s="19">
        <v>40021</v>
      </c>
      <c r="F434" s="42"/>
      <c r="G434" s="42">
        <v>1</v>
      </c>
      <c r="H434" s="42"/>
      <c r="I434" s="42" t="s">
        <v>646</v>
      </c>
      <c r="J434" s="42" t="s">
        <v>2004</v>
      </c>
      <c r="K434" s="44">
        <f t="shared" si="121"/>
        <v>1200</v>
      </c>
      <c r="L434" s="44">
        <f t="shared" si="122"/>
        <v>360.36799999999999</v>
      </c>
      <c r="M434" s="42" t="s">
        <v>763</v>
      </c>
      <c r="N434" s="52" t="str">
        <f t="shared" si="120"/>
        <v>(18,'PS-18-GZ4','Poste de Sectionnement n°18 GZ4','Monday-07-jj','Monday-07-jj',,1,),</v>
      </c>
    </row>
    <row r="435" spans="1:14" ht="20.100000000000001" customHeight="1" x14ac:dyDescent="0.25">
      <c r="A435" s="39">
        <v>19</v>
      </c>
      <c r="B435" s="40" t="str">
        <f t="shared" si="123"/>
        <v>PS-19-GZ4</v>
      </c>
      <c r="C435" s="52" t="str">
        <f t="shared" si="124"/>
        <v>Poste de Sectionnement n°19 GZ4</v>
      </c>
      <c r="D435" s="19">
        <v>40021</v>
      </c>
      <c r="E435" s="19">
        <v>40021</v>
      </c>
      <c r="F435" s="42"/>
      <c r="G435" s="42">
        <v>1</v>
      </c>
      <c r="H435" s="42"/>
      <c r="I435" s="42" t="s">
        <v>646</v>
      </c>
      <c r="J435" s="42" t="s">
        <v>2005</v>
      </c>
      <c r="K435" s="44">
        <f t="shared" si="121"/>
        <v>1129</v>
      </c>
      <c r="L435" s="44">
        <f t="shared" si="122"/>
        <v>369.49799999999999</v>
      </c>
      <c r="M435" s="42" t="s">
        <v>763</v>
      </c>
      <c r="N435" s="52" t="str">
        <f t="shared" si="120"/>
        <v>(19,'PS-19-GZ4','Poste de Sectionnement n°19 GZ4','Monday-07-jj','Monday-07-jj',,1,),</v>
      </c>
    </row>
    <row r="436" spans="1:14" ht="20.100000000000001" customHeight="1" x14ac:dyDescent="0.25">
      <c r="A436" s="39">
        <v>20</v>
      </c>
      <c r="B436" s="40" t="str">
        <f t="shared" si="123"/>
        <v>PS-20-GZ4</v>
      </c>
      <c r="C436" s="52" t="str">
        <f t="shared" si="124"/>
        <v>Poste de Sectionnement n°20 GZ4</v>
      </c>
      <c r="D436" s="19">
        <v>40021</v>
      </c>
      <c r="E436" s="19">
        <v>40021</v>
      </c>
      <c r="F436" s="42"/>
      <c r="G436" s="42">
        <v>1</v>
      </c>
      <c r="H436" s="42"/>
      <c r="I436" s="42" t="s">
        <v>646</v>
      </c>
      <c r="J436" s="42" t="s">
        <v>2006</v>
      </c>
      <c r="K436" s="44">
        <f t="shared" si="121"/>
        <v>1000</v>
      </c>
      <c r="L436" s="44">
        <f t="shared" si="122"/>
        <v>381.10899999999998</v>
      </c>
      <c r="M436" s="42" t="s">
        <v>2033</v>
      </c>
      <c r="N436" s="52" t="str">
        <f t="shared" si="120"/>
        <v>(20,'PS-20-GZ4','Poste de Sectionnement n°20 GZ4','Monday-07-jj','Monday-07-jj',,1,),</v>
      </c>
    </row>
    <row r="437" spans="1:14" ht="20.100000000000001" customHeight="1" x14ac:dyDescent="0.25">
      <c r="A437" s="39">
        <v>21</v>
      </c>
      <c r="B437" s="40" t="str">
        <f t="shared" si="123"/>
        <v>PS-21-GZ4</v>
      </c>
      <c r="C437" s="52" t="str">
        <f t="shared" si="124"/>
        <v>Poste de Sectionnement n°21 GZ4</v>
      </c>
      <c r="D437" s="19">
        <v>40021</v>
      </c>
      <c r="E437" s="19">
        <v>40021</v>
      </c>
      <c r="F437" s="42"/>
      <c r="G437" s="42">
        <v>1</v>
      </c>
      <c r="H437" s="42"/>
      <c r="I437" s="42" t="s">
        <v>646</v>
      </c>
      <c r="J437" s="42" t="s">
        <v>2007</v>
      </c>
      <c r="K437" s="44">
        <f t="shared" si="121"/>
        <v>880</v>
      </c>
      <c r="L437" s="44">
        <f t="shared" si="122"/>
        <v>391.81200000000001</v>
      </c>
      <c r="M437" s="42" t="s">
        <v>2034</v>
      </c>
      <c r="N437" s="52" t="str">
        <f t="shared" si="120"/>
        <v>(21,'PS-21-GZ4','Poste de Sectionnement n°21 GZ4','Monday-07-jj','Monday-07-jj',,1,),</v>
      </c>
    </row>
    <row r="438" spans="1:14" ht="20.100000000000001" customHeight="1" x14ac:dyDescent="0.25">
      <c r="A438" s="39">
        <v>22</v>
      </c>
      <c r="B438" s="40" t="str">
        <f t="shared" si="123"/>
        <v>PS-22-GZ4</v>
      </c>
      <c r="C438" s="52" t="str">
        <f t="shared" si="124"/>
        <v>Poste de Sectionnement n°22 GZ4</v>
      </c>
      <c r="D438" s="19">
        <v>39841</v>
      </c>
      <c r="E438" s="19">
        <v>39841</v>
      </c>
      <c r="F438" s="42"/>
      <c r="G438" s="42">
        <v>1</v>
      </c>
      <c r="H438" s="42"/>
      <c r="I438" s="42" t="s">
        <v>646</v>
      </c>
      <c r="J438" s="42" t="s">
        <v>2008</v>
      </c>
      <c r="K438" s="44">
        <f t="shared" si="121"/>
        <v>700</v>
      </c>
      <c r="L438" s="44">
        <f t="shared" si="122"/>
        <v>410.69799999999998</v>
      </c>
      <c r="M438" s="42" t="s">
        <v>2035</v>
      </c>
      <c r="N438" s="52" t="str">
        <f t="shared" si="120"/>
        <v>(22,'PS-22-GZ4','Poste de Sectionnement n°22 GZ4','Wednesday-01-jj','Wednesday-01-jj',,1,),</v>
      </c>
    </row>
    <row r="439" spans="1:14" ht="20.100000000000001" customHeight="1" x14ac:dyDescent="0.25">
      <c r="A439" s="39">
        <v>23</v>
      </c>
      <c r="B439" s="40" t="str">
        <f t="shared" si="123"/>
        <v>PS-23-GZ4</v>
      </c>
      <c r="C439" s="52" t="str">
        <f t="shared" si="124"/>
        <v>Poste de Sectionnement n°23 GZ4</v>
      </c>
      <c r="D439" s="19">
        <v>39841</v>
      </c>
      <c r="E439" s="19">
        <v>39841</v>
      </c>
      <c r="F439" s="42"/>
      <c r="G439" s="42">
        <v>1</v>
      </c>
      <c r="H439" s="42"/>
      <c r="I439" s="42" t="s">
        <v>646</v>
      </c>
      <c r="J439" s="42" t="s">
        <v>2009</v>
      </c>
      <c r="K439" s="44">
        <f t="shared" si="121"/>
        <v>570</v>
      </c>
      <c r="L439" s="44">
        <f t="shared" si="122"/>
        <v>421.29500000000002</v>
      </c>
      <c r="M439" s="42" t="s">
        <v>1947</v>
      </c>
      <c r="N439" s="52" t="str">
        <f t="shared" si="120"/>
        <v>(23,'PS-23-GZ4','Poste de Sectionnement n°23 GZ4','Wednesday-01-jj','Wednesday-01-jj',,1,),</v>
      </c>
    </row>
    <row r="440" spans="1:14" ht="20.100000000000001" customHeight="1" x14ac:dyDescent="0.25">
      <c r="A440" s="39">
        <v>24</v>
      </c>
      <c r="B440" s="40" t="str">
        <f t="shared" si="123"/>
        <v>PS-24-GZ4</v>
      </c>
      <c r="C440" s="52" t="str">
        <f t="shared" si="124"/>
        <v>Poste de Sectionnement n°24 GZ4</v>
      </c>
      <c r="D440" s="19">
        <v>39841</v>
      </c>
      <c r="E440" s="19">
        <v>39841</v>
      </c>
      <c r="F440" s="42"/>
      <c r="G440" s="42">
        <v>1</v>
      </c>
      <c r="H440" s="42"/>
      <c r="I440" s="42" t="s">
        <v>646</v>
      </c>
      <c r="J440" s="42" t="s">
        <v>2010</v>
      </c>
      <c r="K440" s="44">
        <f t="shared" si="121"/>
        <v>505</v>
      </c>
      <c r="L440" s="44">
        <f t="shared" si="122"/>
        <v>432.74</v>
      </c>
      <c r="M440" s="42" t="s">
        <v>2036</v>
      </c>
      <c r="N440" s="52" t="str">
        <f t="shared" si="120"/>
        <v>(24,'PS-24-GZ4','Poste de Sectionnement n°24 GZ4','Wednesday-01-jj','Wednesday-01-jj',,1,),</v>
      </c>
    </row>
    <row r="441" spans="1:14" ht="20.100000000000001" customHeight="1" x14ac:dyDescent="0.25">
      <c r="A441" s="39">
        <v>25</v>
      </c>
      <c r="B441" s="40" t="str">
        <f t="shared" si="123"/>
        <v>PS-25-GZ4</v>
      </c>
      <c r="C441" s="52" t="str">
        <f t="shared" si="124"/>
        <v>Poste de Sectionnement n°25 GZ4</v>
      </c>
      <c r="D441" s="19">
        <v>39841</v>
      </c>
      <c r="E441" s="19">
        <v>39841</v>
      </c>
      <c r="F441" s="42"/>
      <c r="G441" s="42">
        <v>1</v>
      </c>
      <c r="H441" s="42"/>
      <c r="I441" s="42" t="s">
        <v>646</v>
      </c>
      <c r="J441" s="42" t="s">
        <v>2011</v>
      </c>
      <c r="K441" s="44">
        <f t="shared" si="121"/>
        <v>522</v>
      </c>
      <c r="L441" s="44">
        <f t="shared" si="122"/>
        <v>440.709</v>
      </c>
      <c r="M441" s="42" t="s">
        <v>808</v>
      </c>
      <c r="N441" s="52" t="str">
        <f t="shared" si="120"/>
        <v>(25,'PS-25-GZ4','Poste de Sectionnement n°25 GZ4','Wednesday-01-jj','Wednesday-01-jj',,1,),</v>
      </c>
    </row>
    <row r="442" spans="1:14" ht="20.100000000000001" customHeight="1" x14ac:dyDescent="0.25">
      <c r="A442" s="39">
        <v>26</v>
      </c>
      <c r="B442" s="40" t="str">
        <f t="shared" si="123"/>
        <v>PS-26-GZ4</v>
      </c>
      <c r="C442" s="52" t="str">
        <f t="shared" si="124"/>
        <v>Poste de Sectionnement n°26 GZ4</v>
      </c>
      <c r="D442" s="19">
        <v>39841</v>
      </c>
      <c r="E442" s="19">
        <v>39841</v>
      </c>
      <c r="F442" s="42"/>
      <c r="G442" s="42">
        <v>1</v>
      </c>
      <c r="H442" s="42"/>
      <c r="I442" s="42" t="s">
        <v>646</v>
      </c>
      <c r="J442" s="42" t="s">
        <v>2012</v>
      </c>
      <c r="K442" s="44">
        <f t="shared" si="121"/>
        <v>544</v>
      </c>
      <c r="L442" s="44">
        <f t="shared" si="122"/>
        <v>450.80500000000001</v>
      </c>
      <c r="M442" s="42" t="s">
        <v>2037</v>
      </c>
      <c r="N442" s="52" t="str">
        <f t="shared" si="120"/>
        <v>(26,'PS-26-GZ4','Poste de Sectionnement n°26 GZ4','Wednesday-01-jj','Wednesday-01-jj',,1,),</v>
      </c>
    </row>
    <row r="443" spans="1:14" ht="20.100000000000001" customHeight="1" x14ac:dyDescent="0.25">
      <c r="A443" s="39">
        <v>27</v>
      </c>
      <c r="B443" s="40" t="str">
        <f t="shared" si="123"/>
        <v>PS-27-GZ4</v>
      </c>
      <c r="C443" s="52" t="str">
        <f t="shared" si="124"/>
        <v>Poste de Sectionnement n°27 GZ4</v>
      </c>
      <c r="D443" s="19">
        <v>39841</v>
      </c>
      <c r="E443" s="19">
        <v>39841</v>
      </c>
      <c r="F443" s="42"/>
      <c r="G443" s="42">
        <v>1</v>
      </c>
      <c r="H443" s="42"/>
      <c r="I443" s="42" t="s">
        <v>646</v>
      </c>
      <c r="J443" s="42" t="s">
        <v>2013</v>
      </c>
      <c r="K443" s="44">
        <f t="shared" si="121"/>
        <v>550</v>
      </c>
      <c r="L443" s="44">
        <f t="shared" si="122"/>
        <v>460.97300000000001</v>
      </c>
      <c r="M443" s="42" t="s">
        <v>1756</v>
      </c>
      <c r="N443" s="52" t="str">
        <f t="shared" si="120"/>
        <v>(27,'PS-27-GZ4','Poste de Sectionnement n°27 GZ4','Wednesday-01-jj','Wednesday-01-jj',,1,),</v>
      </c>
    </row>
    <row r="444" spans="1:14" ht="20.100000000000001" customHeight="1" x14ac:dyDescent="0.25">
      <c r="A444" s="39">
        <v>28</v>
      </c>
      <c r="B444" s="40" t="str">
        <f t="shared" si="123"/>
        <v>PS-28-GZ4</v>
      </c>
      <c r="C444" s="52" t="str">
        <f t="shared" si="124"/>
        <v>Poste de Sectionnement n°28 GZ4</v>
      </c>
      <c r="D444" s="19">
        <v>39841</v>
      </c>
      <c r="E444" s="19">
        <v>39841</v>
      </c>
      <c r="F444" s="42"/>
      <c r="G444" s="42">
        <v>1</v>
      </c>
      <c r="H444" s="42"/>
      <c r="I444" s="42" t="s">
        <v>646</v>
      </c>
      <c r="J444" s="42" t="s">
        <v>2014</v>
      </c>
      <c r="K444" s="44">
        <f t="shared" si="121"/>
        <v>555</v>
      </c>
      <c r="L444" s="44">
        <f t="shared" si="122"/>
        <v>470.84100000000001</v>
      </c>
      <c r="M444" s="42" t="s">
        <v>2038</v>
      </c>
      <c r="N444" s="52" t="str">
        <f t="shared" si="120"/>
        <v>(28,'PS-28-GZ4','Poste de Sectionnement n°28 GZ4','Wednesday-01-jj','Wednesday-01-jj',,1,),</v>
      </c>
    </row>
    <row r="445" spans="1:14" ht="20.100000000000001" customHeight="1" x14ac:dyDescent="0.25">
      <c r="A445" s="39">
        <v>29</v>
      </c>
      <c r="B445" s="40" t="str">
        <f t="shared" si="123"/>
        <v>PS-29-GZ4</v>
      </c>
      <c r="C445" s="52" t="str">
        <f t="shared" si="124"/>
        <v>Poste de Sectionnement n°29 GZ4</v>
      </c>
      <c r="D445" s="19">
        <v>39841</v>
      </c>
      <c r="E445" s="19">
        <v>39841</v>
      </c>
      <c r="F445" s="42"/>
      <c r="G445" s="42">
        <v>1</v>
      </c>
      <c r="H445" s="42"/>
      <c r="I445" s="42" t="s">
        <v>646</v>
      </c>
      <c r="J445" s="42" t="s">
        <v>2015</v>
      </c>
      <c r="K445" s="44">
        <f t="shared" si="121"/>
        <v>560</v>
      </c>
      <c r="L445" s="44">
        <f t="shared" si="122"/>
        <v>479.399</v>
      </c>
      <c r="M445" s="42" t="s">
        <v>2039</v>
      </c>
      <c r="N445" s="52" t="str">
        <f t="shared" si="120"/>
        <v>(29,'PS-29-GZ4','Poste de Sectionnement n°29 GZ4','Wednesday-01-jj','Wednesday-01-jj',,1,),</v>
      </c>
    </row>
    <row r="446" spans="1:14" ht="20.100000000000001" customHeight="1" x14ac:dyDescent="0.25">
      <c r="A446" s="39">
        <v>30</v>
      </c>
      <c r="B446" s="40" t="str">
        <f t="shared" si="123"/>
        <v>PS-30-GZ4</v>
      </c>
      <c r="C446" s="52" t="str">
        <f t="shared" si="124"/>
        <v>Poste de Sectionnement n°30 GZ4</v>
      </c>
      <c r="D446" s="19">
        <v>39841</v>
      </c>
      <c r="E446" s="19">
        <v>39841</v>
      </c>
      <c r="F446" s="42"/>
      <c r="G446" s="42">
        <v>1</v>
      </c>
      <c r="H446" s="42"/>
      <c r="I446" s="42" t="s">
        <v>646</v>
      </c>
      <c r="J446" s="42" t="s">
        <v>2016</v>
      </c>
      <c r="K446" s="44">
        <f t="shared" si="121"/>
        <v>577</v>
      </c>
      <c r="L446" s="44">
        <f t="shared" si="122"/>
        <v>491.27499999999998</v>
      </c>
      <c r="M446" s="42" t="s">
        <v>809</v>
      </c>
      <c r="N446" s="52" t="str">
        <f t="shared" si="120"/>
        <v>(30,'PS-30-GZ4','Poste de Sectionnement n°30 GZ4','Wednesday-01-jj','Wednesday-01-jj',,1,),</v>
      </c>
    </row>
    <row r="447" spans="1:14" ht="20.100000000000001" customHeight="1" x14ac:dyDescent="0.25">
      <c r="A447" s="39">
        <v>31</v>
      </c>
      <c r="B447" s="40" t="str">
        <f t="shared" si="123"/>
        <v>PS-31-GZ4</v>
      </c>
      <c r="C447" s="52" t="str">
        <f t="shared" si="124"/>
        <v>Poste de Sectionnement n°31 GZ4</v>
      </c>
      <c r="D447" s="19">
        <v>39841</v>
      </c>
      <c r="E447" s="19">
        <v>39841</v>
      </c>
      <c r="F447" s="42"/>
      <c r="G447" s="42">
        <v>1</v>
      </c>
      <c r="H447" s="42"/>
      <c r="I447" s="42" t="s">
        <v>646</v>
      </c>
      <c r="J447" s="42" t="s">
        <v>2017</v>
      </c>
      <c r="K447" s="44">
        <f t="shared" si="121"/>
        <v>592</v>
      </c>
      <c r="L447" s="44">
        <f t="shared" si="122"/>
        <v>501.851</v>
      </c>
      <c r="M447" s="42" t="s">
        <v>809</v>
      </c>
      <c r="N447" s="52" t="str">
        <f t="shared" si="120"/>
        <v>(31,'PS-31-GZ4','Poste de Sectionnement n°31 GZ4','Wednesday-01-jj','Wednesday-01-jj',,1,),</v>
      </c>
    </row>
    <row r="448" spans="1:14" ht="20.100000000000001" customHeight="1" x14ac:dyDescent="0.25">
      <c r="A448" s="39">
        <v>1</v>
      </c>
      <c r="B448" s="40" t="str">
        <f t="shared" si="123"/>
        <v>PS-01-GZ4 Bis</v>
      </c>
      <c r="C448" s="52" t="str">
        <f t="shared" si="124"/>
        <v>Poste de Sectionnement n°01 GZ4 Bis</v>
      </c>
      <c r="D448" s="19">
        <v>40284</v>
      </c>
      <c r="E448" s="19">
        <v>40284</v>
      </c>
      <c r="F448" s="42"/>
      <c r="G448" s="42">
        <v>1</v>
      </c>
      <c r="H448" s="42"/>
      <c r="I448" s="42" t="s">
        <v>1009</v>
      </c>
      <c r="J448" s="42" t="s">
        <v>2026</v>
      </c>
      <c r="K448" s="44">
        <f t="shared" si="121"/>
        <v>48.76</v>
      </c>
      <c r="L448" s="44">
        <f t="shared" si="122"/>
        <v>17.28</v>
      </c>
      <c r="M448" s="42" t="s">
        <v>2018</v>
      </c>
      <c r="N448" s="52" t="str">
        <f t="shared" si="120"/>
        <v>(1,'PS-01-GZ4 Bis','Poste de Sectionnement n°01 GZ4 Bis','Friday-04-jj','Friday-04-jj',,1,),</v>
      </c>
    </row>
    <row r="449" spans="1:14" ht="20.100000000000001" customHeight="1" x14ac:dyDescent="0.25">
      <c r="A449" s="39">
        <v>2</v>
      </c>
      <c r="B449" s="40" t="str">
        <f t="shared" si="123"/>
        <v>PS-02-GZ4 Bis</v>
      </c>
      <c r="C449" s="52" t="str">
        <f t="shared" si="124"/>
        <v>Poste de Sectionnement n°02 GZ4 Bis</v>
      </c>
      <c r="D449" s="19">
        <v>40284</v>
      </c>
      <c r="E449" s="19">
        <v>40284</v>
      </c>
      <c r="F449" s="42"/>
      <c r="G449" s="42">
        <v>1</v>
      </c>
      <c r="H449" s="42"/>
      <c r="I449" s="42" t="s">
        <v>1009</v>
      </c>
      <c r="J449" s="42" t="s">
        <v>2027</v>
      </c>
      <c r="K449" s="44">
        <f t="shared" si="121"/>
        <v>164.84</v>
      </c>
      <c r="L449" s="44">
        <f t="shared" si="122"/>
        <v>35.6</v>
      </c>
      <c r="M449" s="42" t="s">
        <v>2019</v>
      </c>
      <c r="N449" s="52" t="str">
        <f t="shared" si="120"/>
        <v>(2,'PS-02-GZ4 Bis','Poste de Sectionnement n°02 GZ4 Bis','Friday-04-jj','Friday-04-jj',,1,),</v>
      </c>
    </row>
    <row r="450" spans="1:14" ht="20.100000000000001" customHeight="1" x14ac:dyDescent="0.25">
      <c r="A450" s="39">
        <v>3</v>
      </c>
      <c r="B450" s="40" t="str">
        <f t="shared" si="123"/>
        <v>PS-03-GZ4 Bis</v>
      </c>
      <c r="C450" s="52" t="str">
        <f t="shared" si="124"/>
        <v>Poste de Sectionnement n°03 GZ4 Bis</v>
      </c>
      <c r="D450" s="19">
        <v>40284</v>
      </c>
      <c r="E450" s="19">
        <v>40284</v>
      </c>
      <c r="F450" s="42"/>
      <c r="G450" s="42">
        <v>1</v>
      </c>
      <c r="H450" s="42"/>
      <c r="I450" s="42" t="s">
        <v>1009</v>
      </c>
      <c r="J450" s="42" t="s">
        <v>2028</v>
      </c>
      <c r="K450" s="44">
        <f t="shared" si="121"/>
        <v>110.38</v>
      </c>
      <c r="L450" s="44">
        <f t="shared" si="122"/>
        <v>54.66</v>
      </c>
      <c r="M450" s="42" t="s">
        <v>2020</v>
      </c>
      <c r="N450" s="52" t="str">
        <f t="shared" si="120"/>
        <v>(3,'PS-03-GZ4 Bis','Poste de Sectionnement n°03 GZ4 Bis','Friday-04-jj','Friday-04-jj',,1,),</v>
      </c>
    </row>
    <row r="451" spans="1:14" ht="20.100000000000001" customHeight="1" x14ac:dyDescent="0.25">
      <c r="A451" s="39">
        <v>4</v>
      </c>
      <c r="B451" s="40" t="str">
        <f t="shared" si="123"/>
        <v>PS-04-GZ4 Bis</v>
      </c>
      <c r="C451" s="52" t="str">
        <f t="shared" si="124"/>
        <v>Poste de Sectionnement n°04 GZ4 Bis</v>
      </c>
      <c r="D451" s="19">
        <v>40284</v>
      </c>
      <c r="E451" s="19">
        <v>40284</v>
      </c>
      <c r="F451" s="42"/>
      <c r="G451" s="42">
        <v>1</v>
      </c>
      <c r="H451" s="42"/>
      <c r="I451" s="42" t="s">
        <v>1009</v>
      </c>
      <c r="J451" s="42" t="s">
        <v>2029</v>
      </c>
      <c r="K451" s="44">
        <f t="shared" si="121"/>
        <v>142.69</v>
      </c>
      <c r="L451" s="44">
        <f t="shared" si="122"/>
        <v>74.25</v>
      </c>
      <c r="M451" s="42" t="s">
        <v>2021</v>
      </c>
      <c r="N451" s="52" t="str">
        <f t="shared" si="120"/>
        <v>(4,'PS-04-GZ4 Bis','Poste de Sectionnement n°04 GZ4 Bis','Friday-04-jj','Friday-04-jj',,1,),</v>
      </c>
    </row>
    <row r="452" spans="1:14" ht="20.100000000000001" customHeight="1" x14ac:dyDescent="0.25">
      <c r="A452" s="39">
        <v>5</v>
      </c>
      <c r="B452" s="40" t="str">
        <f t="shared" si="123"/>
        <v>PS-05-GZ4 Bis</v>
      </c>
      <c r="C452" s="52" t="str">
        <f t="shared" si="124"/>
        <v>Poste de Sectionnement n°05 GZ4 Bis</v>
      </c>
      <c r="D452" s="19">
        <v>40284</v>
      </c>
      <c r="E452" s="19">
        <v>40284</v>
      </c>
      <c r="F452" s="42"/>
      <c r="G452" s="42">
        <v>1</v>
      </c>
      <c r="H452" s="42"/>
      <c r="I452" s="42" t="s">
        <v>1009</v>
      </c>
      <c r="J452" s="42" t="s">
        <v>2030</v>
      </c>
      <c r="K452" s="44">
        <f t="shared" si="121"/>
        <v>205.11</v>
      </c>
      <c r="L452" s="44">
        <f t="shared" si="122"/>
        <v>85.58</v>
      </c>
      <c r="M452" s="42" t="s">
        <v>2022</v>
      </c>
      <c r="N452" s="52" t="str">
        <f t="shared" si="120"/>
        <v>(5,'PS-05-GZ4 Bis','Poste de Sectionnement n°05 GZ4 Bis','Friday-04-jj','Friday-04-jj',,1,),</v>
      </c>
    </row>
    <row r="453" spans="1:14" ht="20.100000000000001" customHeight="1" x14ac:dyDescent="0.25">
      <c r="A453" s="39">
        <v>6</v>
      </c>
      <c r="B453" s="40" t="str">
        <f t="shared" si="123"/>
        <v>PS-06-GZ4 Bis</v>
      </c>
      <c r="C453" s="52" t="str">
        <f t="shared" si="124"/>
        <v>Poste de Sectionnement n°06 GZ4 Bis</v>
      </c>
      <c r="D453" s="19">
        <v>40284</v>
      </c>
      <c r="E453" s="19">
        <v>40284</v>
      </c>
      <c r="F453" s="42"/>
      <c r="G453" s="42">
        <v>1</v>
      </c>
      <c r="H453" s="42"/>
      <c r="I453" s="42" t="s">
        <v>1009</v>
      </c>
      <c r="J453" s="42" t="s">
        <v>2031</v>
      </c>
      <c r="K453" s="44">
        <f t="shared" si="121"/>
        <v>184.73</v>
      </c>
      <c r="L453" s="44">
        <f t="shared" si="122"/>
        <v>105.79</v>
      </c>
      <c r="M453" s="42" t="s">
        <v>2023</v>
      </c>
      <c r="N453" s="52" t="str">
        <f t="shared" si="120"/>
        <v>(6,'PS-06-GZ4 Bis','Poste de Sectionnement n°06 GZ4 Bis','Friday-04-jj','Friday-04-jj',,1,),</v>
      </c>
    </row>
    <row r="454" spans="1:14" ht="20.100000000000001" customHeight="1" x14ac:dyDescent="0.25">
      <c r="A454" s="39">
        <v>1</v>
      </c>
      <c r="B454" s="40" t="str">
        <f t="shared" si="123"/>
        <v>PS-01-GK1</v>
      </c>
      <c r="C454" s="52" t="str">
        <f t="shared" si="124"/>
        <v>Poste de Sectionnement n°01 GK1</v>
      </c>
      <c r="D454" s="19">
        <v>25934</v>
      </c>
      <c r="E454" s="19">
        <v>28491</v>
      </c>
      <c r="F454" s="42"/>
      <c r="G454" s="42">
        <v>1</v>
      </c>
      <c r="H454" s="42"/>
      <c r="I454" s="42" t="s">
        <v>398</v>
      </c>
      <c r="J454" s="42" t="s">
        <v>2040</v>
      </c>
      <c r="K454" s="44">
        <f t="shared" ref="K454:K488" si="125">VALUE(RIGHT(J454,LEN(J454)-SEARCH("/",J454)))</f>
        <v>695</v>
      </c>
      <c r="L454" s="44">
        <f t="shared" ref="L454:L488" si="126">VALUE(SUBSTITUTE(LEFT(J454,SEARCH("/",J454)-1),"+",","))</f>
        <v>41.554000000000002</v>
      </c>
      <c r="M454" s="42" t="s">
        <v>798</v>
      </c>
      <c r="N454" s="52" t="str">
        <f t="shared" si="120"/>
        <v>(1,'PS-01-GK1','Poste de Sectionnement n°01 GK1','Friday-01-jj','Sunday-01-jj',,1,),</v>
      </c>
    </row>
    <row r="455" spans="1:14" ht="20.100000000000001" customHeight="1" x14ac:dyDescent="0.25">
      <c r="A455" s="39">
        <v>2</v>
      </c>
      <c r="B455" s="40" t="str">
        <f t="shared" si="123"/>
        <v>PS-02-GK1</v>
      </c>
      <c r="C455" s="52" t="str">
        <f t="shared" si="124"/>
        <v>Poste de Sectionnement n°02 GK1</v>
      </c>
      <c r="D455" s="19">
        <v>25934</v>
      </c>
      <c r="E455" s="19">
        <v>28491</v>
      </c>
      <c r="F455" s="42"/>
      <c r="G455" s="42">
        <v>1</v>
      </c>
      <c r="H455" s="42"/>
      <c r="I455" s="42" t="s">
        <v>398</v>
      </c>
      <c r="J455" s="42" t="s">
        <v>2041</v>
      </c>
      <c r="K455" s="44">
        <f t="shared" si="125"/>
        <v>630</v>
      </c>
      <c r="L455" s="44">
        <f t="shared" si="126"/>
        <v>133.82</v>
      </c>
      <c r="M455" s="42" t="s">
        <v>2078</v>
      </c>
      <c r="N455" s="52" t="str">
        <f t="shared" si="120"/>
        <v>(2,'PS-02-GK1','Poste de Sectionnement n°02 GK1','Friday-01-jj','Sunday-01-jj',,1,),</v>
      </c>
    </row>
    <row r="456" spans="1:14" ht="20.100000000000001" customHeight="1" x14ac:dyDescent="0.25">
      <c r="A456" s="39">
        <v>3</v>
      </c>
      <c r="B456" s="40" t="str">
        <f t="shared" ref="B456:B489" si="127">CONCATENATE("PS-",TEXT(A456,"00"),"-",I456)</f>
        <v>PS-03-GK1</v>
      </c>
      <c r="C456" s="52" t="str">
        <f t="shared" ref="C456:C489" si="128">CONCATENATE("Poste de Sectionnement n°",TEXT(A456,"00")," ",I456)</f>
        <v>Poste de Sectionnement n°03 GK1</v>
      </c>
      <c r="D456" s="19">
        <v>25934</v>
      </c>
      <c r="E456" s="19">
        <v>28491</v>
      </c>
      <c r="F456" s="42"/>
      <c r="G456" s="42">
        <v>1</v>
      </c>
      <c r="H456" s="42"/>
      <c r="I456" s="42" t="s">
        <v>398</v>
      </c>
      <c r="J456" s="42" t="s">
        <v>2042</v>
      </c>
      <c r="K456" s="44">
        <f t="shared" si="125"/>
        <v>327</v>
      </c>
      <c r="L456" s="44">
        <f t="shared" si="126"/>
        <v>224.084</v>
      </c>
      <c r="M456" s="42" t="s">
        <v>2079</v>
      </c>
      <c r="N456" s="52" t="str">
        <f t="shared" si="120"/>
        <v>(3,'PS-03-GK1','Poste de Sectionnement n°03 GK1','Friday-01-jj','Sunday-01-jj',,1,),</v>
      </c>
    </row>
    <row r="457" spans="1:14" ht="20.100000000000001" customHeight="1" x14ac:dyDescent="0.25">
      <c r="A457" s="39">
        <v>4</v>
      </c>
      <c r="B457" s="40" t="str">
        <f t="shared" si="127"/>
        <v>PS-04-GK1</v>
      </c>
      <c r="C457" s="52" t="str">
        <f t="shared" si="128"/>
        <v>Poste de Sectionnement n°04 GK1</v>
      </c>
      <c r="D457" s="19">
        <v>25934</v>
      </c>
      <c r="E457" s="19">
        <v>28491</v>
      </c>
      <c r="F457" s="42"/>
      <c r="G457" s="42">
        <v>1</v>
      </c>
      <c r="H457" s="42"/>
      <c r="I457" s="42" t="s">
        <v>398</v>
      </c>
      <c r="J457" s="42" t="s">
        <v>2043</v>
      </c>
      <c r="K457" s="44">
        <f t="shared" si="125"/>
        <v>438</v>
      </c>
      <c r="L457" s="44">
        <f t="shared" si="126"/>
        <v>296.90100000000001</v>
      </c>
      <c r="M457" s="42" t="s">
        <v>949</v>
      </c>
      <c r="N457" s="52" t="str">
        <f t="shared" si="120"/>
        <v>(4,'PS-04-GK1','Poste de Sectionnement n°04 GK1','Friday-01-jj','Sunday-01-jj',,1,),</v>
      </c>
    </row>
    <row r="458" spans="1:14" ht="20.100000000000001" customHeight="1" x14ac:dyDescent="0.25">
      <c r="A458" s="39">
        <v>5</v>
      </c>
      <c r="B458" s="40" t="str">
        <f t="shared" si="127"/>
        <v>PS-05-GK1</v>
      </c>
      <c r="C458" s="52" t="str">
        <f t="shared" si="128"/>
        <v>Poste de Sectionnement n°05 GK1</v>
      </c>
      <c r="D458" s="19">
        <v>25934</v>
      </c>
      <c r="E458" s="19">
        <v>28491</v>
      </c>
      <c r="F458" s="42"/>
      <c r="G458" s="42">
        <v>1</v>
      </c>
      <c r="H458" s="42"/>
      <c r="I458" s="42" t="s">
        <v>398</v>
      </c>
      <c r="J458" s="42" t="s">
        <v>2044</v>
      </c>
      <c r="K458" s="44">
        <f t="shared" si="125"/>
        <v>431</v>
      </c>
      <c r="L458" s="44">
        <f t="shared" si="126"/>
        <v>328.21499999999997</v>
      </c>
      <c r="M458" s="42" t="s">
        <v>2080</v>
      </c>
      <c r="N458" s="52" t="str">
        <f t="shared" si="120"/>
        <v>(5,'PS-05-GK1','Poste de Sectionnement n°05 GK1','Friday-01-jj','Sunday-01-jj',,1,),</v>
      </c>
    </row>
    <row r="459" spans="1:14" ht="20.100000000000001" customHeight="1" x14ac:dyDescent="0.25">
      <c r="A459" s="39">
        <v>6</v>
      </c>
      <c r="B459" s="40" t="str">
        <f t="shared" si="127"/>
        <v>PS-06-GK1</v>
      </c>
      <c r="C459" s="52" t="str">
        <f t="shared" si="128"/>
        <v>Poste de Sectionnement n°06 GK1</v>
      </c>
      <c r="D459" s="19">
        <v>25934</v>
      </c>
      <c r="E459" s="19">
        <v>28491</v>
      </c>
      <c r="F459" s="42"/>
      <c r="G459" s="42">
        <v>1</v>
      </c>
      <c r="H459" s="42"/>
      <c r="I459" s="42" t="s">
        <v>398</v>
      </c>
      <c r="J459" s="42" t="s">
        <v>2045</v>
      </c>
      <c r="K459" s="44">
        <f t="shared" si="125"/>
        <v>754</v>
      </c>
      <c r="L459" s="44">
        <f t="shared" si="126"/>
        <v>380.71300000000002</v>
      </c>
      <c r="M459" s="42" t="s">
        <v>2081</v>
      </c>
      <c r="N459" s="52" t="str">
        <f t="shared" si="120"/>
        <v>(6,'PS-06-GK1','Poste de Sectionnement n°06 GK1','Friday-01-jj','Sunday-01-jj',,1,),</v>
      </c>
    </row>
    <row r="460" spans="1:14" ht="20.100000000000001" customHeight="1" x14ac:dyDescent="0.25">
      <c r="A460" s="39">
        <v>7</v>
      </c>
      <c r="B460" s="40" t="str">
        <f t="shared" si="127"/>
        <v>PS-07-GK1</v>
      </c>
      <c r="C460" s="52" t="str">
        <f t="shared" si="128"/>
        <v>Poste de Sectionnement n°07 GK1</v>
      </c>
      <c r="D460" s="19">
        <v>25934</v>
      </c>
      <c r="E460" s="19">
        <v>28491</v>
      </c>
      <c r="F460" s="42"/>
      <c r="G460" s="42">
        <v>1</v>
      </c>
      <c r="H460" s="42"/>
      <c r="I460" s="42" t="s">
        <v>398</v>
      </c>
      <c r="J460" s="42" t="s">
        <v>2046</v>
      </c>
      <c r="K460" s="44">
        <f t="shared" si="125"/>
        <v>932</v>
      </c>
      <c r="L460" s="44">
        <f t="shared" si="126"/>
        <v>405.11799999999999</v>
      </c>
      <c r="M460" s="42" t="s">
        <v>2082</v>
      </c>
      <c r="N460" s="52" t="str">
        <f t="shared" si="120"/>
        <v>(7,'PS-07-GK1','Poste de Sectionnement n°07 GK1','Friday-01-jj','Sunday-01-jj',,1,),</v>
      </c>
    </row>
    <row r="461" spans="1:14" ht="20.100000000000001" customHeight="1" x14ac:dyDescent="0.25">
      <c r="A461" s="39">
        <v>8</v>
      </c>
      <c r="B461" s="40" t="str">
        <f t="shared" si="127"/>
        <v>PS-08-GK1</v>
      </c>
      <c r="C461" s="52" t="str">
        <f t="shared" si="128"/>
        <v>Poste de Sectionnement n°08 GK1</v>
      </c>
      <c r="D461" s="19">
        <v>25934</v>
      </c>
      <c r="E461" s="19">
        <v>28491</v>
      </c>
      <c r="F461" s="42"/>
      <c r="G461" s="42">
        <v>1</v>
      </c>
      <c r="H461" s="42"/>
      <c r="I461" s="42" t="s">
        <v>398</v>
      </c>
      <c r="J461" s="42" t="s">
        <v>2047</v>
      </c>
      <c r="K461" s="44">
        <f t="shared" si="125"/>
        <v>793</v>
      </c>
      <c r="L461" s="44">
        <f t="shared" si="126"/>
        <v>458.52</v>
      </c>
      <c r="M461" s="42" t="s">
        <v>2083</v>
      </c>
      <c r="N461" s="52" t="str">
        <f t="shared" si="120"/>
        <v>(8,'PS-08-GK1','Poste de Sectionnement n°08 GK1','Friday-01-jj','Sunday-01-jj',,1,),</v>
      </c>
    </row>
    <row r="462" spans="1:14" ht="20.100000000000001" customHeight="1" x14ac:dyDescent="0.25">
      <c r="A462" s="39">
        <v>9</v>
      </c>
      <c r="B462" s="40" t="str">
        <f t="shared" si="127"/>
        <v>PS-09-GK1</v>
      </c>
      <c r="C462" s="52" t="str">
        <f t="shared" si="128"/>
        <v>Poste de Sectionnement n°09 GK1</v>
      </c>
      <c r="D462" s="19">
        <v>25934</v>
      </c>
      <c r="E462" s="19">
        <v>28491</v>
      </c>
      <c r="F462" s="42"/>
      <c r="G462" s="42">
        <v>1</v>
      </c>
      <c r="H462" s="42"/>
      <c r="I462" s="42" t="s">
        <v>398</v>
      </c>
      <c r="J462" s="42" t="s">
        <v>2048</v>
      </c>
      <c r="K462" s="44">
        <f t="shared" si="125"/>
        <v>678</v>
      </c>
      <c r="L462" s="44">
        <f t="shared" si="126"/>
        <v>476.40300000000002</v>
      </c>
      <c r="M462" s="42" t="s">
        <v>2084</v>
      </c>
      <c r="N462" s="52" t="str">
        <f t="shared" si="120"/>
        <v>(9,'PS-09-GK1','Poste de Sectionnement n°09 GK1','Friday-01-jj','Sunday-01-jj',,1,),</v>
      </c>
    </row>
    <row r="463" spans="1:14" ht="20.100000000000001" customHeight="1" x14ac:dyDescent="0.25">
      <c r="A463" s="39" t="s">
        <v>2076</v>
      </c>
      <c r="B463" s="40" t="str">
        <f t="shared" si="127"/>
        <v>PS-10A-GK1</v>
      </c>
      <c r="C463" s="52" t="str">
        <f t="shared" si="128"/>
        <v>Poste de Sectionnement n°10A GK1</v>
      </c>
      <c r="D463" s="19">
        <v>25934</v>
      </c>
      <c r="E463" s="19">
        <v>28491</v>
      </c>
      <c r="F463" s="42"/>
      <c r="G463" s="42">
        <v>1</v>
      </c>
      <c r="H463" s="42"/>
      <c r="I463" s="42" t="s">
        <v>398</v>
      </c>
      <c r="J463" s="42" t="s">
        <v>2049</v>
      </c>
      <c r="K463" s="44">
        <f t="shared" si="125"/>
        <v>700</v>
      </c>
      <c r="L463" s="44">
        <f t="shared" si="126"/>
        <v>498.209</v>
      </c>
      <c r="M463" s="42" t="s">
        <v>2085</v>
      </c>
      <c r="N463" s="52" t="str">
        <f t="shared" si="120"/>
        <v>(10A,'PS-10A-GK1','Poste de Sectionnement n°10A GK1','Friday-01-jj','Sunday-01-jj',,1,),</v>
      </c>
    </row>
    <row r="464" spans="1:14" ht="20.100000000000001" customHeight="1" x14ac:dyDescent="0.25">
      <c r="A464" s="39" t="s">
        <v>2075</v>
      </c>
      <c r="B464" s="40" t="str">
        <f t="shared" si="127"/>
        <v>PS-10B-GK1</v>
      </c>
      <c r="C464" s="52" t="str">
        <f t="shared" si="128"/>
        <v>Poste de Sectionnement n°10B GK1</v>
      </c>
      <c r="D464" s="19">
        <v>25934</v>
      </c>
      <c r="E464" s="19">
        <v>28491</v>
      </c>
      <c r="F464" s="42"/>
      <c r="G464" s="42">
        <v>1</v>
      </c>
      <c r="H464" s="42"/>
      <c r="I464" s="42" t="s">
        <v>398</v>
      </c>
      <c r="J464" s="42" t="s">
        <v>2050</v>
      </c>
      <c r="K464" s="44">
        <f t="shared" si="125"/>
        <v>461</v>
      </c>
      <c r="L464" s="44">
        <f t="shared" si="126"/>
        <v>514.52800000000002</v>
      </c>
      <c r="M464" s="42" t="s">
        <v>2086</v>
      </c>
      <c r="N464" s="52" t="str">
        <f t="shared" si="120"/>
        <v>(10B,'PS-10B-GK1','Poste de Sectionnement n°10B GK1','Friday-01-jj','Sunday-01-jj',,1,),</v>
      </c>
    </row>
    <row r="465" spans="1:14" ht="20.100000000000001" customHeight="1" x14ac:dyDescent="0.25">
      <c r="A465" s="39">
        <v>11</v>
      </c>
      <c r="B465" s="40" t="str">
        <f t="shared" si="127"/>
        <v>PS-11-GK1</v>
      </c>
      <c r="C465" s="52" t="str">
        <f t="shared" si="128"/>
        <v>Poste de Sectionnement n°11 GK1</v>
      </c>
      <c r="D465" s="19">
        <v>25934</v>
      </c>
      <c r="E465" s="19">
        <v>28491</v>
      </c>
      <c r="F465" s="42"/>
      <c r="G465" s="42">
        <v>1</v>
      </c>
      <c r="H465" s="42"/>
      <c r="I465" s="42" t="s">
        <v>398</v>
      </c>
      <c r="J465" s="42" t="s">
        <v>2051</v>
      </c>
      <c r="K465" s="44">
        <f t="shared" si="125"/>
        <v>600</v>
      </c>
      <c r="L465" s="44">
        <f t="shared" si="126"/>
        <v>526.34400000000005</v>
      </c>
      <c r="M465" s="42" t="s">
        <v>2087</v>
      </c>
      <c r="N465" s="52" t="str">
        <f t="shared" si="120"/>
        <v>(11,'PS-11-GK1','Poste de Sectionnement n°11 GK1','Friday-01-jj','Sunday-01-jj',,1,),</v>
      </c>
    </row>
    <row r="466" spans="1:14" ht="20.100000000000001" customHeight="1" x14ac:dyDescent="0.25">
      <c r="A466" s="39" t="s">
        <v>2077</v>
      </c>
      <c r="B466" s="40" t="str">
        <f t="shared" si="127"/>
        <v>PS-11A-GK1</v>
      </c>
      <c r="C466" s="52" t="str">
        <f t="shared" si="128"/>
        <v>Poste de Sectionnement n°11A GK1</v>
      </c>
      <c r="D466" s="19">
        <v>25934</v>
      </c>
      <c r="E466" s="19">
        <v>28491</v>
      </c>
      <c r="F466" s="42"/>
      <c r="G466" s="42">
        <v>1</v>
      </c>
      <c r="H466" s="42"/>
      <c r="I466" s="42" t="s">
        <v>398</v>
      </c>
      <c r="J466" s="42" t="s">
        <v>2052</v>
      </c>
      <c r="K466" s="44">
        <f t="shared" si="125"/>
        <v>135</v>
      </c>
      <c r="L466" s="44">
        <f t="shared" si="126"/>
        <v>545.51499999999999</v>
      </c>
      <c r="M466" s="42" t="s">
        <v>2088</v>
      </c>
      <c r="N466" s="52" t="str">
        <f t="shared" si="120"/>
        <v>(11A,'PS-11A-GK1','Poste de Sectionnement n°11A GK1','Friday-01-jj','Sunday-01-jj',,1,),</v>
      </c>
    </row>
    <row r="467" spans="1:14" ht="20.100000000000001" customHeight="1" x14ac:dyDescent="0.25">
      <c r="A467" s="39">
        <v>12</v>
      </c>
      <c r="B467" s="40" t="str">
        <f t="shared" si="127"/>
        <v>PS-12-GK1</v>
      </c>
      <c r="C467" s="52" t="str">
        <f t="shared" si="128"/>
        <v>Poste de Sectionnement n°12 GK1</v>
      </c>
      <c r="D467" s="19">
        <v>25934</v>
      </c>
      <c r="E467" s="19">
        <v>28491</v>
      </c>
      <c r="F467" s="42"/>
      <c r="G467" s="42">
        <v>1</v>
      </c>
      <c r="H467" s="42"/>
      <c r="I467" s="42" t="s">
        <v>398</v>
      </c>
      <c r="J467" s="42" t="s">
        <v>2053</v>
      </c>
      <c r="K467" s="44">
        <f t="shared" si="125"/>
        <v>149</v>
      </c>
      <c r="L467" s="44">
        <f t="shared" si="126"/>
        <v>554.98099999999999</v>
      </c>
      <c r="M467" s="42" t="s">
        <v>2089</v>
      </c>
      <c r="N467" s="52" t="str">
        <f t="shared" si="120"/>
        <v>(12,'PS-12-GK1','Poste de Sectionnement n°12 GK1','Friday-01-jj','Sunday-01-jj',,1,),</v>
      </c>
    </row>
    <row r="468" spans="1:14" ht="20.100000000000001" customHeight="1" x14ac:dyDescent="0.25">
      <c r="A468" s="39">
        <v>13</v>
      </c>
      <c r="B468" s="40" t="str">
        <f t="shared" si="127"/>
        <v>PS-13-GK1</v>
      </c>
      <c r="C468" s="52" t="str">
        <f t="shared" si="128"/>
        <v>Poste de Sectionnement n°13 GK1</v>
      </c>
      <c r="D468" s="19">
        <v>25934</v>
      </c>
      <c r="E468" s="19">
        <v>28491</v>
      </c>
      <c r="F468" s="42"/>
      <c r="G468" s="42">
        <v>1</v>
      </c>
      <c r="H468" s="42"/>
      <c r="I468" s="42" t="s">
        <v>398</v>
      </c>
      <c r="J468" s="42" t="s">
        <v>2054</v>
      </c>
      <c r="K468" s="44">
        <f t="shared" si="125"/>
        <v>196</v>
      </c>
      <c r="L468" s="44">
        <f t="shared" si="126"/>
        <v>565</v>
      </c>
      <c r="M468" s="42" t="s">
        <v>2090</v>
      </c>
      <c r="N468" s="52" t="str">
        <f t="shared" si="120"/>
        <v>(13,'PS-13-GK1','Poste de Sectionnement n°13 GK1','Friday-01-jj','Sunday-01-jj',,1,),</v>
      </c>
    </row>
    <row r="469" spans="1:14" ht="20.100000000000001" customHeight="1" x14ac:dyDescent="0.25">
      <c r="A469" s="39">
        <v>1</v>
      </c>
      <c r="B469" s="40" t="str">
        <f t="shared" si="127"/>
        <v>PS-01-GK2</v>
      </c>
      <c r="C469" s="52" t="str">
        <f t="shared" si="128"/>
        <v>Poste de Sectionnement n°01 GK2</v>
      </c>
      <c r="D469" s="19">
        <v>35796</v>
      </c>
      <c r="E469" s="19">
        <v>36892</v>
      </c>
      <c r="F469" s="42"/>
      <c r="G469" s="42">
        <v>1</v>
      </c>
      <c r="H469" s="42"/>
      <c r="I469" s="42" t="s">
        <v>402</v>
      </c>
      <c r="J469" s="42" t="s">
        <v>2055</v>
      </c>
      <c r="K469" s="44">
        <f t="shared" si="125"/>
        <v>780</v>
      </c>
      <c r="L469" s="44">
        <f t="shared" si="126"/>
        <v>27.838000000000001</v>
      </c>
      <c r="M469" s="42" t="s">
        <v>798</v>
      </c>
      <c r="N469" s="52" t="str">
        <f t="shared" ref="N469:N532" si="129">CONCATENATE("(",A469,",'",B469,"','",C469,"','",TEXT(D469,"aaaa-mm-jj"),"','",TEXT(E469,"aaaa-mm-jj"),"',",F469,",",G469,",",H469,"),")</f>
        <v>(1,'PS-01-GK2','Poste de Sectionnement n°01 GK2','Thursday-01-jj','Monday-01-jj',,1,),</v>
      </c>
    </row>
    <row r="470" spans="1:14" ht="20.100000000000001" customHeight="1" x14ac:dyDescent="0.25">
      <c r="A470" s="39">
        <v>2</v>
      </c>
      <c r="B470" s="40" t="str">
        <f t="shared" si="127"/>
        <v>PS-02-GK2</v>
      </c>
      <c r="C470" s="52" t="str">
        <f t="shared" si="128"/>
        <v>Poste de Sectionnement n°02 GK2</v>
      </c>
      <c r="D470" s="19">
        <v>35796</v>
      </c>
      <c r="E470" s="19">
        <v>36892</v>
      </c>
      <c r="F470" s="42"/>
      <c r="G470" s="42">
        <v>1</v>
      </c>
      <c r="H470" s="42"/>
      <c r="I470" s="42" t="s">
        <v>402</v>
      </c>
      <c r="J470" s="42" t="s">
        <v>2056</v>
      </c>
      <c r="K470" s="44">
        <f t="shared" si="125"/>
        <v>767</v>
      </c>
      <c r="L470" s="44">
        <f t="shared" si="126"/>
        <v>55.947000000000003</v>
      </c>
      <c r="M470" s="42" t="s">
        <v>2078</v>
      </c>
      <c r="N470" s="52" t="str">
        <f t="shared" si="129"/>
        <v>(2,'PS-02-GK2','Poste de Sectionnement n°02 GK2','Thursday-01-jj','Monday-01-jj',,1,),</v>
      </c>
    </row>
    <row r="471" spans="1:14" ht="20.100000000000001" customHeight="1" x14ac:dyDescent="0.25">
      <c r="A471" s="39">
        <v>3</v>
      </c>
      <c r="B471" s="40" t="str">
        <f t="shared" si="127"/>
        <v>PS-03-GK2</v>
      </c>
      <c r="C471" s="52" t="str">
        <f t="shared" si="128"/>
        <v>Poste de Sectionnement n°03 GK2</v>
      </c>
      <c r="D471" s="19">
        <v>35796</v>
      </c>
      <c r="E471" s="19">
        <v>36892</v>
      </c>
      <c r="F471" s="42"/>
      <c r="G471" s="42">
        <v>1</v>
      </c>
      <c r="H471" s="42"/>
      <c r="I471" s="42" t="s">
        <v>402</v>
      </c>
      <c r="J471" s="42" t="s">
        <v>2057</v>
      </c>
      <c r="K471" s="44">
        <f t="shared" si="125"/>
        <v>712</v>
      </c>
      <c r="L471" s="44">
        <f t="shared" si="126"/>
        <v>115.636</v>
      </c>
      <c r="M471" s="42" t="s">
        <v>2091</v>
      </c>
      <c r="N471" s="52" t="str">
        <f t="shared" si="129"/>
        <v>(3,'PS-03-GK2','Poste de Sectionnement n°03 GK2','Thursday-01-jj','Monday-01-jj',,1,),</v>
      </c>
    </row>
    <row r="472" spans="1:14" ht="20.100000000000001" customHeight="1" x14ac:dyDescent="0.25">
      <c r="A472" s="39">
        <v>4</v>
      </c>
      <c r="B472" s="40" t="str">
        <f t="shared" si="127"/>
        <v>PS-04-GK2</v>
      </c>
      <c r="C472" s="52" t="str">
        <f t="shared" si="128"/>
        <v>Poste de Sectionnement n°04 GK2</v>
      </c>
      <c r="D472" s="19">
        <v>35796</v>
      </c>
      <c r="E472" s="19">
        <v>36892</v>
      </c>
      <c r="F472" s="42"/>
      <c r="G472" s="42">
        <v>1</v>
      </c>
      <c r="H472" s="42"/>
      <c r="I472" s="42" t="s">
        <v>402</v>
      </c>
      <c r="J472" s="42" t="s">
        <v>2058</v>
      </c>
      <c r="K472" s="44">
        <f t="shared" si="125"/>
        <v>544</v>
      </c>
      <c r="L472" s="44">
        <f t="shared" si="126"/>
        <v>148.86699999999999</v>
      </c>
      <c r="M472" s="42" t="s">
        <v>2091</v>
      </c>
      <c r="N472" s="52" t="str">
        <f t="shared" si="129"/>
        <v>(4,'PS-04-GK2','Poste de Sectionnement n°04 GK2','Thursday-01-jj','Monday-01-jj',,1,),</v>
      </c>
    </row>
    <row r="473" spans="1:14" ht="20.100000000000001" customHeight="1" x14ac:dyDescent="0.25">
      <c r="A473" s="39">
        <v>5</v>
      </c>
      <c r="B473" s="40" t="str">
        <f t="shared" si="127"/>
        <v>PS-05-GK2</v>
      </c>
      <c r="C473" s="52" t="str">
        <f t="shared" si="128"/>
        <v>Poste de Sectionnement n°05 GK2</v>
      </c>
      <c r="D473" s="19">
        <v>35796</v>
      </c>
      <c r="E473" s="19">
        <v>36892</v>
      </c>
      <c r="F473" s="42"/>
      <c r="G473" s="42">
        <v>1</v>
      </c>
      <c r="H473" s="42"/>
      <c r="I473" s="42" t="s">
        <v>402</v>
      </c>
      <c r="J473" s="42" t="s">
        <v>2059</v>
      </c>
      <c r="K473" s="44">
        <f t="shared" si="125"/>
        <v>287</v>
      </c>
      <c r="L473" s="44">
        <f t="shared" si="126"/>
        <v>208.93799999999999</v>
      </c>
      <c r="M473" s="42" t="s">
        <v>2092</v>
      </c>
      <c r="N473" s="52" t="str">
        <f t="shared" si="129"/>
        <v>(5,'PS-05-GK2','Poste de Sectionnement n°05 GK2','Thursday-01-jj','Monday-01-jj',,1,),</v>
      </c>
    </row>
    <row r="474" spans="1:14" ht="20.100000000000001" customHeight="1" x14ac:dyDescent="0.25">
      <c r="A474" s="39">
        <v>6</v>
      </c>
      <c r="B474" s="40" t="str">
        <f t="shared" si="127"/>
        <v>PS-06-GK2</v>
      </c>
      <c r="C474" s="52" t="str">
        <f t="shared" si="128"/>
        <v>Poste de Sectionnement n°06 GK2</v>
      </c>
      <c r="D474" s="19">
        <v>35796</v>
      </c>
      <c r="E474" s="19">
        <v>36892</v>
      </c>
      <c r="F474" s="42"/>
      <c r="G474" s="42">
        <v>1</v>
      </c>
      <c r="H474" s="42"/>
      <c r="I474" s="42" t="s">
        <v>402</v>
      </c>
      <c r="J474" s="42" t="s">
        <v>2060</v>
      </c>
      <c r="K474" s="44">
        <f t="shared" si="125"/>
        <v>300</v>
      </c>
      <c r="L474" s="44">
        <f t="shared" si="126"/>
        <v>239.13200000000001</v>
      </c>
      <c r="M474" s="42" t="s">
        <v>2079</v>
      </c>
      <c r="N474" s="52" t="str">
        <f t="shared" si="129"/>
        <v>(6,'PS-06-GK2','Poste de Sectionnement n°06 GK2','Thursday-01-jj','Monday-01-jj',,1,),</v>
      </c>
    </row>
    <row r="475" spans="1:14" ht="20.100000000000001" customHeight="1" x14ac:dyDescent="0.25">
      <c r="A475" s="39">
        <v>7</v>
      </c>
      <c r="B475" s="40" t="str">
        <f t="shared" si="127"/>
        <v>PS-07-GK2</v>
      </c>
      <c r="C475" s="52" t="str">
        <f t="shared" si="128"/>
        <v>Poste de Sectionnement n°07 GK2</v>
      </c>
      <c r="D475" s="19">
        <v>35796</v>
      </c>
      <c r="E475" s="19">
        <v>36892</v>
      </c>
      <c r="F475" s="42"/>
      <c r="G475" s="42">
        <v>1</v>
      </c>
      <c r="H475" s="42"/>
      <c r="I475" s="42" t="s">
        <v>402</v>
      </c>
      <c r="J475" s="42" t="s">
        <v>2061</v>
      </c>
      <c r="K475" s="44">
        <f t="shared" si="125"/>
        <v>421</v>
      </c>
      <c r="L475" s="44">
        <f t="shared" si="126"/>
        <v>296.78800000000001</v>
      </c>
      <c r="M475" s="42" t="s">
        <v>2079</v>
      </c>
      <c r="N475" s="52" t="str">
        <f t="shared" si="129"/>
        <v>(7,'PS-07-GK2','Poste de Sectionnement n°07 GK2','Thursday-01-jj','Monday-01-jj',,1,),</v>
      </c>
    </row>
    <row r="476" spans="1:14" ht="20.100000000000001" customHeight="1" x14ac:dyDescent="0.25">
      <c r="A476" s="39">
        <v>8</v>
      </c>
      <c r="B476" s="40" t="str">
        <f t="shared" si="127"/>
        <v>PS-08-GK2</v>
      </c>
      <c r="C476" s="52" t="str">
        <f t="shared" si="128"/>
        <v>Poste de Sectionnement n°08 GK2</v>
      </c>
      <c r="D476" s="19">
        <v>35796</v>
      </c>
      <c r="E476" s="19">
        <v>36892</v>
      </c>
      <c r="F476" s="42"/>
      <c r="G476" s="42">
        <v>1</v>
      </c>
      <c r="H476" s="42"/>
      <c r="I476" s="42" t="s">
        <v>402</v>
      </c>
      <c r="J476" s="42" t="s">
        <v>2062</v>
      </c>
      <c r="K476" s="44">
        <f t="shared" si="125"/>
        <v>424</v>
      </c>
      <c r="L476" s="44">
        <f t="shared" si="126"/>
        <v>327.61200000000002</v>
      </c>
      <c r="M476" s="42" t="s">
        <v>951</v>
      </c>
      <c r="N476" s="52" t="str">
        <f t="shared" si="129"/>
        <v>(8,'PS-08-GK2','Poste de Sectionnement n°08 GK2','Thursday-01-jj','Monday-01-jj',,1,),</v>
      </c>
    </row>
    <row r="477" spans="1:14" ht="20.100000000000001" customHeight="1" x14ac:dyDescent="0.25">
      <c r="A477" s="39">
        <v>9</v>
      </c>
      <c r="B477" s="40" t="str">
        <f t="shared" si="127"/>
        <v>PS-09-GK2</v>
      </c>
      <c r="C477" s="52" t="str">
        <f t="shared" si="128"/>
        <v>Poste de Sectionnement n°09 GK2</v>
      </c>
      <c r="D477" s="19">
        <v>35796</v>
      </c>
      <c r="E477" s="19">
        <v>36892</v>
      </c>
      <c r="F477" s="42"/>
      <c r="G477" s="42">
        <v>1</v>
      </c>
      <c r="H477" s="42"/>
      <c r="I477" s="42" t="s">
        <v>402</v>
      </c>
      <c r="J477" s="42" t="s">
        <v>2063</v>
      </c>
      <c r="K477" s="44">
        <f t="shared" si="125"/>
        <v>697</v>
      </c>
      <c r="L477" s="44">
        <f t="shared" si="126"/>
        <v>375.017</v>
      </c>
      <c r="M477" s="42" t="s">
        <v>2093</v>
      </c>
      <c r="N477" s="52" t="str">
        <f t="shared" si="129"/>
        <v>(9,'PS-09-GK2','Poste de Sectionnement n°09 GK2','Thursday-01-jj','Monday-01-jj',,1,),</v>
      </c>
    </row>
    <row r="478" spans="1:14" ht="20.100000000000001" customHeight="1" x14ac:dyDescent="0.25">
      <c r="A478" s="39">
        <v>10</v>
      </c>
      <c r="B478" s="40" t="str">
        <f t="shared" si="127"/>
        <v>PS-10-GK2</v>
      </c>
      <c r="C478" s="52" t="str">
        <f t="shared" si="128"/>
        <v>Poste de Sectionnement n°10 GK2</v>
      </c>
      <c r="D478" s="19">
        <v>35796</v>
      </c>
      <c r="E478" s="19">
        <v>36892</v>
      </c>
      <c r="F478" s="42"/>
      <c r="G478" s="42">
        <v>1</v>
      </c>
      <c r="H478" s="42"/>
      <c r="I478" s="42" t="s">
        <v>402</v>
      </c>
      <c r="J478" s="42" t="s">
        <v>2064</v>
      </c>
      <c r="K478" s="44">
        <f t="shared" si="125"/>
        <v>936</v>
      </c>
      <c r="L478" s="44">
        <f t="shared" si="126"/>
        <v>405.39299999999997</v>
      </c>
      <c r="M478" s="42" t="s">
        <v>2094</v>
      </c>
      <c r="N478" s="52" t="str">
        <f t="shared" si="129"/>
        <v>(10,'PS-10-GK2','Poste de Sectionnement n°10 GK2','Thursday-01-jj','Monday-01-jj',,1,),</v>
      </c>
    </row>
    <row r="479" spans="1:14" ht="20.100000000000001" customHeight="1" x14ac:dyDescent="0.25">
      <c r="A479" s="39">
        <v>11</v>
      </c>
      <c r="B479" s="40" t="str">
        <f t="shared" si="127"/>
        <v>PS-11-GK2</v>
      </c>
      <c r="C479" s="52" t="str">
        <f t="shared" si="128"/>
        <v>Poste de Sectionnement n°11 GK2</v>
      </c>
      <c r="D479" s="19">
        <v>35796</v>
      </c>
      <c r="E479" s="19">
        <v>36892</v>
      </c>
      <c r="F479" s="42"/>
      <c r="G479" s="42">
        <v>1</v>
      </c>
      <c r="H479" s="42"/>
      <c r="I479" s="42" t="s">
        <v>402</v>
      </c>
      <c r="J479" s="42" t="s">
        <v>2065</v>
      </c>
      <c r="K479" s="44">
        <f t="shared" si="125"/>
        <v>948</v>
      </c>
      <c r="L479" s="44">
        <f t="shared" si="126"/>
        <v>445.48599999999999</v>
      </c>
      <c r="M479" s="42" t="s">
        <v>2095</v>
      </c>
      <c r="N479" s="52" t="str">
        <f t="shared" si="129"/>
        <v>(11,'PS-11-GK2','Poste de Sectionnement n°11 GK2','Thursday-01-jj','Monday-01-jj',,1,),</v>
      </c>
    </row>
    <row r="480" spans="1:14" ht="20.100000000000001" customHeight="1" x14ac:dyDescent="0.25">
      <c r="A480" s="39">
        <v>12</v>
      </c>
      <c r="B480" s="40" t="str">
        <f t="shared" si="127"/>
        <v>PS-12-GK2</v>
      </c>
      <c r="C480" s="52" t="str">
        <f t="shared" si="128"/>
        <v>Poste de Sectionnement n°12 GK2</v>
      </c>
      <c r="D480" s="19">
        <v>35796</v>
      </c>
      <c r="E480" s="19">
        <v>36892</v>
      </c>
      <c r="F480" s="42"/>
      <c r="G480" s="42">
        <v>1</v>
      </c>
      <c r="H480" s="42"/>
      <c r="I480" s="42" t="s">
        <v>402</v>
      </c>
      <c r="J480" s="42" t="s">
        <v>2066</v>
      </c>
      <c r="K480" s="44">
        <f t="shared" si="125"/>
        <v>814</v>
      </c>
      <c r="L480" s="44">
        <f t="shared" si="126"/>
        <v>458.654</v>
      </c>
      <c r="M480" s="42" t="s">
        <v>2083</v>
      </c>
      <c r="N480" s="52" t="str">
        <f t="shared" si="129"/>
        <v>(12,'PS-12-GK2','Poste de Sectionnement n°12 GK2','Thursday-01-jj','Monday-01-jj',,1,),</v>
      </c>
    </row>
    <row r="481" spans="1:14" ht="20.100000000000001" customHeight="1" x14ac:dyDescent="0.25">
      <c r="A481" s="39">
        <v>13</v>
      </c>
      <c r="B481" s="40" t="str">
        <f t="shared" si="127"/>
        <v>PS-13-GK2</v>
      </c>
      <c r="C481" s="52" t="str">
        <f t="shared" si="128"/>
        <v>Poste de Sectionnement n°13 GK2</v>
      </c>
      <c r="D481" s="19">
        <v>35796</v>
      </c>
      <c r="E481" s="19">
        <v>36892</v>
      </c>
      <c r="F481" s="42"/>
      <c r="G481" s="42">
        <v>1</v>
      </c>
      <c r="H481" s="42"/>
      <c r="I481" s="42" t="s">
        <v>402</v>
      </c>
      <c r="J481" s="42" t="s">
        <v>2067</v>
      </c>
      <c r="K481" s="44">
        <f t="shared" si="125"/>
        <v>697</v>
      </c>
      <c r="L481" s="44">
        <f t="shared" si="126"/>
        <v>476.40899999999999</v>
      </c>
      <c r="M481" s="42" t="s">
        <v>2096</v>
      </c>
      <c r="N481" s="52" t="str">
        <f t="shared" si="129"/>
        <v>(13,'PS-13-GK2','Poste de Sectionnement n°13 GK2','Thursday-01-jj','Monday-01-jj',,1,),</v>
      </c>
    </row>
    <row r="482" spans="1:14" ht="20.100000000000001" customHeight="1" x14ac:dyDescent="0.25">
      <c r="A482" s="39">
        <v>14</v>
      </c>
      <c r="B482" s="40" t="str">
        <f t="shared" si="127"/>
        <v>PS-14-GK2</v>
      </c>
      <c r="C482" s="52" t="str">
        <f t="shared" si="128"/>
        <v>Poste de Sectionnement n°14 GK2</v>
      </c>
      <c r="D482" s="19">
        <v>35796</v>
      </c>
      <c r="E482" s="19">
        <v>36892</v>
      </c>
      <c r="F482" s="42"/>
      <c r="G482" s="42">
        <v>1</v>
      </c>
      <c r="H482" s="42"/>
      <c r="I482" s="42" t="s">
        <v>402</v>
      </c>
      <c r="J482" s="42" t="s">
        <v>2068</v>
      </c>
      <c r="K482" s="44">
        <f t="shared" si="125"/>
        <v>720</v>
      </c>
      <c r="L482" s="44">
        <f t="shared" si="126"/>
        <v>498.91899999999998</v>
      </c>
      <c r="M482" s="42" t="s">
        <v>2085</v>
      </c>
      <c r="N482" s="52" t="str">
        <f t="shared" si="129"/>
        <v>(14,'PS-14-GK2','Poste de Sectionnement n°14 GK2','Thursday-01-jj','Monday-01-jj',,1,),</v>
      </c>
    </row>
    <row r="483" spans="1:14" ht="20.100000000000001" customHeight="1" x14ac:dyDescent="0.25">
      <c r="A483" s="39">
        <v>15</v>
      </c>
      <c r="B483" s="40" t="str">
        <f t="shared" si="127"/>
        <v>PS-15-GK2</v>
      </c>
      <c r="C483" s="52" t="str">
        <f t="shared" si="128"/>
        <v>Poste de Sectionnement n°15 GK2</v>
      </c>
      <c r="D483" s="19">
        <v>35796</v>
      </c>
      <c r="E483" s="19">
        <v>36892</v>
      </c>
      <c r="F483" s="42"/>
      <c r="G483" s="42">
        <v>1</v>
      </c>
      <c r="H483" s="42"/>
      <c r="I483" s="42" t="s">
        <v>402</v>
      </c>
      <c r="J483" s="42" t="s">
        <v>2069</v>
      </c>
      <c r="K483" s="44">
        <f t="shared" si="125"/>
        <v>720</v>
      </c>
      <c r="L483" s="44">
        <f t="shared" si="126"/>
        <v>515.07000000000005</v>
      </c>
      <c r="M483" s="42" t="s">
        <v>2097</v>
      </c>
      <c r="N483" s="52" t="str">
        <f t="shared" si="129"/>
        <v>(15,'PS-15-GK2','Poste de Sectionnement n°15 GK2','Thursday-01-jj','Monday-01-jj',,1,),</v>
      </c>
    </row>
    <row r="484" spans="1:14" ht="20.100000000000001" customHeight="1" x14ac:dyDescent="0.25">
      <c r="A484" s="39">
        <v>16</v>
      </c>
      <c r="B484" s="40" t="str">
        <f t="shared" si="127"/>
        <v>PS-16-GK2</v>
      </c>
      <c r="C484" s="52" t="str">
        <f t="shared" si="128"/>
        <v>Poste de Sectionnement n°16 GK2</v>
      </c>
      <c r="D484" s="19">
        <v>35796</v>
      </c>
      <c r="E484" s="19">
        <v>36892</v>
      </c>
      <c r="F484" s="42"/>
      <c r="G484" s="42">
        <v>1</v>
      </c>
      <c r="H484" s="42"/>
      <c r="I484" s="42" t="s">
        <v>402</v>
      </c>
      <c r="J484" s="42" t="s">
        <v>2070</v>
      </c>
      <c r="K484" s="44">
        <f t="shared" si="125"/>
        <v>589</v>
      </c>
      <c r="L484" s="44">
        <f t="shared" si="126"/>
        <v>527.14300000000003</v>
      </c>
      <c r="M484" s="42" t="s">
        <v>2087</v>
      </c>
      <c r="N484" s="52" t="str">
        <f t="shared" si="129"/>
        <v>(16,'PS-16-GK2','Poste de Sectionnement n°16 GK2','Thursday-01-jj','Monday-01-jj',,1,),</v>
      </c>
    </row>
    <row r="485" spans="1:14" ht="20.100000000000001" customHeight="1" x14ac:dyDescent="0.25">
      <c r="A485" s="39">
        <v>17</v>
      </c>
      <c r="B485" s="40" t="str">
        <f t="shared" si="127"/>
        <v>PS-17-GK2</v>
      </c>
      <c r="C485" s="52" t="str">
        <f t="shared" si="128"/>
        <v>Poste de Sectionnement n°17 GK2</v>
      </c>
      <c r="D485" s="19">
        <v>35796</v>
      </c>
      <c r="E485" s="19">
        <v>36892</v>
      </c>
      <c r="F485" s="42"/>
      <c r="G485" s="42">
        <v>1</v>
      </c>
      <c r="H485" s="42"/>
      <c r="I485" s="42" t="s">
        <v>402</v>
      </c>
      <c r="J485" s="42" t="s">
        <v>2071</v>
      </c>
      <c r="K485" s="44">
        <f t="shared" si="125"/>
        <v>565</v>
      </c>
      <c r="L485" s="44">
        <f t="shared" si="126"/>
        <v>537.66499999999996</v>
      </c>
      <c r="M485" s="42" t="s">
        <v>2098</v>
      </c>
      <c r="N485" s="52" t="str">
        <f t="shared" si="129"/>
        <v>(17,'PS-17-GK2','Poste de Sectionnement n°17 GK2','Thursday-01-jj','Monday-01-jj',,1,),</v>
      </c>
    </row>
    <row r="486" spans="1:14" ht="20.100000000000001" customHeight="1" x14ac:dyDescent="0.25">
      <c r="A486" s="39">
        <v>18</v>
      </c>
      <c r="B486" s="40" t="str">
        <f t="shared" si="127"/>
        <v>PS-18-GK2</v>
      </c>
      <c r="C486" s="52" t="str">
        <f t="shared" si="128"/>
        <v>Poste de Sectionnement n°18 GK2</v>
      </c>
      <c r="D486" s="19">
        <v>35796</v>
      </c>
      <c r="E486" s="19">
        <v>36892</v>
      </c>
      <c r="F486" s="42"/>
      <c r="G486" s="42">
        <v>1</v>
      </c>
      <c r="H486" s="42"/>
      <c r="I486" s="42" t="s">
        <v>402</v>
      </c>
      <c r="J486" s="42" t="s">
        <v>2072</v>
      </c>
      <c r="K486" s="44">
        <f t="shared" si="125"/>
        <v>161</v>
      </c>
      <c r="L486" s="44">
        <f t="shared" si="126"/>
        <v>545.45399999999995</v>
      </c>
      <c r="M486" s="42" t="s">
        <v>2088</v>
      </c>
      <c r="N486" s="52" t="str">
        <f t="shared" si="129"/>
        <v>(18,'PS-18-GK2','Poste de Sectionnement n°18 GK2','Thursday-01-jj','Monday-01-jj',,1,),</v>
      </c>
    </row>
    <row r="487" spans="1:14" ht="20.100000000000001" customHeight="1" x14ac:dyDescent="0.25">
      <c r="A487" s="39">
        <v>19</v>
      </c>
      <c r="B487" s="40" t="str">
        <f t="shared" si="127"/>
        <v>PS-19-GK2</v>
      </c>
      <c r="C487" s="52" t="str">
        <f t="shared" si="128"/>
        <v>Poste de Sectionnement n°19 GK2</v>
      </c>
      <c r="D487" s="19">
        <v>35796</v>
      </c>
      <c r="E487" s="19">
        <v>36892</v>
      </c>
      <c r="F487" s="42"/>
      <c r="G487" s="42">
        <v>1</v>
      </c>
      <c r="H487" s="42"/>
      <c r="I487" s="42" t="s">
        <v>402</v>
      </c>
      <c r="J487" s="42" t="s">
        <v>2073</v>
      </c>
      <c r="K487" s="44">
        <f t="shared" si="125"/>
        <v>60</v>
      </c>
      <c r="L487" s="44">
        <f t="shared" si="126"/>
        <v>556.62</v>
      </c>
      <c r="M487" s="42" t="s">
        <v>2089</v>
      </c>
      <c r="N487" s="52" t="str">
        <f t="shared" si="129"/>
        <v>(19,'PS-19-GK2','Poste de Sectionnement n°19 GK2','Thursday-01-jj','Monday-01-jj',,1,),</v>
      </c>
    </row>
    <row r="488" spans="1:14" ht="20.100000000000001" customHeight="1" x14ac:dyDescent="0.25">
      <c r="A488" s="39">
        <v>20</v>
      </c>
      <c r="B488" s="40" t="str">
        <f t="shared" si="127"/>
        <v>PS-20-GK2</v>
      </c>
      <c r="C488" s="52" t="str">
        <f t="shared" si="128"/>
        <v>Poste de Sectionnement n°20 GK2</v>
      </c>
      <c r="D488" s="19">
        <v>35796</v>
      </c>
      <c r="E488" s="19">
        <v>36892</v>
      </c>
      <c r="F488" s="42"/>
      <c r="G488" s="42">
        <v>1</v>
      </c>
      <c r="H488" s="42"/>
      <c r="I488" s="42" t="s">
        <v>402</v>
      </c>
      <c r="J488" s="42" t="s">
        <v>2074</v>
      </c>
      <c r="K488" s="44">
        <f t="shared" si="125"/>
        <v>231</v>
      </c>
      <c r="L488" s="44">
        <f t="shared" si="126"/>
        <v>565.78099999999995</v>
      </c>
      <c r="M488" s="42" t="s">
        <v>2090</v>
      </c>
      <c r="N488" s="52" t="str">
        <f t="shared" si="129"/>
        <v>(20,'PS-20-GK2','Poste de Sectionnement n°20 GK2','Thursday-01-jj','Monday-01-jj',,1,),</v>
      </c>
    </row>
    <row r="489" spans="1:14" ht="20.100000000000001" customHeight="1" x14ac:dyDescent="0.25">
      <c r="A489" s="39">
        <v>1</v>
      </c>
      <c r="B489" s="40" t="str">
        <f t="shared" si="127"/>
        <v>PS-01-GK3</v>
      </c>
      <c r="C489" s="52" t="str">
        <f t="shared" si="128"/>
        <v>Poste de Sectionnement n°01 GK3</v>
      </c>
      <c r="D489" s="19">
        <v>40909</v>
      </c>
      <c r="E489" s="19">
        <v>40909</v>
      </c>
      <c r="F489" s="42"/>
      <c r="G489" s="42">
        <v>1</v>
      </c>
      <c r="H489" s="42"/>
      <c r="I489" s="42" t="s">
        <v>659</v>
      </c>
      <c r="J489" s="42" t="s">
        <v>2118</v>
      </c>
      <c r="K489" s="44">
        <f t="shared" ref="K489:K543" si="130">VALUE(RIGHT(J489,LEN(J489)-SEARCH("/",J489)))</f>
        <v>749.01</v>
      </c>
      <c r="L489" s="44">
        <f t="shared" ref="L489:L543" si="131">VALUE(SUBSTITUTE(LEFT(J489,SEARCH("/",J489)-1),"+",","))</f>
        <v>11.37</v>
      </c>
      <c r="M489" s="42" t="s">
        <v>2173</v>
      </c>
      <c r="N489" s="52" t="str">
        <f t="shared" si="129"/>
        <v>(1,'PS-01-GK3','Poste de Sectionnement n°01 GK3','Sunday-01-jj','Sunday-01-jj',,1,),</v>
      </c>
    </row>
    <row r="490" spans="1:14" ht="20.100000000000001" customHeight="1" x14ac:dyDescent="0.25">
      <c r="A490" s="39">
        <v>2</v>
      </c>
      <c r="B490" s="40" t="str">
        <f t="shared" ref="B490:B545" si="132">CONCATENATE("PS-",TEXT(A490,"00"),"-",I490)</f>
        <v>PS-02-GK3</v>
      </c>
      <c r="C490" s="52" t="str">
        <f t="shared" ref="C490:C545" si="133">CONCATENATE("Poste de Sectionnement n°",TEXT(A490,"00")," ",I490)</f>
        <v>Poste de Sectionnement n°02 GK3</v>
      </c>
      <c r="D490" s="19">
        <v>40909</v>
      </c>
      <c r="E490" s="19">
        <v>40909</v>
      </c>
      <c r="F490" s="42"/>
      <c r="G490" s="42">
        <v>1</v>
      </c>
      <c r="H490" s="42"/>
      <c r="I490" s="42" t="s">
        <v>659</v>
      </c>
      <c r="J490" s="42" t="s">
        <v>2119</v>
      </c>
      <c r="K490" s="44">
        <f t="shared" si="130"/>
        <v>785.2</v>
      </c>
      <c r="L490" s="44">
        <f t="shared" si="131"/>
        <v>23.373000000000001</v>
      </c>
      <c r="M490" s="42" t="s">
        <v>2173</v>
      </c>
      <c r="N490" s="52" t="str">
        <f t="shared" si="129"/>
        <v>(2,'PS-02-GK3','Poste de Sectionnement n°02 GK3','Sunday-01-jj','Sunday-01-jj',,1,),</v>
      </c>
    </row>
    <row r="491" spans="1:14" ht="20.100000000000001" customHeight="1" x14ac:dyDescent="0.25">
      <c r="A491" s="39">
        <v>3</v>
      </c>
      <c r="B491" s="40" t="str">
        <f t="shared" si="132"/>
        <v>PS-03-GK3</v>
      </c>
      <c r="C491" s="52" t="str">
        <f t="shared" si="133"/>
        <v>Poste de Sectionnement n°03 GK3</v>
      </c>
      <c r="D491" s="19">
        <v>40909</v>
      </c>
      <c r="E491" s="19">
        <v>40909</v>
      </c>
      <c r="F491" s="42"/>
      <c r="G491" s="42">
        <v>1</v>
      </c>
      <c r="H491" s="42"/>
      <c r="I491" s="42" t="s">
        <v>659</v>
      </c>
      <c r="J491" s="42" t="s">
        <v>2120</v>
      </c>
      <c r="K491" s="44">
        <f t="shared" si="130"/>
        <v>698.2</v>
      </c>
      <c r="L491" s="44">
        <f t="shared" si="131"/>
        <v>44.05</v>
      </c>
      <c r="M491" s="42" t="s">
        <v>2078</v>
      </c>
      <c r="N491" s="52" t="str">
        <f t="shared" si="129"/>
        <v>(3,'PS-03-GK3','Poste de Sectionnement n°03 GK3','Sunday-01-jj','Sunday-01-jj',,1,),</v>
      </c>
    </row>
    <row r="492" spans="1:14" ht="20.100000000000001" customHeight="1" x14ac:dyDescent="0.25">
      <c r="A492" s="39">
        <v>4</v>
      </c>
      <c r="B492" s="40" t="str">
        <f t="shared" si="132"/>
        <v>PS-04-GK3</v>
      </c>
      <c r="C492" s="52" t="str">
        <f t="shared" si="133"/>
        <v>Poste de Sectionnement n°04 GK3</v>
      </c>
      <c r="D492" s="19">
        <v>40909</v>
      </c>
      <c r="E492" s="19">
        <v>40909</v>
      </c>
      <c r="F492" s="42"/>
      <c r="G492" s="42">
        <v>1</v>
      </c>
      <c r="H492" s="42"/>
      <c r="I492" s="42" t="s">
        <v>659</v>
      </c>
      <c r="J492" s="42" t="s">
        <v>2121</v>
      </c>
      <c r="K492" s="44">
        <f t="shared" si="130"/>
        <v>729.3</v>
      </c>
      <c r="L492" s="44">
        <f t="shared" si="131"/>
        <v>63.195999999999998</v>
      </c>
      <c r="M492" s="42" t="s">
        <v>2078</v>
      </c>
      <c r="N492" s="52" t="str">
        <f t="shared" si="129"/>
        <v>(4,'PS-04-GK3','Poste de Sectionnement n°04 GK3','Sunday-01-jj','Sunday-01-jj',,1,),</v>
      </c>
    </row>
    <row r="493" spans="1:14" ht="20.100000000000001" customHeight="1" x14ac:dyDescent="0.25">
      <c r="A493" s="39">
        <v>5</v>
      </c>
      <c r="B493" s="40" t="str">
        <f t="shared" si="132"/>
        <v>PS-05-GK3</v>
      </c>
      <c r="C493" s="52" t="str">
        <f t="shared" si="133"/>
        <v>Poste de Sectionnement n°05 GK3</v>
      </c>
      <c r="D493" s="19">
        <v>40909</v>
      </c>
      <c r="E493" s="19">
        <v>40909</v>
      </c>
      <c r="F493" s="42"/>
      <c r="G493" s="42">
        <v>1</v>
      </c>
      <c r="H493" s="42"/>
      <c r="I493" s="42" t="s">
        <v>659</v>
      </c>
      <c r="J493" s="42" t="s">
        <v>2122</v>
      </c>
      <c r="K493" s="44">
        <f t="shared" si="130"/>
        <v>712.1</v>
      </c>
      <c r="L493" s="44">
        <f t="shared" si="131"/>
        <v>97.795000000000002</v>
      </c>
      <c r="M493" s="42" t="s">
        <v>2174</v>
      </c>
      <c r="N493" s="52" t="str">
        <f t="shared" si="129"/>
        <v>(5,'PS-05-GK3','Poste de Sectionnement n°05 GK3','Sunday-01-jj','Sunday-01-jj',,1,),</v>
      </c>
    </row>
    <row r="494" spans="1:14" ht="20.100000000000001" customHeight="1" x14ac:dyDescent="0.25">
      <c r="A494" s="39">
        <v>6</v>
      </c>
      <c r="B494" s="40" t="str">
        <f t="shared" si="132"/>
        <v>PS-06-GK3</v>
      </c>
      <c r="C494" s="52" t="str">
        <f t="shared" si="133"/>
        <v>Poste de Sectionnement n°06 GK3</v>
      </c>
      <c r="D494" s="19">
        <v>40909</v>
      </c>
      <c r="E494" s="19">
        <v>40909</v>
      </c>
      <c r="F494" s="42"/>
      <c r="G494" s="42">
        <v>1</v>
      </c>
      <c r="H494" s="42"/>
      <c r="I494" s="42" t="s">
        <v>659</v>
      </c>
      <c r="J494" s="42" t="s">
        <v>2123</v>
      </c>
      <c r="K494" s="44">
        <f t="shared" si="130"/>
        <v>714.01</v>
      </c>
      <c r="L494" s="44">
        <f t="shared" si="131"/>
        <v>114.9</v>
      </c>
      <c r="M494" s="42" t="s">
        <v>2174</v>
      </c>
      <c r="N494" s="52" t="str">
        <f t="shared" si="129"/>
        <v>(6,'PS-06-GK3','Poste de Sectionnement n°06 GK3','Sunday-01-jj','Sunday-01-jj',,1,),</v>
      </c>
    </row>
    <row r="495" spans="1:14" ht="20.100000000000001" customHeight="1" x14ac:dyDescent="0.25">
      <c r="A495" s="39">
        <v>7</v>
      </c>
      <c r="B495" s="40" t="str">
        <f t="shared" si="132"/>
        <v>PS-07-GK3</v>
      </c>
      <c r="C495" s="52" t="str">
        <f t="shared" si="133"/>
        <v>Poste de Sectionnement n°07 GK3</v>
      </c>
      <c r="D495" s="19">
        <v>40909</v>
      </c>
      <c r="E495" s="19">
        <v>40909</v>
      </c>
      <c r="F495" s="42"/>
      <c r="G495" s="42">
        <v>1</v>
      </c>
      <c r="H495" s="42"/>
      <c r="I495" s="42" t="s">
        <v>659</v>
      </c>
      <c r="J495" s="42" t="s">
        <v>2124</v>
      </c>
      <c r="K495" s="44">
        <f t="shared" si="130"/>
        <v>644.73</v>
      </c>
      <c r="L495" s="44">
        <f t="shared" si="131"/>
        <v>133.07599999999999</v>
      </c>
      <c r="M495" s="42" t="s">
        <v>2175</v>
      </c>
      <c r="N495" s="52" t="str">
        <f t="shared" si="129"/>
        <v>(7,'PS-07-GK3','Poste de Sectionnement n°07 GK3','Sunday-01-jj','Sunday-01-jj',,1,),</v>
      </c>
    </row>
    <row r="496" spans="1:14" ht="20.100000000000001" customHeight="1" x14ac:dyDescent="0.25">
      <c r="A496" s="39">
        <v>8</v>
      </c>
      <c r="B496" s="40" t="str">
        <f t="shared" si="132"/>
        <v>PS-08-GK3</v>
      </c>
      <c r="C496" s="52" t="str">
        <f t="shared" si="133"/>
        <v>Poste de Sectionnement n°08 GK3</v>
      </c>
      <c r="D496" s="19">
        <v>40909</v>
      </c>
      <c r="E496" s="19">
        <v>40909</v>
      </c>
      <c r="F496" s="42"/>
      <c r="G496" s="42">
        <v>1</v>
      </c>
      <c r="H496" s="42"/>
      <c r="I496" s="42" t="s">
        <v>659</v>
      </c>
      <c r="J496" s="42" t="s">
        <v>2125</v>
      </c>
      <c r="K496" s="44">
        <f t="shared" si="130"/>
        <v>547.62</v>
      </c>
      <c r="L496" s="44">
        <f t="shared" si="131"/>
        <v>148.42099999999999</v>
      </c>
      <c r="M496" s="42" t="s">
        <v>2175</v>
      </c>
      <c r="N496" s="52" t="str">
        <f t="shared" si="129"/>
        <v>(8,'PS-08-GK3','Poste de Sectionnement n°08 GK3','Sunday-01-jj','Sunday-01-jj',,1,),</v>
      </c>
    </row>
    <row r="497" spans="1:14" ht="20.100000000000001" customHeight="1" x14ac:dyDescent="0.25">
      <c r="A497" s="39">
        <v>9</v>
      </c>
      <c r="B497" s="40" t="str">
        <f t="shared" si="132"/>
        <v>PS-09-GK3</v>
      </c>
      <c r="C497" s="52" t="str">
        <f t="shared" si="133"/>
        <v>Poste de Sectionnement n°09 GK3</v>
      </c>
      <c r="D497" s="19">
        <v>40909</v>
      </c>
      <c r="E497" s="19">
        <v>40909</v>
      </c>
      <c r="F497" s="42"/>
      <c r="G497" s="42">
        <v>1</v>
      </c>
      <c r="H497" s="42"/>
      <c r="I497" s="42" t="s">
        <v>659</v>
      </c>
      <c r="J497" s="42" t="s">
        <v>2126</v>
      </c>
      <c r="K497" s="44">
        <f t="shared" si="130"/>
        <v>452.57</v>
      </c>
      <c r="L497" s="44">
        <f t="shared" si="131"/>
        <v>166.578</v>
      </c>
      <c r="M497" s="42" t="s">
        <v>2176</v>
      </c>
      <c r="N497" s="52" t="str">
        <f t="shared" si="129"/>
        <v>(9,'PS-09-GK3','Poste de Sectionnement n°09 GK3','Sunday-01-jj','Sunday-01-jj',,1,),</v>
      </c>
    </row>
    <row r="498" spans="1:14" ht="20.100000000000001" customHeight="1" x14ac:dyDescent="0.25">
      <c r="A498" s="39">
        <v>10</v>
      </c>
      <c r="B498" s="40" t="str">
        <f t="shared" si="132"/>
        <v>PS-10-GK3</v>
      </c>
      <c r="C498" s="52" t="str">
        <f t="shared" si="133"/>
        <v>Poste de Sectionnement n°10 GK3</v>
      </c>
      <c r="D498" s="19">
        <v>40909</v>
      </c>
      <c r="E498" s="19">
        <v>40909</v>
      </c>
      <c r="F498" s="42"/>
      <c r="G498" s="42">
        <v>1</v>
      </c>
      <c r="H498" s="42"/>
      <c r="I498" s="42" t="s">
        <v>659</v>
      </c>
      <c r="J498" s="42" t="s">
        <v>2127</v>
      </c>
      <c r="K498" s="44">
        <f t="shared" si="130"/>
        <v>321.83</v>
      </c>
      <c r="L498" s="44">
        <f t="shared" si="131"/>
        <v>195.506</v>
      </c>
      <c r="M498" s="42" t="s">
        <v>2176</v>
      </c>
      <c r="N498" s="52" t="str">
        <f t="shared" si="129"/>
        <v>(10,'PS-10-GK3','Poste de Sectionnement n°10 GK3','Sunday-01-jj','Sunday-01-jj',,1,),</v>
      </c>
    </row>
    <row r="499" spans="1:14" ht="20.100000000000001" customHeight="1" x14ac:dyDescent="0.25">
      <c r="A499" s="39">
        <v>11</v>
      </c>
      <c r="B499" s="40" t="str">
        <f t="shared" si="132"/>
        <v>PS-11-GK3</v>
      </c>
      <c r="C499" s="52" t="str">
        <f t="shared" si="133"/>
        <v>Poste de Sectionnement n°11 GK3</v>
      </c>
      <c r="D499" s="19">
        <v>40909</v>
      </c>
      <c r="E499" s="19">
        <v>40909</v>
      </c>
      <c r="F499" s="42"/>
      <c r="G499" s="42">
        <v>1</v>
      </c>
      <c r="H499" s="42"/>
      <c r="I499" s="42" t="s">
        <v>659</v>
      </c>
      <c r="J499" s="42" t="s">
        <v>2128</v>
      </c>
      <c r="K499" s="44">
        <f t="shared" si="130"/>
        <v>279.07</v>
      </c>
      <c r="L499" s="44">
        <f t="shared" si="131"/>
        <v>211.7</v>
      </c>
      <c r="M499" s="42" t="s">
        <v>2177</v>
      </c>
      <c r="N499" s="52" t="str">
        <f t="shared" si="129"/>
        <v>(11,'PS-11-GK3','Poste de Sectionnement n°11 GK3','Sunday-01-jj','Sunday-01-jj',,1,),</v>
      </c>
    </row>
    <row r="500" spans="1:14" ht="20.100000000000001" customHeight="1" x14ac:dyDescent="0.25">
      <c r="A500" s="39">
        <v>12</v>
      </c>
      <c r="B500" s="40" t="str">
        <f t="shared" si="132"/>
        <v>PS-12-GK3</v>
      </c>
      <c r="C500" s="52" t="str">
        <f t="shared" si="133"/>
        <v>Poste de Sectionnement n°12 GK3</v>
      </c>
      <c r="D500" s="19">
        <v>40909</v>
      </c>
      <c r="E500" s="19">
        <v>40909</v>
      </c>
      <c r="F500" s="42"/>
      <c r="G500" s="42">
        <v>1</v>
      </c>
      <c r="H500" s="42"/>
      <c r="I500" s="42" t="s">
        <v>659</v>
      </c>
      <c r="J500" s="42" t="s">
        <v>2129</v>
      </c>
      <c r="K500" s="44">
        <f t="shared" si="130"/>
        <v>274.75</v>
      </c>
      <c r="L500" s="44">
        <f t="shared" si="131"/>
        <v>231.30600000000001</v>
      </c>
      <c r="M500" s="42" t="s">
        <v>2079</v>
      </c>
      <c r="N500" s="52" t="str">
        <f t="shared" si="129"/>
        <v>(12,'PS-12-GK3','Poste de Sectionnement n°12 GK3','Sunday-01-jj','Sunday-01-jj',,1,),</v>
      </c>
    </row>
    <row r="501" spans="1:14" ht="20.100000000000001" customHeight="1" x14ac:dyDescent="0.25">
      <c r="A501" s="39">
        <v>13</v>
      </c>
      <c r="B501" s="40" t="str">
        <f t="shared" si="132"/>
        <v>PS-13-GK3</v>
      </c>
      <c r="C501" s="52" t="str">
        <f t="shared" si="133"/>
        <v>Poste de Sectionnement n°13 GK3</v>
      </c>
      <c r="D501" s="19">
        <v>40909</v>
      </c>
      <c r="E501" s="19">
        <v>40909</v>
      </c>
      <c r="F501" s="42"/>
      <c r="G501" s="42">
        <v>1</v>
      </c>
      <c r="H501" s="42"/>
      <c r="I501" s="42" t="s">
        <v>659</v>
      </c>
      <c r="J501" s="42" t="s">
        <v>2130</v>
      </c>
      <c r="K501" s="44">
        <f t="shared" si="130"/>
        <v>272.11</v>
      </c>
      <c r="L501" s="44">
        <f t="shared" si="131"/>
        <v>250.726</v>
      </c>
      <c r="M501" s="42" t="s">
        <v>2079</v>
      </c>
      <c r="N501" s="52" t="str">
        <f t="shared" si="129"/>
        <v>(13,'PS-13-GK3','Poste de Sectionnement n°13 GK3','Sunday-01-jj','Sunday-01-jj',,1,),</v>
      </c>
    </row>
    <row r="502" spans="1:14" ht="20.100000000000001" customHeight="1" x14ac:dyDescent="0.25">
      <c r="A502" s="39">
        <v>14</v>
      </c>
      <c r="B502" s="40" t="str">
        <f t="shared" si="132"/>
        <v>PS-14-GK3</v>
      </c>
      <c r="C502" s="52" t="str">
        <f t="shared" si="133"/>
        <v>Poste de Sectionnement n°14 GK3</v>
      </c>
      <c r="D502" s="19">
        <v>40909</v>
      </c>
      <c r="E502" s="19">
        <v>40909</v>
      </c>
      <c r="F502" s="42"/>
      <c r="G502" s="42">
        <v>1</v>
      </c>
      <c r="H502" s="42"/>
      <c r="I502" s="42" t="s">
        <v>659</v>
      </c>
      <c r="J502" s="42" t="s">
        <v>2131</v>
      </c>
      <c r="K502" s="44">
        <f t="shared" si="130"/>
        <v>325.39999999999998</v>
      </c>
      <c r="L502" s="44">
        <f t="shared" si="131"/>
        <v>284.16000000000003</v>
      </c>
      <c r="M502" s="42" t="s">
        <v>949</v>
      </c>
      <c r="N502" s="52" t="str">
        <f t="shared" si="129"/>
        <v>(14,'PS-14-GK3','Poste de Sectionnement n°14 GK3','Sunday-01-jj','Sunday-01-jj',,1,),</v>
      </c>
    </row>
    <row r="503" spans="1:14" ht="20.100000000000001" customHeight="1" x14ac:dyDescent="0.25">
      <c r="A503" s="39">
        <v>15</v>
      </c>
      <c r="B503" s="40" t="str">
        <f t="shared" si="132"/>
        <v>PS-15-GK3</v>
      </c>
      <c r="C503" s="52" t="str">
        <f t="shared" si="133"/>
        <v>Poste de Sectionnement n°15 GK3</v>
      </c>
      <c r="D503" s="19">
        <v>40909</v>
      </c>
      <c r="E503" s="19">
        <v>40909</v>
      </c>
      <c r="F503" s="42"/>
      <c r="G503" s="42">
        <v>1</v>
      </c>
      <c r="H503" s="42"/>
      <c r="I503" s="42" t="s">
        <v>659</v>
      </c>
      <c r="J503" s="42" t="s">
        <v>2132</v>
      </c>
      <c r="K503" s="44">
        <f t="shared" si="130"/>
        <v>384.04</v>
      </c>
      <c r="L503" s="44">
        <f t="shared" si="131"/>
        <v>303.27</v>
      </c>
      <c r="M503" s="42" t="s">
        <v>2080</v>
      </c>
      <c r="N503" s="52" t="str">
        <f t="shared" si="129"/>
        <v>(15,'PS-15-GK3','Poste de Sectionnement n°15 GK3','Sunday-01-jj','Sunday-01-jj',,1,),</v>
      </c>
    </row>
    <row r="504" spans="1:14" ht="20.100000000000001" customHeight="1" x14ac:dyDescent="0.25">
      <c r="A504" s="39">
        <v>16</v>
      </c>
      <c r="B504" s="40" t="str">
        <f t="shared" si="132"/>
        <v>PS-16-GK3</v>
      </c>
      <c r="C504" s="52" t="str">
        <f t="shared" si="133"/>
        <v>Poste de Sectionnement n°16 GK3</v>
      </c>
      <c r="D504" s="19">
        <v>40909</v>
      </c>
      <c r="E504" s="19">
        <v>40909</v>
      </c>
      <c r="F504" s="42"/>
      <c r="G504" s="42">
        <v>1</v>
      </c>
      <c r="H504" s="42"/>
      <c r="I504" s="42" t="s">
        <v>659</v>
      </c>
      <c r="J504" s="42" t="s">
        <v>2133</v>
      </c>
      <c r="K504" s="44">
        <f t="shared" si="130"/>
        <v>433.66</v>
      </c>
      <c r="L504" s="44">
        <f t="shared" si="131"/>
        <v>325.27</v>
      </c>
      <c r="M504" s="42" t="s">
        <v>2178</v>
      </c>
      <c r="N504" s="52" t="str">
        <f t="shared" si="129"/>
        <v>(16,'PS-16-GK3','Poste de Sectionnement n°16 GK3','Sunday-01-jj','Sunday-01-jj',,1,),</v>
      </c>
    </row>
    <row r="505" spans="1:14" ht="20.100000000000001" customHeight="1" x14ac:dyDescent="0.25">
      <c r="A505" s="39">
        <v>17</v>
      </c>
      <c r="B505" s="40" t="str">
        <f t="shared" si="132"/>
        <v>PS-17-GK3</v>
      </c>
      <c r="C505" s="52" t="str">
        <f t="shared" si="133"/>
        <v>Poste de Sectionnement n°17 GK3</v>
      </c>
      <c r="D505" s="19">
        <v>40909</v>
      </c>
      <c r="E505" s="19">
        <v>40909</v>
      </c>
      <c r="F505" s="42"/>
      <c r="G505" s="42">
        <v>1</v>
      </c>
      <c r="H505" s="42"/>
      <c r="I505" s="42" t="s">
        <v>659</v>
      </c>
      <c r="J505" s="42" t="s">
        <v>2134</v>
      </c>
      <c r="K505" s="44">
        <f t="shared" si="130"/>
        <v>502.56</v>
      </c>
      <c r="L505" s="44">
        <f t="shared" si="131"/>
        <v>342.95299999999997</v>
      </c>
      <c r="M505" s="42" t="s">
        <v>2179</v>
      </c>
      <c r="N505" s="52" t="str">
        <f t="shared" si="129"/>
        <v>(17,'PS-17-GK3','Poste de Sectionnement n°17 GK3','Sunday-01-jj','Sunday-01-jj',,1,),</v>
      </c>
    </row>
    <row r="506" spans="1:14" ht="20.100000000000001" customHeight="1" x14ac:dyDescent="0.25">
      <c r="A506" s="39">
        <v>18</v>
      </c>
      <c r="B506" s="40" t="str">
        <f t="shared" si="132"/>
        <v>PS-18-GK3</v>
      </c>
      <c r="C506" s="52" t="str">
        <f t="shared" si="133"/>
        <v>Poste de Sectionnement n°18 GK3</v>
      </c>
      <c r="D506" s="19">
        <v>40909</v>
      </c>
      <c r="E506" s="19">
        <v>40909</v>
      </c>
      <c r="F506" s="42"/>
      <c r="G506" s="42">
        <v>1</v>
      </c>
      <c r="H506" s="42"/>
      <c r="I506" s="42" t="s">
        <v>659</v>
      </c>
      <c r="J506" s="42" t="s">
        <v>2135</v>
      </c>
      <c r="K506" s="44">
        <f t="shared" si="130"/>
        <v>644.85</v>
      </c>
      <c r="L506" s="44">
        <f t="shared" si="131"/>
        <v>362.88200000000001</v>
      </c>
      <c r="M506" s="42" t="s">
        <v>2180</v>
      </c>
      <c r="N506" s="52" t="str">
        <f t="shared" si="129"/>
        <v>(18,'PS-18-GK3','Poste de Sectionnement n°18 GK3','Sunday-01-jj','Sunday-01-jj',,1,),</v>
      </c>
    </row>
    <row r="507" spans="1:14" ht="20.100000000000001" customHeight="1" x14ac:dyDescent="0.25">
      <c r="A507" s="39">
        <v>19</v>
      </c>
      <c r="B507" s="40" t="str">
        <f t="shared" si="132"/>
        <v>PS-19-GK3</v>
      </c>
      <c r="C507" s="52" t="str">
        <f t="shared" si="133"/>
        <v>Poste de Sectionnement n°19 GK3</v>
      </c>
      <c r="D507" s="19">
        <v>40909</v>
      </c>
      <c r="E507" s="19">
        <v>40909</v>
      </c>
      <c r="F507" s="42"/>
      <c r="G507" s="42">
        <v>1</v>
      </c>
      <c r="H507" s="42"/>
      <c r="I507" s="42" t="s">
        <v>659</v>
      </c>
      <c r="J507" s="42" t="s">
        <v>2136</v>
      </c>
      <c r="K507" s="44">
        <f t="shared" si="130"/>
        <v>704.92</v>
      </c>
      <c r="L507" s="44">
        <f t="shared" si="131"/>
        <v>374.37599999999998</v>
      </c>
      <c r="M507" s="42" t="s">
        <v>2181</v>
      </c>
      <c r="N507" s="52" t="str">
        <f t="shared" si="129"/>
        <v>(19,'PS-19-GK3','Poste de Sectionnement n°19 GK3','Sunday-01-jj','Sunday-01-jj',,1,),</v>
      </c>
    </row>
    <row r="508" spans="1:14" ht="20.100000000000001" customHeight="1" x14ac:dyDescent="0.25">
      <c r="A508" s="39">
        <v>20</v>
      </c>
      <c r="B508" s="40" t="str">
        <f t="shared" si="132"/>
        <v>PS-20-GK3</v>
      </c>
      <c r="C508" s="52" t="str">
        <f t="shared" si="133"/>
        <v>Poste de Sectionnement n°20 GK3</v>
      </c>
      <c r="D508" s="19">
        <v>40909</v>
      </c>
      <c r="E508" s="19">
        <v>40909</v>
      </c>
      <c r="F508" s="42"/>
      <c r="G508" s="42">
        <v>1</v>
      </c>
      <c r="H508" s="42"/>
      <c r="I508" s="42" t="s">
        <v>659</v>
      </c>
      <c r="J508" s="42" t="s">
        <v>2137</v>
      </c>
      <c r="K508" s="44">
        <f t="shared" si="130"/>
        <v>768.92</v>
      </c>
      <c r="L508" s="44">
        <f t="shared" si="131"/>
        <v>382.35399999999998</v>
      </c>
      <c r="M508" s="42" t="s">
        <v>2182</v>
      </c>
      <c r="N508" s="52" t="str">
        <f t="shared" si="129"/>
        <v>(20,'PS-20-GK3','Poste de Sectionnement n°20 GK3','Sunday-01-jj','Sunday-01-jj',,1,),</v>
      </c>
    </row>
    <row r="509" spans="1:14" ht="20.100000000000001" customHeight="1" x14ac:dyDescent="0.25">
      <c r="A509" s="39">
        <v>21</v>
      </c>
      <c r="B509" s="40" t="str">
        <f t="shared" si="132"/>
        <v>PS-21-GK3</v>
      </c>
      <c r="C509" s="52" t="str">
        <f t="shared" si="133"/>
        <v>Poste de Sectionnement n°21 GK3</v>
      </c>
      <c r="D509" s="19">
        <v>40909</v>
      </c>
      <c r="E509" s="19">
        <v>40909</v>
      </c>
      <c r="F509" s="42"/>
      <c r="G509" s="42">
        <v>1</v>
      </c>
      <c r="H509" s="42"/>
      <c r="I509" s="42" t="s">
        <v>659</v>
      </c>
      <c r="J509" s="42" t="s">
        <v>2138</v>
      </c>
      <c r="K509" s="44">
        <f t="shared" si="130"/>
        <v>882.5</v>
      </c>
      <c r="L509" s="44">
        <f t="shared" si="131"/>
        <v>393.33300000000003</v>
      </c>
      <c r="M509" s="42" t="s">
        <v>2182</v>
      </c>
      <c r="N509" s="52" t="str">
        <f t="shared" si="129"/>
        <v>(21,'PS-21-GK3','Poste de Sectionnement n°21 GK3','Sunday-01-jj','Sunday-01-jj',,1,),</v>
      </c>
    </row>
    <row r="510" spans="1:14" ht="20.100000000000001" customHeight="1" x14ac:dyDescent="0.25">
      <c r="A510" s="39">
        <v>22</v>
      </c>
      <c r="B510" s="40" t="str">
        <f t="shared" si="132"/>
        <v>PS-22-GK3</v>
      </c>
      <c r="C510" s="52" t="str">
        <f t="shared" si="133"/>
        <v>Poste de Sectionnement n°22 GK3</v>
      </c>
      <c r="D510" s="19">
        <v>40909</v>
      </c>
      <c r="E510" s="19">
        <v>40909</v>
      </c>
      <c r="F510" s="42"/>
      <c r="G510" s="42">
        <v>1</v>
      </c>
      <c r="H510" s="42"/>
      <c r="I510" s="42" t="s">
        <v>659</v>
      </c>
      <c r="J510" s="42" t="s">
        <v>2139</v>
      </c>
      <c r="K510" s="44">
        <f t="shared" si="130"/>
        <v>938.05</v>
      </c>
      <c r="L510" s="44">
        <f t="shared" si="131"/>
        <v>401.94200000000001</v>
      </c>
      <c r="M510" s="42" t="s">
        <v>2183</v>
      </c>
      <c r="N510" s="52" t="str">
        <f t="shared" si="129"/>
        <v>(22,'PS-22-GK3','Poste de Sectionnement n°22 GK3','Sunday-01-jj','Sunday-01-jj',,1,),</v>
      </c>
    </row>
    <row r="511" spans="1:14" ht="20.100000000000001" customHeight="1" x14ac:dyDescent="0.25">
      <c r="A511" s="39">
        <v>23</v>
      </c>
      <c r="B511" s="40" t="str">
        <f t="shared" si="132"/>
        <v>PS-23-GK3</v>
      </c>
      <c r="C511" s="52" t="str">
        <f t="shared" si="133"/>
        <v>Poste de Sectionnement n°23 GK3</v>
      </c>
      <c r="D511" s="19">
        <v>40909</v>
      </c>
      <c r="E511" s="19">
        <v>40909</v>
      </c>
      <c r="F511" s="42"/>
      <c r="G511" s="42">
        <v>1</v>
      </c>
      <c r="H511" s="42"/>
      <c r="I511" s="42" t="s">
        <v>659</v>
      </c>
      <c r="J511" s="42" t="s">
        <v>2140</v>
      </c>
      <c r="K511" s="44">
        <f t="shared" si="130"/>
        <v>892.53</v>
      </c>
      <c r="L511" s="44">
        <f t="shared" si="131"/>
        <v>411.93599999999998</v>
      </c>
      <c r="M511" s="42" t="s">
        <v>2184</v>
      </c>
      <c r="N511" s="52" t="str">
        <f t="shared" si="129"/>
        <v>(23,'PS-23-GK3','Poste de Sectionnement n°23 GK3','Sunday-01-jj','Sunday-01-jj',,1,),</v>
      </c>
    </row>
    <row r="512" spans="1:14" ht="20.100000000000001" customHeight="1" x14ac:dyDescent="0.25">
      <c r="A512" s="39">
        <v>24</v>
      </c>
      <c r="B512" s="40" t="str">
        <f t="shared" si="132"/>
        <v>PS-24-GK3</v>
      </c>
      <c r="C512" s="52" t="str">
        <f t="shared" si="133"/>
        <v>Poste de Sectionnement n°24 GK3</v>
      </c>
      <c r="D512" s="19">
        <v>40909</v>
      </c>
      <c r="E512" s="19">
        <v>40909</v>
      </c>
      <c r="F512" s="42"/>
      <c r="G512" s="42">
        <v>1</v>
      </c>
      <c r="H512" s="42"/>
      <c r="I512" s="42" t="s">
        <v>659</v>
      </c>
      <c r="J512" s="42" t="s">
        <v>2141</v>
      </c>
      <c r="K512" s="44">
        <f t="shared" si="130"/>
        <v>875.71</v>
      </c>
      <c r="L512" s="44">
        <f t="shared" si="131"/>
        <v>425.48899999999998</v>
      </c>
      <c r="M512" s="42" t="s">
        <v>2185</v>
      </c>
      <c r="N512" s="52" t="str">
        <f t="shared" si="129"/>
        <v>(24,'PS-24-GK3','Poste de Sectionnement n°24 GK3','Sunday-01-jj','Sunday-01-jj',,1,),</v>
      </c>
    </row>
    <row r="513" spans="1:14" ht="20.100000000000001" customHeight="1" x14ac:dyDescent="0.25">
      <c r="A513" s="39">
        <v>25</v>
      </c>
      <c r="B513" s="40" t="str">
        <f t="shared" si="132"/>
        <v>PS-25-GK3 Bis</v>
      </c>
      <c r="C513" s="52" t="str">
        <f t="shared" si="133"/>
        <v>Poste de Sectionnement n°25 GK3 Bis</v>
      </c>
      <c r="D513" s="19">
        <v>40909</v>
      </c>
      <c r="E513" s="19">
        <v>40909</v>
      </c>
      <c r="F513" s="42"/>
      <c r="G513" s="42">
        <v>1</v>
      </c>
      <c r="H513" s="42"/>
      <c r="I513" s="42" t="s">
        <v>1010</v>
      </c>
      <c r="J513" s="42" t="s">
        <v>2142</v>
      </c>
      <c r="K513" s="44">
        <f t="shared" si="130"/>
        <v>992.54</v>
      </c>
      <c r="L513" s="44">
        <f t="shared" si="131"/>
        <v>10.590999999999999</v>
      </c>
      <c r="M513" s="42" t="s">
        <v>2186</v>
      </c>
      <c r="N513" s="52" t="str">
        <f t="shared" si="129"/>
        <v>(25,'PS-25-GK3 Bis','Poste de Sectionnement n°25 GK3 Bis','Sunday-01-jj','Sunday-01-jj',,1,),</v>
      </c>
    </row>
    <row r="514" spans="1:14" ht="20.100000000000001" customHeight="1" x14ac:dyDescent="0.25">
      <c r="A514" s="39">
        <v>26</v>
      </c>
      <c r="B514" s="40" t="str">
        <f t="shared" si="132"/>
        <v>PS-26-GK3 Bis</v>
      </c>
      <c r="C514" s="52" t="str">
        <f t="shared" si="133"/>
        <v>Poste de Sectionnement n°26 GK3 Bis</v>
      </c>
      <c r="D514" s="19">
        <v>40909</v>
      </c>
      <c r="E514" s="19">
        <v>40909</v>
      </c>
      <c r="F514" s="42"/>
      <c r="G514" s="42">
        <v>1</v>
      </c>
      <c r="H514" s="42"/>
      <c r="I514" s="42" t="s">
        <v>1010</v>
      </c>
      <c r="J514" s="42" t="s">
        <v>2143</v>
      </c>
      <c r="K514" s="44">
        <f t="shared" si="130"/>
        <v>875.25</v>
      </c>
      <c r="L514" s="44">
        <f t="shared" si="131"/>
        <v>20.408999999999999</v>
      </c>
      <c r="M514" s="42" t="s">
        <v>2187</v>
      </c>
      <c r="N514" s="52" t="str">
        <f t="shared" si="129"/>
        <v>(26,'PS-26-GK3 Bis','Poste de Sectionnement n°26 GK3 Bis','Sunday-01-jj','Sunday-01-jj',,1,),</v>
      </c>
    </row>
    <row r="515" spans="1:14" ht="20.100000000000001" customHeight="1" x14ac:dyDescent="0.25">
      <c r="A515" s="39">
        <v>27</v>
      </c>
      <c r="B515" s="40" t="str">
        <f t="shared" si="132"/>
        <v>PS-27-GK3 Bis</v>
      </c>
      <c r="C515" s="52" t="str">
        <f t="shared" si="133"/>
        <v>Poste de Sectionnement n°27 GK3 Bis</v>
      </c>
      <c r="D515" s="19">
        <v>40909</v>
      </c>
      <c r="E515" s="19">
        <v>40909</v>
      </c>
      <c r="F515" s="42"/>
      <c r="G515" s="42">
        <v>1</v>
      </c>
      <c r="H515" s="42"/>
      <c r="I515" s="42" t="s">
        <v>1010</v>
      </c>
      <c r="J515" s="42" t="s">
        <v>2144</v>
      </c>
      <c r="K515" s="44">
        <f t="shared" si="130"/>
        <v>851.93</v>
      </c>
      <c r="L515" s="44">
        <f t="shared" si="131"/>
        <v>30.302</v>
      </c>
      <c r="M515" s="42" t="s">
        <v>2188</v>
      </c>
      <c r="N515" s="52" t="str">
        <f t="shared" si="129"/>
        <v>(27,'PS-27-GK3 Bis','Poste de Sectionnement n°27 GK3 Bis','Sunday-01-jj','Sunday-01-jj',,1,),</v>
      </c>
    </row>
    <row r="516" spans="1:14" ht="20.100000000000001" customHeight="1" x14ac:dyDescent="0.25">
      <c r="A516" s="39">
        <v>28</v>
      </c>
      <c r="B516" s="40" t="str">
        <f t="shared" si="132"/>
        <v>PS-28-GK3 Bis</v>
      </c>
      <c r="C516" s="52" t="str">
        <f t="shared" si="133"/>
        <v>Poste de Sectionnement n°28 GK3 Bis</v>
      </c>
      <c r="D516" s="19">
        <v>40909</v>
      </c>
      <c r="E516" s="19">
        <v>40909</v>
      </c>
      <c r="F516" s="42"/>
      <c r="G516" s="42">
        <v>1</v>
      </c>
      <c r="H516" s="42"/>
      <c r="I516" s="42" t="s">
        <v>1010</v>
      </c>
      <c r="J516" s="42" t="s">
        <v>2145</v>
      </c>
      <c r="K516" s="44">
        <f t="shared" si="130"/>
        <v>832.07</v>
      </c>
      <c r="L516" s="44">
        <f t="shared" si="131"/>
        <v>40.99</v>
      </c>
      <c r="M516" s="42" t="s">
        <v>2189</v>
      </c>
      <c r="N516" s="52" t="str">
        <f t="shared" si="129"/>
        <v>(28,'PS-28-GK3 Bis','Poste de Sectionnement n°28 GK3 Bis','Sunday-01-jj','Sunday-01-jj',,1,),</v>
      </c>
    </row>
    <row r="517" spans="1:14" ht="20.100000000000001" customHeight="1" x14ac:dyDescent="0.25">
      <c r="A517" s="39">
        <v>29</v>
      </c>
      <c r="B517" s="40" t="str">
        <f t="shared" si="132"/>
        <v>PS-29-GK3 Bis</v>
      </c>
      <c r="C517" s="52" t="str">
        <f t="shared" si="133"/>
        <v>Poste de Sectionnement n°29 GK3 Bis</v>
      </c>
      <c r="D517" s="19">
        <v>40909</v>
      </c>
      <c r="E517" s="19">
        <v>40909</v>
      </c>
      <c r="F517" s="42"/>
      <c r="G517" s="42">
        <v>1</v>
      </c>
      <c r="H517" s="42"/>
      <c r="I517" s="42" t="s">
        <v>1010</v>
      </c>
      <c r="J517" s="42" t="s">
        <v>2146</v>
      </c>
      <c r="K517" s="44">
        <f t="shared" si="130"/>
        <v>900.97</v>
      </c>
      <c r="L517" s="44">
        <f t="shared" si="131"/>
        <v>50.301000000000002</v>
      </c>
      <c r="M517" s="42" t="s">
        <v>2190</v>
      </c>
      <c r="N517" s="52" t="str">
        <f t="shared" si="129"/>
        <v>(29,'PS-29-GK3 Bis','Poste de Sectionnement n°29 GK3 Bis','Sunday-01-jj','Sunday-01-jj',,1,),</v>
      </c>
    </row>
    <row r="518" spans="1:14" ht="20.100000000000001" customHeight="1" x14ac:dyDescent="0.25">
      <c r="A518" s="39">
        <v>30</v>
      </c>
      <c r="B518" s="40" t="str">
        <f t="shared" si="132"/>
        <v>PS-30-GK3 Bis</v>
      </c>
      <c r="C518" s="52" t="str">
        <f t="shared" si="133"/>
        <v>Poste de Sectionnement n°30 GK3 Bis</v>
      </c>
      <c r="D518" s="19">
        <v>40909</v>
      </c>
      <c r="E518" s="19">
        <v>40909</v>
      </c>
      <c r="F518" s="42"/>
      <c r="G518" s="42">
        <v>1</v>
      </c>
      <c r="H518" s="42"/>
      <c r="I518" s="42" t="s">
        <v>1010</v>
      </c>
      <c r="J518" s="42" t="s">
        <v>2147</v>
      </c>
      <c r="K518" s="44">
        <f t="shared" si="130"/>
        <v>903.18</v>
      </c>
      <c r="L518" s="44">
        <f t="shared" si="131"/>
        <v>59.216000000000001</v>
      </c>
      <c r="M518" s="42" t="s">
        <v>2191</v>
      </c>
      <c r="N518" s="52" t="str">
        <f t="shared" si="129"/>
        <v>(30,'PS-30-GK3 Bis','Poste de Sectionnement n°30 GK3 Bis','Sunday-01-jj','Sunday-01-jj',,1,),</v>
      </c>
    </row>
    <row r="519" spans="1:14" ht="20.100000000000001" customHeight="1" x14ac:dyDescent="0.25">
      <c r="A519" s="39">
        <v>31</v>
      </c>
      <c r="B519" s="40" t="str">
        <f t="shared" si="132"/>
        <v>PS-31-GK3 Bis</v>
      </c>
      <c r="C519" s="52" t="str">
        <f t="shared" si="133"/>
        <v>Poste de Sectionnement n°31 GK3 Bis</v>
      </c>
      <c r="D519" s="19">
        <v>40909</v>
      </c>
      <c r="E519" s="19">
        <v>40909</v>
      </c>
      <c r="F519" s="42"/>
      <c r="G519" s="42">
        <v>1</v>
      </c>
      <c r="H519" s="42"/>
      <c r="I519" s="42" t="s">
        <v>1010</v>
      </c>
      <c r="J519" s="42" t="s">
        <v>2148</v>
      </c>
      <c r="K519" s="44">
        <f t="shared" si="130"/>
        <v>731.37</v>
      </c>
      <c r="L519" s="44">
        <f t="shared" si="131"/>
        <v>71.391999999999996</v>
      </c>
      <c r="M519" s="42" t="s">
        <v>2191</v>
      </c>
      <c r="N519" s="52" t="str">
        <f t="shared" si="129"/>
        <v>(31,'PS-31-GK3 Bis','Poste de Sectionnement n°31 GK3 Bis','Sunday-01-jj','Sunday-01-jj',,1,),</v>
      </c>
    </row>
    <row r="520" spans="1:14" ht="20.100000000000001" customHeight="1" x14ac:dyDescent="0.25">
      <c r="A520" s="39">
        <v>32</v>
      </c>
      <c r="B520" s="40" t="str">
        <f t="shared" si="132"/>
        <v>PS-32-GK3 Bis</v>
      </c>
      <c r="C520" s="52" t="str">
        <f t="shared" si="133"/>
        <v>Poste de Sectionnement n°32 GK3 Bis</v>
      </c>
      <c r="D520" s="19">
        <v>40909</v>
      </c>
      <c r="E520" s="19">
        <v>40909</v>
      </c>
      <c r="F520" s="42"/>
      <c r="G520" s="42">
        <v>1</v>
      </c>
      <c r="H520" s="42"/>
      <c r="I520" s="42" t="s">
        <v>1010</v>
      </c>
      <c r="J520" s="42" t="s">
        <v>2149</v>
      </c>
      <c r="K520" s="44">
        <f t="shared" si="130"/>
        <v>896.12</v>
      </c>
      <c r="L520" s="44">
        <f t="shared" si="131"/>
        <v>81.590999999999994</v>
      </c>
      <c r="M520" s="42" t="s">
        <v>2192</v>
      </c>
      <c r="N520" s="52" t="str">
        <f t="shared" si="129"/>
        <v>(32,'PS-32-GK3 Bis','Poste de Sectionnement n°32 GK3 Bis','Sunday-01-jj','Sunday-01-jj',,1,),</v>
      </c>
    </row>
    <row r="521" spans="1:14" ht="20.100000000000001" customHeight="1" x14ac:dyDescent="0.25">
      <c r="A521" s="39">
        <v>33</v>
      </c>
      <c r="B521" s="40" t="str">
        <f t="shared" si="132"/>
        <v>PS-33-GK3 Bis</v>
      </c>
      <c r="C521" s="52" t="str">
        <f t="shared" si="133"/>
        <v>Poste de Sectionnement n°33 GK3 Bis</v>
      </c>
      <c r="D521" s="19">
        <v>40909</v>
      </c>
      <c r="E521" s="19">
        <v>40909</v>
      </c>
      <c r="F521" s="42"/>
      <c r="G521" s="42">
        <v>1</v>
      </c>
      <c r="H521" s="42"/>
      <c r="I521" s="42" t="s">
        <v>1010</v>
      </c>
      <c r="J521" s="42" t="s">
        <v>2150</v>
      </c>
      <c r="K521" s="44">
        <f t="shared" si="130"/>
        <v>964.08</v>
      </c>
      <c r="L521" s="44">
        <f t="shared" si="131"/>
        <v>91.983000000000004</v>
      </c>
      <c r="M521" s="42" t="s">
        <v>2193</v>
      </c>
      <c r="N521" s="52" t="str">
        <f t="shared" si="129"/>
        <v>(33,'PS-33-GK3 Bis','Poste de Sectionnement n°33 GK3 Bis','Sunday-01-jj','Sunday-01-jj',,1,),</v>
      </c>
    </row>
    <row r="522" spans="1:14" ht="20.100000000000001" customHeight="1" x14ac:dyDescent="0.25">
      <c r="A522" s="39">
        <v>34</v>
      </c>
      <c r="B522" s="40" t="str">
        <f t="shared" si="132"/>
        <v>PS-34-GK3 Bis</v>
      </c>
      <c r="C522" s="52" t="str">
        <f t="shared" si="133"/>
        <v>Poste de Sectionnement n°34 GK3 Bis</v>
      </c>
      <c r="D522" s="19">
        <v>40909</v>
      </c>
      <c r="E522" s="19">
        <v>40909</v>
      </c>
      <c r="F522" s="42"/>
      <c r="G522" s="42">
        <v>1</v>
      </c>
      <c r="H522" s="42"/>
      <c r="I522" s="42" t="s">
        <v>1010</v>
      </c>
      <c r="J522" s="42" t="s">
        <v>2151</v>
      </c>
      <c r="K522" s="44">
        <f t="shared" si="130"/>
        <v>832.9</v>
      </c>
      <c r="L522" s="44">
        <f t="shared" si="131"/>
        <v>112.404</v>
      </c>
      <c r="M522" s="42" t="s">
        <v>2194</v>
      </c>
      <c r="N522" s="52" t="str">
        <f t="shared" si="129"/>
        <v>(34,'PS-34-GK3 Bis','Poste de Sectionnement n°34 GK3 Bis','Sunday-01-jj','Sunday-01-jj',,1,),</v>
      </c>
    </row>
    <row r="523" spans="1:14" ht="20.100000000000001" customHeight="1" x14ac:dyDescent="0.25">
      <c r="A523" s="39">
        <v>35</v>
      </c>
      <c r="B523" s="40" t="str">
        <f t="shared" si="132"/>
        <v>PS-35-GK3 Bis</v>
      </c>
      <c r="C523" s="52" t="str">
        <f t="shared" si="133"/>
        <v>Poste de Sectionnement n°35 GK3 Bis</v>
      </c>
      <c r="D523" s="19">
        <v>40909</v>
      </c>
      <c r="E523" s="19">
        <v>40909</v>
      </c>
      <c r="F523" s="42"/>
      <c r="G523" s="42">
        <v>1</v>
      </c>
      <c r="H523" s="42"/>
      <c r="I523" s="42" t="s">
        <v>1010</v>
      </c>
      <c r="J523" s="42" t="s">
        <v>2152</v>
      </c>
      <c r="K523" s="44">
        <f t="shared" si="130"/>
        <v>793.85</v>
      </c>
      <c r="L523" s="44">
        <f t="shared" si="131"/>
        <v>123.092</v>
      </c>
      <c r="M523" s="42" t="s">
        <v>2195</v>
      </c>
      <c r="N523" s="52" t="str">
        <f t="shared" si="129"/>
        <v>(35,'PS-35-GK3 Bis','Poste de Sectionnement n°35 GK3 Bis','Sunday-01-jj','Sunday-01-jj',,1,),</v>
      </c>
    </row>
    <row r="524" spans="1:14" ht="20.100000000000001" customHeight="1" x14ac:dyDescent="0.25">
      <c r="A524" s="39">
        <v>36</v>
      </c>
      <c r="B524" s="40" t="str">
        <f t="shared" si="132"/>
        <v>PS-36-GK3 Bis</v>
      </c>
      <c r="C524" s="52" t="str">
        <f t="shared" si="133"/>
        <v>Poste de Sectionnement n°36 GK3 Bis</v>
      </c>
      <c r="D524" s="19">
        <v>40909</v>
      </c>
      <c r="E524" s="19">
        <v>40909</v>
      </c>
      <c r="F524" s="42"/>
      <c r="G524" s="42">
        <v>1</v>
      </c>
      <c r="H524" s="42"/>
      <c r="I524" s="42" t="s">
        <v>1010</v>
      </c>
      <c r="J524" s="42" t="s">
        <v>2153</v>
      </c>
      <c r="K524" s="44">
        <f t="shared" si="130"/>
        <v>779.45</v>
      </c>
      <c r="L524" s="44">
        <f t="shared" si="131"/>
        <v>130.82900000000001</v>
      </c>
      <c r="M524" s="42" t="s">
        <v>2196</v>
      </c>
      <c r="N524" s="52" t="str">
        <f t="shared" si="129"/>
        <v>(36,'PS-36-GK3 Bis','Poste de Sectionnement n°36 GK3 Bis','Sunday-01-jj','Sunday-01-jj',,1,),</v>
      </c>
    </row>
    <row r="525" spans="1:14" ht="20.100000000000001" customHeight="1" x14ac:dyDescent="0.25">
      <c r="A525" s="39">
        <v>37</v>
      </c>
      <c r="B525" s="40" t="str">
        <f t="shared" si="132"/>
        <v>PS-37-GK3 Bis</v>
      </c>
      <c r="C525" s="52" t="str">
        <f t="shared" si="133"/>
        <v>Poste de Sectionnement n°37 GK3 Bis</v>
      </c>
      <c r="D525" s="19">
        <v>40909</v>
      </c>
      <c r="E525" s="19">
        <v>40909</v>
      </c>
      <c r="F525" s="42"/>
      <c r="G525" s="42">
        <v>1</v>
      </c>
      <c r="H525" s="42"/>
      <c r="I525" s="42" t="s">
        <v>1010</v>
      </c>
      <c r="J525" s="42" t="s">
        <v>2154</v>
      </c>
      <c r="K525" s="44">
        <f t="shared" si="130"/>
        <v>896.85</v>
      </c>
      <c r="L525" s="44">
        <f t="shared" si="131"/>
        <v>142.75299999999999</v>
      </c>
      <c r="M525" s="42" t="s">
        <v>2196</v>
      </c>
      <c r="N525" s="52" t="str">
        <f t="shared" si="129"/>
        <v>(37,'PS-37-GK3 Bis','Poste de Sectionnement n°37 GK3 Bis','Sunday-01-jj','Sunday-01-jj',,1,),</v>
      </c>
    </row>
    <row r="526" spans="1:14" ht="20.100000000000001" customHeight="1" x14ac:dyDescent="0.25">
      <c r="A526" s="39">
        <v>38</v>
      </c>
      <c r="B526" s="40" t="str">
        <f t="shared" si="132"/>
        <v>PS-38-GK3 Bis</v>
      </c>
      <c r="C526" s="52" t="str">
        <f t="shared" si="133"/>
        <v>Poste de Sectionnement n°38 GK3 Bis</v>
      </c>
      <c r="D526" s="19">
        <v>40909</v>
      </c>
      <c r="E526" s="19">
        <v>40909</v>
      </c>
      <c r="F526" s="42"/>
      <c r="G526" s="42">
        <v>1</v>
      </c>
      <c r="H526" s="42"/>
      <c r="I526" s="42" t="s">
        <v>1010</v>
      </c>
      <c r="J526" s="42" t="s">
        <v>2155</v>
      </c>
      <c r="K526" s="44">
        <f t="shared" si="130"/>
        <v>732.26</v>
      </c>
      <c r="L526" s="44">
        <f t="shared" si="131"/>
        <v>148.816</v>
      </c>
      <c r="M526" s="42" t="s">
        <v>2197</v>
      </c>
      <c r="N526" s="52" t="str">
        <f t="shared" si="129"/>
        <v>(38,'PS-38-GK3 Bis','Poste de Sectionnement n°38 GK3 Bis','Sunday-01-jj','Sunday-01-jj',,1,),</v>
      </c>
    </row>
    <row r="527" spans="1:14" ht="20.100000000000001" customHeight="1" x14ac:dyDescent="0.25">
      <c r="A527" s="39">
        <v>39</v>
      </c>
      <c r="B527" s="40" t="str">
        <f t="shared" si="132"/>
        <v>PS-39-GK3 Bis</v>
      </c>
      <c r="C527" s="52" t="str">
        <f t="shared" si="133"/>
        <v>Poste de Sectionnement n°39 GK3 Bis</v>
      </c>
      <c r="D527" s="19">
        <v>40909</v>
      </c>
      <c r="E527" s="19">
        <v>40909</v>
      </c>
      <c r="F527" s="42"/>
      <c r="G527" s="42">
        <v>1</v>
      </c>
      <c r="H527" s="42"/>
      <c r="I527" s="42" t="s">
        <v>1010</v>
      </c>
      <c r="J527" s="42" t="s">
        <v>2156</v>
      </c>
      <c r="K527" s="44">
        <f t="shared" si="130"/>
        <v>424.24</v>
      </c>
      <c r="L527" s="44">
        <f t="shared" si="131"/>
        <v>159.435</v>
      </c>
      <c r="M527" s="42" t="s">
        <v>2197</v>
      </c>
      <c r="N527" s="52" t="str">
        <f t="shared" si="129"/>
        <v>(39,'PS-39-GK3 Bis','Poste de Sectionnement n°39 GK3 Bis','Sunday-01-jj','Sunday-01-jj',,1,),</v>
      </c>
    </row>
    <row r="528" spans="1:14" ht="20.100000000000001" customHeight="1" x14ac:dyDescent="0.25">
      <c r="A528" s="39">
        <v>40</v>
      </c>
      <c r="B528" s="40" t="str">
        <f t="shared" si="132"/>
        <v>PS-40-GK3 Bis</v>
      </c>
      <c r="C528" s="52" t="str">
        <f t="shared" si="133"/>
        <v>Poste de Sectionnement n°40 GK3 Bis</v>
      </c>
      <c r="D528" s="19">
        <v>40909</v>
      </c>
      <c r="E528" s="19">
        <v>40909</v>
      </c>
      <c r="F528" s="42"/>
      <c r="G528" s="42">
        <v>1</v>
      </c>
      <c r="H528" s="42"/>
      <c r="I528" s="42" t="s">
        <v>1010</v>
      </c>
      <c r="J528" s="42" t="s">
        <v>2157</v>
      </c>
      <c r="K528" s="44">
        <f t="shared" si="130"/>
        <v>277.63</v>
      </c>
      <c r="L528" s="44">
        <f t="shared" si="131"/>
        <v>172.64599999999999</v>
      </c>
      <c r="M528" s="42" t="s">
        <v>2198</v>
      </c>
      <c r="N528" s="52" t="str">
        <f t="shared" si="129"/>
        <v>(40,'PS-40-GK3 Bis','Poste de Sectionnement n°40 GK3 Bis','Sunday-01-jj','Sunday-01-jj',,1,),</v>
      </c>
    </row>
    <row r="529" spans="1:14" ht="20.100000000000001" customHeight="1" x14ac:dyDescent="0.25">
      <c r="A529" s="39">
        <v>41</v>
      </c>
      <c r="B529" s="40" t="str">
        <f t="shared" si="132"/>
        <v>PS-41-GK3 Bis</v>
      </c>
      <c r="C529" s="52" t="str">
        <f t="shared" si="133"/>
        <v>Poste de Sectionnement n°41 GK3 Bis</v>
      </c>
      <c r="D529" s="19">
        <v>40909</v>
      </c>
      <c r="E529" s="19">
        <v>40909</v>
      </c>
      <c r="F529" s="42"/>
      <c r="G529" s="42">
        <v>1</v>
      </c>
      <c r="H529" s="42"/>
      <c r="I529" s="42" t="s">
        <v>1010</v>
      </c>
      <c r="J529" s="42" t="s">
        <v>2158</v>
      </c>
      <c r="K529" s="44">
        <f t="shared" si="130"/>
        <v>257.16000000000003</v>
      </c>
      <c r="L529" s="44">
        <f t="shared" si="131"/>
        <v>191.33600000000001</v>
      </c>
      <c r="M529" s="42" t="s">
        <v>2199</v>
      </c>
      <c r="N529" s="52" t="str">
        <f t="shared" si="129"/>
        <v>(41,'PS-41-GK3 Bis','Poste de Sectionnement n°41 GK3 Bis','Sunday-01-jj','Sunday-01-jj',,1,),</v>
      </c>
    </row>
    <row r="530" spans="1:14" ht="20.100000000000001" customHeight="1" x14ac:dyDescent="0.25">
      <c r="A530" s="39">
        <v>42</v>
      </c>
      <c r="B530" s="40" t="str">
        <f t="shared" si="132"/>
        <v>PS-42-GK3 Bis</v>
      </c>
      <c r="C530" s="52" t="str">
        <f t="shared" si="133"/>
        <v>Poste de Sectionnement n°42 GK3 Bis</v>
      </c>
      <c r="D530" s="19">
        <v>40909</v>
      </c>
      <c r="E530" s="19">
        <v>40909</v>
      </c>
      <c r="F530" s="42"/>
      <c r="G530" s="42">
        <v>1</v>
      </c>
      <c r="H530" s="42"/>
      <c r="I530" s="42" t="s">
        <v>1010</v>
      </c>
      <c r="J530" s="42" t="s">
        <v>2159</v>
      </c>
      <c r="K530" s="44">
        <f t="shared" si="130"/>
        <v>187.6</v>
      </c>
      <c r="L530" s="44">
        <f t="shared" si="131"/>
        <v>201.64599999999999</v>
      </c>
      <c r="M530" s="42" t="s">
        <v>2200</v>
      </c>
      <c r="N530" s="52" t="str">
        <f t="shared" si="129"/>
        <v>(42,'PS-42-GK3 Bis','Poste de Sectionnement n°42 GK3 Bis','Sunday-01-jj','Sunday-01-jj',,1,),</v>
      </c>
    </row>
    <row r="531" spans="1:14" ht="20.100000000000001" customHeight="1" x14ac:dyDescent="0.25">
      <c r="A531" s="39">
        <v>43</v>
      </c>
      <c r="B531" s="40" t="str">
        <f t="shared" si="132"/>
        <v>PS-43-GK3 Bis</v>
      </c>
      <c r="C531" s="52" t="str">
        <f t="shared" si="133"/>
        <v>Poste de Sectionnement n°43 GK3 Bis</v>
      </c>
      <c r="D531" s="19">
        <v>40909</v>
      </c>
      <c r="E531" s="19">
        <v>40909</v>
      </c>
      <c r="F531" s="42"/>
      <c r="G531" s="42">
        <v>1</v>
      </c>
      <c r="H531" s="42"/>
      <c r="I531" s="42" t="s">
        <v>1010</v>
      </c>
      <c r="J531" s="42" t="s">
        <v>2160</v>
      </c>
      <c r="K531" s="44">
        <f t="shared" si="130"/>
        <v>66.900000000000006</v>
      </c>
      <c r="L531" s="44">
        <f t="shared" si="131"/>
        <v>212.33099999999999</v>
      </c>
      <c r="M531" s="42" t="s">
        <v>2201</v>
      </c>
      <c r="N531" s="52" t="str">
        <f t="shared" si="129"/>
        <v>(43,'PS-43-GK3 Bis','Poste de Sectionnement n°43 GK3 Bis','Sunday-01-jj','Sunday-01-jj',,1,),</v>
      </c>
    </row>
    <row r="532" spans="1:14" ht="20.100000000000001" customHeight="1" x14ac:dyDescent="0.25">
      <c r="A532" s="39">
        <v>44</v>
      </c>
      <c r="B532" s="40" t="str">
        <f t="shared" si="132"/>
        <v>PS-44-GK3 Bis</v>
      </c>
      <c r="C532" s="52" t="str">
        <f t="shared" si="133"/>
        <v>Poste de Sectionnement n°44 GK3 Bis</v>
      </c>
      <c r="D532" s="19">
        <v>40909</v>
      </c>
      <c r="E532" s="19">
        <v>40909</v>
      </c>
      <c r="F532" s="42"/>
      <c r="G532" s="42">
        <v>1</v>
      </c>
      <c r="H532" s="42"/>
      <c r="I532" s="42" t="s">
        <v>1010</v>
      </c>
      <c r="J532" s="42" t="s">
        <v>2161</v>
      </c>
      <c r="K532" s="44">
        <f t="shared" si="130"/>
        <v>255.05</v>
      </c>
      <c r="L532" s="44">
        <f t="shared" si="131"/>
        <v>222.76499999999999</v>
      </c>
      <c r="M532" s="42" t="s">
        <v>2202</v>
      </c>
      <c r="N532" s="52" t="str">
        <f t="shared" si="129"/>
        <v>(44,'PS-44-GK3 Bis','Poste de Sectionnement n°44 GK3 Bis','Sunday-01-jj','Sunday-01-jj',,1,),</v>
      </c>
    </row>
    <row r="533" spans="1:14" ht="20.100000000000001" customHeight="1" x14ac:dyDescent="0.25">
      <c r="A533" s="39">
        <v>45</v>
      </c>
      <c r="B533" s="40" t="str">
        <f t="shared" si="132"/>
        <v>PS-45-GK3 Bis</v>
      </c>
      <c r="C533" s="52" t="str">
        <f t="shared" si="133"/>
        <v>Poste de Sectionnement n°45 GK3 Bis</v>
      </c>
      <c r="D533" s="19">
        <v>40909</v>
      </c>
      <c r="E533" s="19">
        <v>40909</v>
      </c>
      <c r="F533" s="42"/>
      <c r="G533" s="42">
        <v>1</v>
      </c>
      <c r="H533" s="42"/>
      <c r="I533" s="42" t="s">
        <v>1010</v>
      </c>
      <c r="J533" s="42" t="s">
        <v>2162</v>
      </c>
      <c r="K533" s="44">
        <f t="shared" si="130"/>
        <v>93.18</v>
      </c>
      <c r="L533" s="44">
        <f t="shared" si="131"/>
        <v>234.70400000000001</v>
      </c>
      <c r="M533" s="42" t="s">
        <v>2202</v>
      </c>
      <c r="N533" s="52" t="str">
        <f t="shared" ref="N533:N597" si="134">CONCATENATE("(",A533,",'",B533,"','",C533,"','",TEXT(D533,"aaaa-mm-jj"),"','",TEXT(E533,"aaaa-mm-jj"),"',",F533,",",G533,",",H533,"),")</f>
        <v>(45,'PS-45-GK3 Bis','Poste de Sectionnement n°45 GK3 Bis','Sunday-01-jj','Sunday-01-jj',,1,),</v>
      </c>
    </row>
    <row r="534" spans="1:14" ht="20.100000000000001" customHeight="1" x14ac:dyDescent="0.25">
      <c r="A534" s="39">
        <v>46</v>
      </c>
      <c r="B534" s="40" t="str">
        <f t="shared" si="132"/>
        <v>PS-46-GK3 Bis</v>
      </c>
      <c r="C534" s="52" t="str">
        <f t="shared" si="133"/>
        <v>Poste de Sectionnement n°46 GK3 Bis</v>
      </c>
      <c r="D534" s="19">
        <v>40909</v>
      </c>
      <c r="E534" s="19">
        <v>40909</v>
      </c>
      <c r="F534" s="42"/>
      <c r="G534" s="42">
        <v>1</v>
      </c>
      <c r="H534" s="42"/>
      <c r="I534" s="42" t="s">
        <v>1010</v>
      </c>
      <c r="J534" s="42" t="s">
        <v>2163</v>
      </c>
      <c r="K534" s="44">
        <f t="shared" si="130"/>
        <v>97.09</v>
      </c>
      <c r="L534" s="44">
        <f t="shared" si="131"/>
        <v>241.92599999999999</v>
      </c>
      <c r="M534" s="42" t="s">
        <v>2203</v>
      </c>
      <c r="N534" s="52" t="str">
        <f t="shared" si="134"/>
        <v>(46,'PS-46-GK3 Bis','Poste de Sectionnement n°46 GK3 Bis','Sunday-01-jj','Sunday-01-jj',,1,),</v>
      </c>
    </row>
    <row r="535" spans="1:14" ht="20.100000000000001" customHeight="1" x14ac:dyDescent="0.25">
      <c r="A535" s="39">
        <v>47</v>
      </c>
      <c r="B535" s="40" t="str">
        <f t="shared" si="132"/>
        <v>PS-47-GK3 Bis</v>
      </c>
      <c r="C535" s="52" t="str">
        <f t="shared" si="133"/>
        <v>Poste de Sectionnement n°47 GK3 Bis</v>
      </c>
      <c r="D535" s="19">
        <v>40909</v>
      </c>
      <c r="E535" s="19">
        <v>40909</v>
      </c>
      <c r="F535" s="42"/>
      <c r="G535" s="42">
        <v>1</v>
      </c>
      <c r="H535" s="42"/>
      <c r="I535" s="42" t="s">
        <v>1010</v>
      </c>
      <c r="J535" s="42" t="s">
        <v>2164</v>
      </c>
      <c r="K535" s="44">
        <f t="shared" si="130"/>
        <v>83.32</v>
      </c>
      <c r="L535" s="44">
        <f t="shared" si="131"/>
        <v>256.18200000000002</v>
      </c>
      <c r="M535" s="42" t="s">
        <v>2204</v>
      </c>
      <c r="N535" s="52" t="str">
        <f t="shared" si="134"/>
        <v>(47,'PS-47-GK3 Bis','Poste de Sectionnement n°47 GK3 Bis','Sunday-01-jj','Sunday-01-jj',,1,),</v>
      </c>
    </row>
    <row r="536" spans="1:14" ht="20.100000000000001" customHeight="1" x14ac:dyDescent="0.25">
      <c r="A536" s="39">
        <v>48</v>
      </c>
      <c r="B536" s="40" t="str">
        <f t="shared" si="132"/>
        <v>PS-48-GK3 Ter</v>
      </c>
      <c r="C536" s="52" t="str">
        <f t="shared" si="133"/>
        <v>Poste de Sectionnement n°48 GK3 Ter</v>
      </c>
      <c r="D536" s="19">
        <v>40909</v>
      </c>
      <c r="E536" s="19">
        <v>40909</v>
      </c>
      <c r="F536" s="42"/>
      <c r="G536" s="42">
        <v>1</v>
      </c>
      <c r="H536" s="42"/>
      <c r="I536" s="42" t="s">
        <v>2235</v>
      </c>
      <c r="J536" s="42" t="s">
        <v>2165</v>
      </c>
      <c r="K536" s="44">
        <f t="shared" si="130"/>
        <v>896.83699999999999</v>
      </c>
      <c r="L536" s="44">
        <f t="shared" si="131"/>
        <v>10.164</v>
      </c>
      <c r="M536" s="42" t="s">
        <v>2193</v>
      </c>
      <c r="N536" s="52" t="str">
        <f t="shared" si="134"/>
        <v>(48,'PS-48-GK3 Ter','Poste de Sectionnement n°48 GK3 Ter','Sunday-01-jj','Sunday-01-jj',,1,),</v>
      </c>
    </row>
    <row r="537" spans="1:14" ht="20.100000000000001" customHeight="1" x14ac:dyDescent="0.25">
      <c r="A537" s="39">
        <v>49</v>
      </c>
      <c r="B537" s="40" t="str">
        <f t="shared" si="132"/>
        <v>PS-49-GK3 Ter</v>
      </c>
      <c r="C537" s="52" t="str">
        <f t="shared" si="133"/>
        <v>Poste de Sectionnement n°49 GK3 Ter</v>
      </c>
      <c r="D537" s="19">
        <v>40909</v>
      </c>
      <c r="E537" s="19">
        <v>40909</v>
      </c>
      <c r="F537" s="42"/>
      <c r="G537" s="42">
        <v>1</v>
      </c>
      <c r="H537" s="42"/>
      <c r="I537" s="42" t="s">
        <v>2235</v>
      </c>
      <c r="J537" s="42" t="s">
        <v>2166</v>
      </c>
      <c r="K537" s="44">
        <f t="shared" si="130"/>
        <v>892.96400000000006</v>
      </c>
      <c r="L537" s="44">
        <f t="shared" si="131"/>
        <v>19.710999999999999</v>
      </c>
      <c r="M537" s="42" t="s">
        <v>2205</v>
      </c>
      <c r="N537" s="52" t="str">
        <f t="shared" si="134"/>
        <v>(49,'PS-49-GK3 Ter','Poste de Sectionnement n°49 GK3 Ter','Sunday-01-jj','Sunday-01-jj',,1,),</v>
      </c>
    </row>
    <row r="538" spans="1:14" ht="20.100000000000001" customHeight="1" x14ac:dyDescent="0.25">
      <c r="A538" s="39">
        <v>50</v>
      </c>
      <c r="B538" s="40" t="str">
        <f t="shared" si="132"/>
        <v>PS-50-GK3 Ter</v>
      </c>
      <c r="C538" s="52" t="str">
        <f t="shared" si="133"/>
        <v>Poste de Sectionnement n°50 GK3 Ter</v>
      </c>
      <c r="D538" s="19">
        <v>40909</v>
      </c>
      <c r="E538" s="19">
        <v>40909</v>
      </c>
      <c r="F538" s="42"/>
      <c r="G538" s="42">
        <v>1</v>
      </c>
      <c r="H538" s="42"/>
      <c r="I538" s="42" t="s">
        <v>2235</v>
      </c>
      <c r="J538" s="42" t="s">
        <v>2167</v>
      </c>
      <c r="K538" s="44">
        <f t="shared" si="130"/>
        <v>780.55600000000004</v>
      </c>
      <c r="L538" s="44">
        <f t="shared" si="131"/>
        <v>30.777000000000001</v>
      </c>
      <c r="M538" s="42" t="s">
        <v>2205</v>
      </c>
      <c r="N538" s="52" t="str">
        <f t="shared" si="134"/>
        <v>(50,'PS-50-GK3 Ter','Poste de Sectionnement n°50 GK3 Ter','Sunday-01-jj','Sunday-01-jj',,1,),</v>
      </c>
    </row>
    <row r="539" spans="1:14" ht="20.100000000000001" customHeight="1" x14ac:dyDescent="0.25">
      <c r="A539" s="39">
        <v>51</v>
      </c>
      <c r="B539" s="40" t="str">
        <f t="shared" si="132"/>
        <v>PS-51-GK3 Ter</v>
      </c>
      <c r="C539" s="52" t="str">
        <f t="shared" si="133"/>
        <v>Poste de Sectionnement n°51 GK3 Ter</v>
      </c>
      <c r="D539" s="19">
        <v>40909</v>
      </c>
      <c r="E539" s="19">
        <v>40909</v>
      </c>
      <c r="F539" s="42"/>
      <c r="G539" s="42">
        <v>1</v>
      </c>
      <c r="H539" s="42"/>
      <c r="I539" s="42" t="s">
        <v>2235</v>
      </c>
      <c r="J539" s="42" t="s">
        <v>2168</v>
      </c>
      <c r="K539" s="44">
        <f t="shared" si="130"/>
        <v>740.24400000000003</v>
      </c>
      <c r="L539" s="44">
        <f t="shared" si="131"/>
        <v>39.354999999999997</v>
      </c>
      <c r="M539" s="42" t="s">
        <v>2206</v>
      </c>
      <c r="N539" s="52" t="str">
        <f t="shared" si="134"/>
        <v>(51,'PS-51-GK3 Ter','Poste de Sectionnement n°51 GK3 Ter','Sunday-01-jj','Sunday-01-jj',,1,),</v>
      </c>
    </row>
    <row r="540" spans="1:14" ht="20.100000000000001" customHeight="1" x14ac:dyDescent="0.25">
      <c r="A540" s="39">
        <v>52</v>
      </c>
      <c r="B540" s="40" t="str">
        <f t="shared" si="132"/>
        <v>PS-52-GK3 Ter</v>
      </c>
      <c r="C540" s="52" t="str">
        <f t="shared" si="133"/>
        <v>Poste de Sectionnement n°52 GK3 Ter</v>
      </c>
      <c r="D540" s="19">
        <v>40909</v>
      </c>
      <c r="E540" s="19">
        <v>40909</v>
      </c>
      <c r="F540" s="42"/>
      <c r="G540" s="42">
        <v>1</v>
      </c>
      <c r="H540" s="42"/>
      <c r="I540" s="42" t="s">
        <v>2235</v>
      </c>
      <c r="J540" s="42" t="s">
        <v>2169</v>
      </c>
      <c r="K540" s="44">
        <f t="shared" si="130"/>
        <v>513.16700000000003</v>
      </c>
      <c r="L540" s="44">
        <f t="shared" si="131"/>
        <v>49.634999999999998</v>
      </c>
      <c r="M540" s="42" t="s">
        <v>2207</v>
      </c>
      <c r="N540" s="52" t="str">
        <f t="shared" si="134"/>
        <v>(52,'PS-52-GK3 Ter','Poste de Sectionnement n°52 GK3 Ter','Sunday-01-jj','Sunday-01-jj',,1,),</v>
      </c>
    </row>
    <row r="541" spans="1:14" ht="20.100000000000001" customHeight="1" x14ac:dyDescent="0.25">
      <c r="A541" s="39">
        <v>53</v>
      </c>
      <c r="B541" s="40" t="str">
        <f t="shared" si="132"/>
        <v>PS-53-GK3 Ter</v>
      </c>
      <c r="C541" s="52" t="str">
        <f t="shared" si="133"/>
        <v>Poste de Sectionnement n°53 GK3 Ter</v>
      </c>
      <c r="D541" s="19">
        <v>40909</v>
      </c>
      <c r="E541" s="19">
        <v>40909</v>
      </c>
      <c r="F541" s="42"/>
      <c r="G541" s="42">
        <v>1</v>
      </c>
      <c r="H541" s="42"/>
      <c r="I541" s="42" t="s">
        <v>2235</v>
      </c>
      <c r="J541" s="42" t="s">
        <v>2170</v>
      </c>
      <c r="K541" s="44">
        <f t="shared" si="130"/>
        <v>229.82300000000001</v>
      </c>
      <c r="L541" s="44">
        <f t="shared" si="131"/>
        <v>60.99</v>
      </c>
      <c r="M541" s="42" t="s">
        <v>2208</v>
      </c>
      <c r="N541" s="52" t="str">
        <f t="shared" si="134"/>
        <v>(53,'PS-53-GK3 Ter','Poste de Sectionnement n°53 GK3 Ter','Sunday-01-jj','Sunday-01-jj',,1,),</v>
      </c>
    </row>
    <row r="542" spans="1:14" ht="20.100000000000001" customHeight="1" x14ac:dyDescent="0.25">
      <c r="A542" s="39">
        <v>54</v>
      </c>
      <c r="B542" s="40" t="str">
        <f t="shared" si="132"/>
        <v>PS-54-GK3 Ter</v>
      </c>
      <c r="C542" s="52" t="str">
        <f t="shared" si="133"/>
        <v>Poste de Sectionnement n°54 GK3 Ter</v>
      </c>
      <c r="D542" s="19">
        <v>40909</v>
      </c>
      <c r="E542" s="19">
        <v>40909</v>
      </c>
      <c r="F542" s="42"/>
      <c r="G542" s="42">
        <v>1</v>
      </c>
      <c r="H542" s="42"/>
      <c r="I542" s="42" t="s">
        <v>2235</v>
      </c>
      <c r="J542" s="42" t="s">
        <v>2171</v>
      </c>
      <c r="K542" s="44">
        <f t="shared" si="130"/>
        <v>215.35300000000001</v>
      </c>
      <c r="L542" s="44">
        <f t="shared" si="131"/>
        <v>72.91</v>
      </c>
      <c r="M542" s="42" t="s">
        <v>2090</v>
      </c>
      <c r="N542" s="52" t="str">
        <f t="shared" si="134"/>
        <v>(54,'PS-54-GK3 Ter','Poste de Sectionnement n°54 GK3 Ter','Sunday-01-jj','Sunday-01-jj',,1,),</v>
      </c>
    </row>
    <row r="543" spans="1:14" ht="20.100000000000001" customHeight="1" x14ac:dyDescent="0.25">
      <c r="A543" s="39">
        <v>55</v>
      </c>
      <c r="B543" s="40" t="str">
        <f t="shared" si="132"/>
        <v>PS-55-GK3 Ter</v>
      </c>
      <c r="C543" s="52" t="str">
        <f t="shared" si="133"/>
        <v>Poste de Sectionnement n°55 GK3 Ter</v>
      </c>
      <c r="D543" s="19">
        <v>40909</v>
      </c>
      <c r="E543" s="19">
        <v>40909</v>
      </c>
      <c r="F543" s="42"/>
      <c r="G543" s="42">
        <v>1</v>
      </c>
      <c r="H543" s="42"/>
      <c r="I543" s="42" t="s">
        <v>2235</v>
      </c>
      <c r="J543" s="42" t="s">
        <v>2172</v>
      </c>
      <c r="K543" s="44">
        <f t="shared" si="130"/>
        <v>177.88</v>
      </c>
      <c r="L543" s="44">
        <f t="shared" si="131"/>
        <v>80.89</v>
      </c>
      <c r="M543" s="42" t="s">
        <v>2209</v>
      </c>
      <c r="N543" s="52" t="str">
        <f t="shared" si="134"/>
        <v>(55,'PS-55-GK3 Ter','Poste de Sectionnement n°55 GK3 Ter','Sunday-01-jj','Sunday-01-jj',,1,),</v>
      </c>
    </row>
    <row r="544" spans="1:14" ht="20.100000000000001" customHeight="1" x14ac:dyDescent="0.25">
      <c r="A544" s="39">
        <v>1</v>
      </c>
      <c r="B544" s="40" t="str">
        <f t="shared" si="132"/>
        <v>PS-01-GG1</v>
      </c>
      <c r="C544" s="52" t="str">
        <f t="shared" si="133"/>
        <v>Poste de Sectionnement n°01 GG1</v>
      </c>
      <c r="D544" s="19">
        <v>29587</v>
      </c>
      <c r="E544" s="19">
        <v>29587</v>
      </c>
      <c r="F544" s="42"/>
      <c r="G544" s="42">
        <v>1</v>
      </c>
      <c r="H544" s="42"/>
      <c r="I544" s="42" t="s">
        <v>411</v>
      </c>
      <c r="J544" s="42" t="s">
        <v>2245</v>
      </c>
      <c r="K544" s="44">
        <f t="shared" ref="K544:K564" si="135">VALUE(RIGHT(J544,LEN(J544)-SEARCH("/",J544)))</f>
        <v>680</v>
      </c>
      <c r="L544" s="44">
        <f t="shared" ref="L544:L564" si="136">VALUE(SUBSTITUTE(LEFT(J544,SEARCH("/",J544)-1),"+",","))</f>
        <v>94.5</v>
      </c>
      <c r="M544" s="42" t="s">
        <v>2266</v>
      </c>
      <c r="N544" s="52" t="str">
        <f t="shared" si="134"/>
        <v>(1,'PS-01-GG1','Poste de Sectionnement n°01 GG1','Thursday-01-jj','Thursday-01-jj',,1,),</v>
      </c>
    </row>
    <row r="545" spans="1:14" ht="20.100000000000001" customHeight="1" x14ac:dyDescent="0.25">
      <c r="A545" s="39">
        <v>2</v>
      </c>
      <c r="B545" s="40" t="str">
        <f t="shared" si="132"/>
        <v>PS-02-GG1</v>
      </c>
      <c r="C545" s="52" t="str">
        <f t="shared" si="133"/>
        <v>Poste de Sectionnement n°02 GG1</v>
      </c>
      <c r="D545" s="19">
        <v>29587</v>
      </c>
      <c r="E545" s="19">
        <v>29587</v>
      </c>
      <c r="F545" s="42"/>
      <c r="G545" s="42">
        <v>1</v>
      </c>
      <c r="H545" s="42"/>
      <c r="I545" s="42" t="s">
        <v>411</v>
      </c>
      <c r="J545" s="42" t="s">
        <v>2246</v>
      </c>
      <c r="K545" s="44">
        <f t="shared" si="135"/>
        <v>1114</v>
      </c>
      <c r="L545" s="44">
        <f t="shared" si="136"/>
        <v>217</v>
      </c>
      <c r="M545" s="42" t="s">
        <v>2267</v>
      </c>
      <c r="N545" s="52" t="str">
        <f t="shared" si="134"/>
        <v>(2,'PS-02-GG1','Poste de Sectionnement n°02 GG1','Thursday-01-jj','Thursday-01-jj',,1,),</v>
      </c>
    </row>
    <row r="546" spans="1:14" ht="20.100000000000001" customHeight="1" x14ac:dyDescent="0.25">
      <c r="A546" s="39">
        <v>3</v>
      </c>
      <c r="B546" s="40" t="str">
        <f t="shared" ref="B546:B565" si="137">CONCATENATE("PS-",TEXT(A546,"00"),"-",I546)</f>
        <v>PS-03-GG1</v>
      </c>
      <c r="C546" s="52" t="str">
        <f t="shared" ref="C546:C565" si="138">CONCATENATE("Poste de Sectionnement n°",TEXT(A546,"00")," ",I546)</f>
        <v>Poste de Sectionnement n°03 GG1</v>
      </c>
      <c r="D546" s="19">
        <v>29587</v>
      </c>
      <c r="E546" s="19">
        <v>29587</v>
      </c>
      <c r="F546" s="42"/>
      <c r="G546" s="42">
        <v>1</v>
      </c>
      <c r="H546" s="42"/>
      <c r="I546" s="42" t="s">
        <v>411</v>
      </c>
      <c r="J546" s="42" t="s">
        <v>2247</v>
      </c>
      <c r="K546" s="44">
        <f t="shared" si="135"/>
        <v>665</v>
      </c>
      <c r="L546" s="44">
        <f t="shared" si="136"/>
        <v>296</v>
      </c>
      <c r="M546" s="42" t="s">
        <v>2268</v>
      </c>
      <c r="N546" s="52" t="str">
        <f t="shared" si="134"/>
        <v>(3,'PS-03-GG1','Poste de Sectionnement n°03 GG1','Thursday-01-jj','Thursday-01-jj',,1,),</v>
      </c>
    </row>
    <row r="547" spans="1:14" ht="20.100000000000001" customHeight="1" x14ac:dyDescent="0.25">
      <c r="A547" s="39">
        <v>4</v>
      </c>
      <c r="B547" s="40" t="str">
        <f t="shared" si="137"/>
        <v>PS-04-GG1</v>
      </c>
      <c r="C547" s="52" t="str">
        <f t="shared" si="138"/>
        <v>Poste de Sectionnement n°04 GG1</v>
      </c>
      <c r="D547" s="19">
        <v>29587</v>
      </c>
      <c r="E547" s="19">
        <v>29587</v>
      </c>
      <c r="F547" s="42"/>
      <c r="G547" s="42">
        <v>1</v>
      </c>
      <c r="H547" s="42"/>
      <c r="I547" s="42" t="s">
        <v>411</v>
      </c>
      <c r="J547" s="42" t="s">
        <v>2248</v>
      </c>
      <c r="K547" s="44">
        <f t="shared" si="135"/>
        <v>800</v>
      </c>
      <c r="L547" s="44">
        <f t="shared" si="136"/>
        <v>349.25</v>
      </c>
      <c r="M547" s="42" t="s">
        <v>2269</v>
      </c>
      <c r="N547" s="52" t="str">
        <f t="shared" si="134"/>
        <v>(4,'PS-04-GG1','Poste de Sectionnement n°04 GG1','Thursday-01-jj','Thursday-01-jj',,1,),</v>
      </c>
    </row>
    <row r="548" spans="1:14" ht="20.100000000000001" customHeight="1" x14ac:dyDescent="0.25">
      <c r="A548" s="39">
        <v>5</v>
      </c>
      <c r="B548" s="40" t="str">
        <f t="shared" si="137"/>
        <v>PS-05-GG1</v>
      </c>
      <c r="C548" s="52" t="str">
        <f t="shared" si="138"/>
        <v>Poste de Sectionnement n°05 GG1</v>
      </c>
      <c r="D548" s="19">
        <v>29587</v>
      </c>
      <c r="E548" s="19">
        <v>29587</v>
      </c>
      <c r="F548" s="42"/>
      <c r="G548" s="42">
        <v>1</v>
      </c>
      <c r="H548" s="42"/>
      <c r="I548" s="42" t="s">
        <v>411</v>
      </c>
      <c r="J548" s="42" t="s">
        <v>2249</v>
      </c>
      <c r="K548" s="44">
        <f t="shared" si="135"/>
        <v>717</v>
      </c>
      <c r="L548" s="44">
        <f t="shared" si="136"/>
        <v>375</v>
      </c>
      <c r="M548" s="42" t="s">
        <v>2270</v>
      </c>
      <c r="N548" s="52" t="str">
        <f t="shared" si="134"/>
        <v>(5,'PS-05-GG1','Poste de Sectionnement n°05 GG1','Thursday-01-jj','Thursday-01-jj',,1,),</v>
      </c>
    </row>
    <row r="549" spans="1:14" ht="20.100000000000001" customHeight="1" x14ac:dyDescent="0.25">
      <c r="A549" s="39">
        <v>6</v>
      </c>
      <c r="B549" s="40" t="str">
        <f t="shared" si="137"/>
        <v>PS-06-GG1</v>
      </c>
      <c r="C549" s="52" t="str">
        <f t="shared" si="138"/>
        <v>Poste de Sectionnement n°06 GG1</v>
      </c>
      <c r="D549" s="19">
        <v>29587</v>
      </c>
      <c r="E549" s="19">
        <v>29587</v>
      </c>
      <c r="F549" s="42"/>
      <c r="G549" s="42">
        <v>1</v>
      </c>
      <c r="H549" s="42"/>
      <c r="I549" s="42" t="s">
        <v>411</v>
      </c>
      <c r="J549" s="42" t="s">
        <v>2250</v>
      </c>
      <c r="K549" s="44">
        <f t="shared" si="135"/>
        <v>592</v>
      </c>
      <c r="L549" s="44">
        <f t="shared" si="136"/>
        <v>401</v>
      </c>
      <c r="M549" s="42" t="s">
        <v>2271</v>
      </c>
      <c r="N549" s="52" t="str">
        <f t="shared" si="134"/>
        <v>(6,'PS-06-GG1','Poste de Sectionnement n°06 GG1','Thursday-01-jj','Thursday-01-jj',,1,),</v>
      </c>
    </row>
    <row r="550" spans="1:14" ht="20.100000000000001" customHeight="1" x14ac:dyDescent="0.25">
      <c r="A550" s="39">
        <v>7</v>
      </c>
      <c r="B550" s="40" t="str">
        <f t="shared" si="137"/>
        <v>PS-07-GG1</v>
      </c>
      <c r="C550" s="52" t="str">
        <f t="shared" si="138"/>
        <v>Poste de Sectionnement n°07 GG1</v>
      </c>
      <c r="D550" s="19">
        <v>29587</v>
      </c>
      <c r="E550" s="19">
        <v>29587</v>
      </c>
      <c r="F550" s="42"/>
      <c r="G550" s="42">
        <v>1</v>
      </c>
      <c r="H550" s="42"/>
      <c r="I550" s="42" t="s">
        <v>411</v>
      </c>
      <c r="J550" s="42" t="s">
        <v>2251</v>
      </c>
      <c r="K550" s="44">
        <f t="shared" si="135"/>
        <v>115</v>
      </c>
      <c r="L550" s="44">
        <f t="shared" si="136"/>
        <v>437</v>
      </c>
      <c r="M550" s="42" t="s">
        <v>2272</v>
      </c>
      <c r="N550" s="52" t="str">
        <f t="shared" si="134"/>
        <v>(7,'PS-07-GG1','Poste de Sectionnement n°07 GG1','Thursday-01-jj','Thursday-01-jj',,1,),</v>
      </c>
    </row>
    <row r="551" spans="1:14" ht="20.100000000000001" customHeight="1" x14ac:dyDescent="0.25">
      <c r="A551" s="39">
        <v>1</v>
      </c>
      <c r="B551" s="40" t="str">
        <f t="shared" si="137"/>
        <v>PS-01-RGG1</v>
      </c>
      <c r="C551" s="52" t="str">
        <f t="shared" si="138"/>
        <v>Poste de Sectionnement n°01 RGG1</v>
      </c>
      <c r="D551" s="19">
        <v>43466</v>
      </c>
      <c r="E551" s="19">
        <v>43466</v>
      </c>
      <c r="F551" s="42"/>
      <c r="G551" s="42">
        <v>1</v>
      </c>
      <c r="H551" s="42"/>
      <c r="I551" s="42" t="s">
        <v>414</v>
      </c>
      <c r="J551" s="42" t="s">
        <v>2252</v>
      </c>
      <c r="K551" s="44">
        <f t="shared" si="135"/>
        <v>820</v>
      </c>
      <c r="L551" s="44">
        <f t="shared" si="136"/>
        <v>20.244</v>
      </c>
      <c r="M551" s="42" t="s">
        <v>2273</v>
      </c>
      <c r="N551" s="52" t="str">
        <f t="shared" si="134"/>
        <v>(1,'PS-01-RGG1','Poste de Sectionnement n°01 RGG1','Tuesday-01-jj','Tuesday-01-jj',,1,),</v>
      </c>
    </row>
    <row r="552" spans="1:14" ht="20.100000000000001" customHeight="1" x14ac:dyDescent="0.25">
      <c r="A552" s="39">
        <v>2</v>
      </c>
      <c r="B552" s="40" t="str">
        <f t="shared" si="137"/>
        <v>PS-02-RGG1</v>
      </c>
      <c r="C552" s="52" t="str">
        <f t="shared" si="138"/>
        <v>Poste de Sectionnement n°02 RGG1</v>
      </c>
      <c r="D552" s="19">
        <v>43466</v>
      </c>
      <c r="E552" s="19">
        <v>43466</v>
      </c>
      <c r="F552" s="42"/>
      <c r="G552" s="42">
        <v>1</v>
      </c>
      <c r="H552" s="42"/>
      <c r="I552" s="42" t="s">
        <v>414</v>
      </c>
      <c r="J552" s="42" t="s">
        <v>2253</v>
      </c>
      <c r="K552" s="44">
        <f t="shared" si="135"/>
        <v>791</v>
      </c>
      <c r="L552" s="44">
        <f t="shared" si="136"/>
        <v>42.18</v>
      </c>
      <c r="M552" s="42" t="s">
        <v>2274</v>
      </c>
      <c r="N552" s="52" t="str">
        <f t="shared" si="134"/>
        <v>(2,'PS-02-RGG1','Poste de Sectionnement n°02 RGG1','Tuesday-01-jj','Tuesday-01-jj',,1,),</v>
      </c>
    </row>
    <row r="553" spans="1:14" ht="20.100000000000001" customHeight="1" x14ac:dyDescent="0.25">
      <c r="A553" s="39">
        <v>3</v>
      </c>
      <c r="B553" s="40" t="str">
        <f t="shared" si="137"/>
        <v>PS-03-RGG1</v>
      </c>
      <c r="C553" s="52" t="str">
        <f t="shared" si="138"/>
        <v>Poste de Sectionnement n°03 RGG1</v>
      </c>
      <c r="D553" s="19">
        <v>43466</v>
      </c>
      <c r="E553" s="19">
        <v>43466</v>
      </c>
      <c r="F553" s="42"/>
      <c r="G553" s="42">
        <v>1</v>
      </c>
      <c r="H553" s="42"/>
      <c r="I553" s="42" t="s">
        <v>414</v>
      </c>
      <c r="J553" s="42" t="s">
        <v>2254</v>
      </c>
      <c r="K553" s="44">
        <f t="shared" si="135"/>
        <v>663</v>
      </c>
      <c r="L553" s="44">
        <f t="shared" si="136"/>
        <v>63.331000000000003</v>
      </c>
      <c r="M553" s="42" t="s">
        <v>2275</v>
      </c>
      <c r="N553" s="52" t="str">
        <f t="shared" si="134"/>
        <v>(3,'PS-03-RGG1','Poste de Sectionnement n°03 RGG1','Tuesday-01-jj','Tuesday-01-jj',,1,),</v>
      </c>
    </row>
    <row r="554" spans="1:14" ht="20.100000000000001" customHeight="1" x14ac:dyDescent="0.25">
      <c r="A554" s="39">
        <v>4</v>
      </c>
      <c r="B554" s="40" t="str">
        <f t="shared" si="137"/>
        <v>PS-04-RGG1</v>
      </c>
      <c r="C554" s="52" t="str">
        <f t="shared" si="138"/>
        <v>Poste de Sectionnement n°04 RGG1</v>
      </c>
      <c r="D554" s="19">
        <v>43466</v>
      </c>
      <c r="E554" s="19">
        <v>43466</v>
      </c>
      <c r="F554" s="42"/>
      <c r="G554" s="42">
        <v>1</v>
      </c>
      <c r="H554" s="42"/>
      <c r="I554" s="42" t="s">
        <v>414</v>
      </c>
      <c r="J554" s="42" t="s">
        <v>2255</v>
      </c>
      <c r="K554" s="44">
        <f t="shared" si="135"/>
        <v>606</v>
      </c>
      <c r="L554" s="44">
        <f t="shared" si="136"/>
        <v>78.870999999999995</v>
      </c>
      <c r="M554" s="42" t="s">
        <v>2276</v>
      </c>
      <c r="N554" s="52" t="str">
        <f t="shared" si="134"/>
        <v>(4,'PS-04-RGG1','Poste de Sectionnement n°04 RGG1','Tuesday-01-jj','Tuesday-01-jj',,1,),</v>
      </c>
    </row>
    <row r="555" spans="1:14" ht="20.100000000000001" customHeight="1" x14ac:dyDescent="0.25">
      <c r="A555" s="39">
        <v>5</v>
      </c>
      <c r="B555" s="40" t="str">
        <f t="shared" si="137"/>
        <v>PS-05-RGG1</v>
      </c>
      <c r="C555" s="52" t="str">
        <f t="shared" si="138"/>
        <v>Poste de Sectionnement n°05 RGG1</v>
      </c>
      <c r="D555" s="19">
        <v>43466</v>
      </c>
      <c r="E555" s="19">
        <v>43466</v>
      </c>
      <c r="F555" s="42"/>
      <c r="G555" s="42">
        <v>1</v>
      </c>
      <c r="H555" s="42"/>
      <c r="I555" s="42" t="s">
        <v>414</v>
      </c>
      <c r="J555" s="42" t="s">
        <v>2256</v>
      </c>
      <c r="K555" s="44">
        <f t="shared" si="135"/>
        <v>711</v>
      </c>
      <c r="L555" s="44">
        <f t="shared" si="136"/>
        <v>102.614</v>
      </c>
      <c r="M555" s="42" t="s">
        <v>2243</v>
      </c>
      <c r="N555" s="52" t="str">
        <f t="shared" si="134"/>
        <v>(5,'PS-05-RGG1','Poste de Sectionnement n°05 RGG1','Tuesday-01-jj','Tuesday-01-jj',,1,),</v>
      </c>
    </row>
    <row r="556" spans="1:14" ht="20.100000000000001" customHeight="1" x14ac:dyDescent="0.25">
      <c r="A556" s="39">
        <v>6</v>
      </c>
      <c r="B556" s="40" t="str">
        <f t="shared" si="137"/>
        <v>PS-06-RGG1</v>
      </c>
      <c r="C556" s="52" t="str">
        <f t="shared" si="138"/>
        <v>Poste de Sectionnement n°06 RGG1</v>
      </c>
      <c r="D556" s="19">
        <v>43466</v>
      </c>
      <c r="E556" s="19">
        <v>43466</v>
      </c>
      <c r="F556" s="42"/>
      <c r="G556" s="42">
        <v>1</v>
      </c>
      <c r="H556" s="42"/>
      <c r="I556" s="42" t="s">
        <v>414</v>
      </c>
      <c r="J556" s="42" t="s">
        <v>2257</v>
      </c>
      <c r="K556" s="44">
        <f t="shared" si="135"/>
        <v>824</v>
      </c>
      <c r="L556" s="44">
        <f t="shared" si="136"/>
        <v>116.648</v>
      </c>
      <c r="M556" s="42" t="s">
        <v>2269</v>
      </c>
      <c r="N556" s="52" t="str">
        <f t="shared" si="134"/>
        <v>(6,'PS-06-RGG1','Poste de Sectionnement n°06 RGG1','Tuesday-01-jj','Tuesday-01-jj',,1,),</v>
      </c>
    </row>
    <row r="557" spans="1:14" ht="20.100000000000001" customHeight="1" x14ac:dyDescent="0.25">
      <c r="A557" s="39">
        <v>7</v>
      </c>
      <c r="B557" s="40" t="str">
        <f t="shared" si="137"/>
        <v>PS-07-RGG1</v>
      </c>
      <c r="C557" s="52" t="str">
        <f t="shared" si="138"/>
        <v>Poste de Sectionnement n°07 RGG1</v>
      </c>
      <c r="D557" s="19">
        <v>43466</v>
      </c>
      <c r="E557" s="19">
        <v>43466</v>
      </c>
      <c r="F557" s="42"/>
      <c r="G557" s="42">
        <v>1</v>
      </c>
      <c r="H557" s="42"/>
      <c r="I557" s="42" t="s">
        <v>414</v>
      </c>
      <c r="J557" s="42" t="s">
        <v>2258</v>
      </c>
      <c r="K557" s="44">
        <f t="shared" si="135"/>
        <v>1084</v>
      </c>
      <c r="L557" s="44">
        <f t="shared" si="136"/>
        <v>129.75299999999999</v>
      </c>
      <c r="M557" s="42" t="s">
        <v>2277</v>
      </c>
      <c r="N557" s="52" t="str">
        <f t="shared" si="134"/>
        <v>(7,'PS-07-RGG1','Poste de Sectionnement n°07 RGG1','Tuesday-01-jj','Tuesday-01-jj',,1,),</v>
      </c>
    </row>
    <row r="558" spans="1:14" ht="20.100000000000001" customHeight="1" x14ac:dyDescent="0.25">
      <c r="A558" s="39">
        <v>8</v>
      </c>
      <c r="B558" s="40" t="str">
        <f t="shared" si="137"/>
        <v>PS-08-RGG1</v>
      </c>
      <c r="C558" s="52" t="str">
        <f t="shared" si="138"/>
        <v>Poste de Sectionnement n°08 RGG1</v>
      </c>
      <c r="D558" s="19">
        <v>43466</v>
      </c>
      <c r="E558" s="19">
        <v>43466</v>
      </c>
      <c r="F558" s="42"/>
      <c r="G558" s="42">
        <v>1</v>
      </c>
      <c r="H558" s="42"/>
      <c r="I558" s="42" t="s">
        <v>414</v>
      </c>
      <c r="J558" s="42" t="s">
        <v>2259</v>
      </c>
      <c r="K558" s="44">
        <f t="shared" si="135"/>
        <v>873</v>
      </c>
      <c r="L558" s="44">
        <f t="shared" si="136"/>
        <v>140.04400000000001</v>
      </c>
      <c r="M558" s="42" t="s">
        <v>2278</v>
      </c>
      <c r="N558" s="52" t="str">
        <f t="shared" si="134"/>
        <v>(8,'PS-08-RGG1','Poste de Sectionnement n°08 RGG1','Tuesday-01-jj','Tuesday-01-jj',,1,),</v>
      </c>
    </row>
    <row r="559" spans="1:14" ht="20.100000000000001" customHeight="1" x14ac:dyDescent="0.25">
      <c r="A559" s="39">
        <v>9</v>
      </c>
      <c r="B559" s="40" t="str">
        <f t="shared" si="137"/>
        <v>PS-09-RGG1</v>
      </c>
      <c r="C559" s="52" t="str">
        <f t="shared" si="138"/>
        <v>Poste de Sectionnement n°09 RGG1</v>
      </c>
      <c r="D559" s="19">
        <v>43466</v>
      </c>
      <c r="E559" s="19">
        <v>43466</v>
      </c>
      <c r="F559" s="42"/>
      <c r="G559" s="42">
        <v>1</v>
      </c>
      <c r="H559" s="42"/>
      <c r="I559" s="42" t="s">
        <v>414</v>
      </c>
      <c r="J559" s="42" t="s">
        <v>2260</v>
      </c>
      <c r="K559" s="44">
        <f t="shared" si="135"/>
        <v>658</v>
      </c>
      <c r="L559" s="44">
        <f t="shared" si="136"/>
        <v>151.75399999999999</v>
      </c>
      <c r="M559" s="42" t="s">
        <v>2278</v>
      </c>
      <c r="N559" s="52" t="str">
        <f t="shared" si="134"/>
        <v>(9,'PS-09-RGG1','Poste de Sectionnement n°09 RGG1','Tuesday-01-jj','Tuesday-01-jj',,1,),</v>
      </c>
    </row>
    <row r="560" spans="1:14" ht="20.100000000000001" customHeight="1" x14ac:dyDescent="0.25">
      <c r="A560" s="39">
        <v>10</v>
      </c>
      <c r="B560" s="40" t="str">
        <f t="shared" si="137"/>
        <v>PS-10-RGG1</v>
      </c>
      <c r="C560" s="52" t="str">
        <f t="shared" si="138"/>
        <v>Poste de Sectionnement n°10 RGG1</v>
      </c>
      <c r="D560" s="19">
        <v>43466</v>
      </c>
      <c r="E560" s="19">
        <v>43466</v>
      </c>
      <c r="F560" s="42"/>
      <c r="G560" s="42">
        <v>1</v>
      </c>
      <c r="H560" s="42"/>
      <c r="I560" s="42" t="s">
        <v>414</v>
      </c>
      <c r="J560" s="42" t="s">
        <v>2261</v>
      </c>
      <c r="K560" s="44">
        <f t="shared" si="135"/>
        <v>573</v>
      </c>
      <c r="L560" s="44">
        <f t="shared" si="136"/>
        <v>160</v>
      </c>
      <c r="M560" s="42" t="s">
        <v>2279</v>
      </c>
      <c r="N560" s="52" t="str">
        <f t="shared" si="134"/>
        <v>(10,'PS-10-RGG1','Poste de Sectionnement n°10 RGG1','Tuesday-01-jj','Tuesday-01-jj',,1,),</v>
      </c>
    </row>
    <row r="561" spans="1:14" ht="20.100000000000001" customHeight="1" x14ac:dyDescent="0.25">
      <c r="A561" s="39">
        <v>11</v>
      </c>
      <c r="B561" s="40" t="str">
        <f t="shared" si="137"/>
        <v>PS-11-RGG1</v>
      </c>
      <c r="C561" s="52" t="str">
        <f t="shared" si="138"/>
        <v>Poste de Sectionnement n°11 RGG1</v>
      </c>
      <c r="D561" s="19">
        <v>43466</v>
      </c>
      <c r="E561" s="19">
        <v>43466</v>
      </c>
      <c r="F561" s="42"/>
      <c r="G561" s="42">
        <v>1</v>
      </c>
      <c r="H561" s="42"/>
      <c r="I561" s="42" t="s">
        <v>414</v>
      </c>
      <c r="J561" s="42" t="s">
        <v>2262</v>
      </c>
      <c r="K561" s="44">
        <f t="shared" si="135"/>
        <v>566</v>
      </c>
      <c r="L561" s="44">
        <f t="shared" si="136"/>
        <v>167.44</v>
      </c>
      <c r="M561" s="42" t="s">
        <v>2280</v>
      </c>
      <c r="N561" s="52" t="str">
        <f t="shared" si="134"/>
        <v>(11,'PS-11-RGG1','Poste de Sectionnement n°11 RGG1','Tuesday-01-jj','Tuesday-01-jj',,1,),</v>
      </c>
    </row>
    <row r="562" spans="1:14" ht="20.100000000000001" customHeight="1" x14ac:dyDescent="0.25">
      <c r="A562" s="39">
        <v>12</v>
      </c>
      <c r="B562" s="40" t="str">
        <f t="shared" si="137"/>
        <v>PS-12-RGG1</v>
      </c>
      <c r="C562" s="52" t="str">
        <f t="shared" si="138"/>
        <v>Poste de Sectionnement n°12 RGG1</v>
      </c>
      <c r="D562" s="19">
        <v>43466</v>
      </c>
      <c r="E562" s="19">
        <v>43466</v>
      </c>
      <c r="F562" s="42"/>
      <c r="G562" s="42">
        <v>1</v>
      </c>
      <c r="H562" s="42"/>
      <c r="I562" s="42" t="s">
        <v>414</v>
      </c>
      <c r="J562" s="42" t="s">
        <v>2263</v>
      </c>
      <c r="K562" s="44">
        <f t="shared" si="135"/>
        <v>454</v>
      </c>
      <c r="L562" s="44">
        <f t="shared" si="136"/>
        <v>176.202</v>
      </c>
      <c r="M562" s="42" t="s">
        <v>2281</v>
      </c>
      <c r="N562" s="52" t="str">
        <f t="shared" si="134"/>
        <v>(12,'PS-12-RGG1','Poste de Sectionnement n°12 RGG1','Tuesday-01-jj','Tuesday-01-jj',,1,),</v>
      </c>
    </row>
    <row r="563" spans="1:14" ht="20.100000000000001" customHeight="1" x14ac:dyDescent="0.25">
      <c r="A563" s="39">
        <v>13</v>
      </c>
      <c r="B563" s="40" t="str">
        <f t="shared" si="137"/>
        <v>PS-13-RGG1</v>
      </c>
      <c r="C563" s="52" t="str">
        <f t="shared" si="138"/>
        <v>Poste de Sectionnement n°13 RGG1</v>
      </c>
      <c r="D563" s="19">
        <v>43466</v>
      </c>
      <c r="E563" s="19">
        <v>43466</v>
      </c>
      <c r="F563" s="42"/>
      <c r="G563" s="42">
        <v>1</v>
      </c>
      <c r="H563" s="42"/>
      <c r="I563" s="42" t="s">
        <v>414</v>
      </c>
      <c r="J563" s="42" t="s">
        <v>2264</v>
      </c>
      <c r="K563" s="44">
        <f t="shared" si="135"/>
        <v>442</v>
      </c>
      <c r="L563" s="44">
        <f t="shared" si="136"/>
        <v>184.215</v>
      </c>
      <c r="M563" s="42" t="s">
        <v>2282</v>
      </c>
      <c r="N563" s="52" t="str">
        <f t="shared" si="134"/>
        <v>(13,'PS-13-RGG1','Poste de Sectionnement n°13 RGG1','Tuesday-01-jj','Tuesday-01-jj',,1,),</v>
      </c>
    </row>
    <row r="564" spans="1:14" ht="20.100000000000001" customHeight="1" x14ac:dyDescent="0.25">
      <c r="A564" s="39">
        <v>14</v>
      </c>
      <c r="B564" s="40" t="str">
        <f t="shared" si="137"/>
        <v>PS-14-RGG1</v>
      </c>
      <c r="C564" s="52" t="str">
        <f t="shared" si="138"/>
        <v>Poste de Sectionnement n°14 RGG1</v>
      </c>
      <c r="D564" s="19">
        <v>43466</v>
      </c>
      <c r="E564" s="19">
        <v>43466</v>
      </c>
      <c r="F564" s="42"/>
      <c r="G564" s="42">
        <v>1</v>
      </c>
      <c r="H564" s="42"/>
      <c r="I564" s="42" t="s">
        <v>414</v>
      </c>
      <c r="J564" s="42" t="s">
        <v>2265</v>
      </c>
      <c r="K564" s="44">
        <f t="shared" si="135"/>
        <v>165</v>
      </c>
      <c r="L564" s="44">
        <f t="shared" si="136"/>
        <v>196.297</v>
      </c>
      <c r="M564" s="42" t="s">
        <v>2283</v>
      </c>
      <c r="N564" s="52" t="str">
        <f t="shared" si="134"/>
        <v>(14,'PS-14-RGG1','Poste de Sectionnement n°14 RGG1','Tuesday-01-jj','Tuesday-01-jj',,1,),</v>
      </c>
    </row>
    <row r="565" spans="1:14" ht="20.100000000000001" customHeight="1" x14ac:dyDescent="0.25">
      <c r="A565" s="39">
        <v>1</v>
      </c>
      <c r="B565" s="40" t="str">
        <f t="shared" si="137"/>
        <v>PS-01-GPDF</v>
      </c>
      <c r="C565" s="52" t="str">
        <f t="shared" si="138"/>
        <v>Poste de Sectionnement n°01 GPDF</v>
      </c>
      <c r="D565" s="19">
        <v>35065</v>
      </c>
      <c r="E565" s="19">
        <v>35065</v>
      </c>
      <c r="F565" s="42"/>
      <c r="G565" s="42">
        <v>1</v>
      </c>
      <c r="H565" s="42"/>
      <c r="I565" s="42" t="s">
        <v>438</v>
      </c>
      <c r="J565" s="42" t="s">
        <v>2315</v>
      </c>
      <c r="K565" s="44">
        <f t="shared" ref="K565:K586" si="139">VALUE(RIGHT(J565,LEN(J565)-SEARCH("/",J565)))</f>
        <v>743.68</v>
      </c>
      <c r="L565" s="44">
        <f t="shared" ref="L565:L586" si="140">VALUE(SUBSTITUTE(LEFT(J565,SEARCH("/",J565)-1),"+",","))</f>
        <v>19.006</v>
      </c>
      <c r="M565" s="42" t="s">
        <v>798</v>
      </c>
      <c r="N565" s="52" t="str">
        <f t="shared" si="134"/>
        <v>(1,'PS-01-GPDF','Poste de Sectionnement n°01 GPDF','Monday-01-jj','Monday-01-jj',,1,),</v>
      </c>
    </row>
    <row r="566" spans="1:14" ht="20.100000000000001" customHeight="1" x14ac:dyDescent="0.25">
      <c r="A566" s="39">
        <v>2</v>
      </c>
      <c r="B566" s="40" t="str">
        <f t="shared" ref="B566:B588" si="141">CONCATENATE("PS-",TEXT(A566,"00"),"-",I566)</f>
        <v>PS-02-GPDF</v>
      </c>
      <c r="C566" s="52" t="str">
        <f t="shared" ref="C566:C588" si="142">CONCATENATE("Poste de Sectionnement n°",TEXT(A566,"00")," ",I566)</f>
        <v>Poste de Sectionnement n°02 GPDF</v>
      </c>
      <c r="D566" s="19">
        <v>35065</v>
      </c>
      <c r="E566" s="19">
        <v>35065</v>
      </c>
      <c r="F566" s="42"/>
      <c r="G566" s="42">
        <v>1</v>
      </c>
      <c r="H566" s="42"/>
      <c r="I566" s="42" t="s">
        <v>438</v>
      </c>
      <c r="J566" s="42" t="s">
        <v>2316</v>
      </c>
      <c r="K566" s="44">
        <f t="shared" si="139"/>
        <v>740.2</v>
      </c>
      <c r="L566" s="44">
        <f t="shared" si="140"/>
        <v>36.006</v>
      </c>
      <c r="M566" s="42" t="s">
        <v>798</v>
      </c>
      <c r="N566" s="52" t="str">
        <f t="shared" si="134"/>
        <v>(2,'PS-02-GPDF','Poste de Sectionnement n°02 GPDF','Monday-01-jj','Monday-01-jj',,1,),</v>
      </c>
    </row>
    <row r="567" spans="1:14" ht="20.100000000000001" customHeight="1" x14ac:dyDescent="0.25">
      <c r="A567" s="39">
        <v>3</v>
      </c>
      <c r="B567" s="40" t="str">
        <f t="shared" si="141"/>
        <v>PS-03-GPDF</v>
      </c>
      <c r="C567" s="52" t="str">
        <f t="shared" si="142"/>
        <v>Poste de Sectionnement n°03 GPDF</v>
      </c>
      <c r="D567" s="19">
        <v>35065</v>
      </c>
      <c r="E567" s="19">
        <v>35065</v>
      </c>
      <c r="F567" s="42"/>
      <c r="G567" s="42">
        <v>1</v>
      </c>
      <c r="H567" s="42"/>
      <c r="I567" s="42" t="s">
        <v>438</v>
      </c>
      <c r="J567" s="42" t="s">
        <v>2317</v>
      </c>
      <c r="K567" s="44">
        <f t="shared" si="139"/>
        <v>743.94</v>
      </c>
      <c r="L567" s="44">
        <f t="shared" si="140"/>
        <v>54.006</v>
      </c>
      <c r="M567" s="42" t="s">
        <v>2337</v>
      </c>
      <c r="N567" s="52" t="str">
        <f t="shared" si="134"/>
        <v>(3,'PS-03-GPDF','Poste de Sectionnement n°03 GPDF','Monday-01-jj','Monday-01-jj',,1,),</v>
      </c>
    </row>
    <row r="568" spans="1:14" ht="20.100000000000001" customHeight="1" x14ac:dyDescent="0.25">
      <c r="A568" s="39">
        <v>4</v>
      </c>
      <c r="B568" s="40" t="str">
        <f t="shared" si="141"/>
        <v>PS-04-GPDF</v>
      </c>
      <c r="C568" s="52" t="str">
        <f t="shared" si="142"/>
        <v>Poste de Sectionnement n°04 GPDF</v>
      </c>
      <c r="D568" s="19">
        <v>35065</v>
      </c>
      <c r="E568" s="19">
        <v>35065</v>
      </c>
      <c r="F568" s="42"/>
      <c r="G568" s="42">
        <v>1</v>
      </c>
      <c r="H568" s="42"/>
      <c r="I568" s="42" t="s">
        <v>438</v>
      </c>
      <c r="J568" s="42" t="s">
        <v>2318</v>
      </c>
      <c r="K568" s="44">
        <f t="shared" si="139"/>
        <v>766.8</v>
      </c>
      <c r="L568" s="44">
        <f t="shared" si="140"/>
        <v>71.006</v>
      </c>
      <c r="M568" s="42" t="s">
        <v>2337</v>
      </c>
      <c r="N568" s="52" t="str">
        <f t="shared" si="134"/>
        <v>(4,'PS-04-GPDF','Poste de Sectionnement n°04 GPDF','Monday-01-jj','Monday-01-jj',,1,),</v>
      </c>
    </row>
    <row r="569" spans="1:14" ht="20.100000000000001" customHeight="1" x14ac:dyDescent="0.25">
      <c r="A569" s="39">
        <v>5</v>
      </c>
      <c r="B569" s="40" t="str">
        <f t="shared" si="141"/>
        <v>PS-05-GPDF</v>
      </c>
      <c r="C569" s="52" t="str">
        <f t="shared" si="142"/>
        <v>Poste de Sectionnement n°05 GPDF</v>
      </c>
      <c r="D569" s="19">
        <v>35065</v>
      </c>
      <c r="E569" s="19">
        <v>35065</v>
      </c>
      <c r="F569" s="42"/>
      <c r="G569" s="42">
        <v>1</v>
      </c>
      <c r="H569" s="42"/>
      <c r="I569" s="42" t="s">
        <v>438</v>
      </c>
      <c r="J569" s="42" t="s">
        <v>2319</v>
      </c>
      <c r="K569" s="44">
        <f t="shared" si="139"/>
        <v>775</v>
      </c>
      <c r="L569" s="44">
        <f t="shared" si="140"/>
        <v>106.84399999999999</v>
      </c>
      <c r="M569" s="42" t="s">
        <v>2337</v>
      </c>
      <c r="N569" s="52" t="str">
        <f t="shared" si="134"/>
        <v>(5,'PS-05-GPDF','Poste de Sectionnement n°05 GPDF','Monday-01-jj','Monday-01-jj',,1,),</v>
      </c>
    </row>
    <row r="570" spans="1:14" ht="20.100000000000001" customHeight="1" x14ac:dyDescent="0.25">
      <c r="A570" s="39">
        <v>6</v>
      </c>
      <c r="B570" s="40" t="str">
        <f t="shared" si="141"/>
        <v>PS-06-GPDF</v>
      </c>
      <c r="C570" s="52" t="str">
        <f t="shared" si="142"/>
        <v>Poste de Sectionnement n°06 GPDF</v>
      </c>
      <c r="D570" s="19">
        <v>35065</v>
      </c>
      <c r="E570" s="19">
        <v>35065</v>
      </c>
      <c r="F570" s="42"/>
      <c r="G570" s="42">
        <v>1</v>
      </c>
      <c r="H570" s="42"/>
      <c r="I570" s="42" t="s">
        <v>438</v>
      </c>
      <c r="J570" s="42" t="s">
        <v>2320</v>
      </c>
      <c r="K570" s="44">
        <f t="shared" si="139"/>
        <v>812</v>
      </c>
      <c r="L570" s="44">
        <f t="shared" si="140"/>
        <v>125.6</v>
      </c>
      <c r="M570" s="42" t="s">
        <v>2338</v>
      </c>
      <c r="N570" s="52" t="str">
        <f t="shared" si="134"/>
        <v>(6,'PS-06-GPDF','Poste de Sectionnement n°06 GPDF','Monday-01-jj','Monday-01-jj',,1,),</v>
      </c>
    </row>
    <row r="571" spans="1:14" ht="20.100000000000001" customHeight="1" x14ac:dyDescent="0.25">
      <c r="A571" s="39">
        <v>7</v>
      </c>
      <c r="B571" s="40" t="str">
        <f t="shared" si="141"/>
        <v>PS-07-GPDF</v>
      </c>
      <c r="C571" s="52" t="str">
        <f t="shared" si="142"/>
        <v>Poste de Sectionnement n°07 GPDF</v>
      </c>
      <c r="D571" s="19">
        <v>35065</v>
      </c>
      <c r="E571" s="19">
        <v>35065</v>
      </c>
      <c r="F571" s="42"/>
      <c r="G571" s="42">
        <v>1</v>
      </c>
      <c r="H571" s="42"/>
      <c r="I571" s="42" t="s">
        <v>438</v>
      </c>
      <c r="J571" s="42" t="s">
        <v>2321</v>
      </c>
      <c r="K571" s="44">
        <f t="shared" si="139"/>
        <v>760.1</v>
      </c>
      <c r="L571" s="44">
        <f t="shared" si="140"/>
        <v>143.02000000000001</v>
      </c>
      <c r="M571" s="42" t="s">
        <v>2338</v>
      </c>
      <c r="N571" s="52" t="str">
        <f t="shared" si="134"/>
        <v>(7,'PS-07-GPDF','Poste de Sectionnement n°07 GPDF','Monday-01-jj','Monday-01-jj',,1,),</v>
      </c>
    </row>
    <row r="572" spans="1:14" ht="20.100000000000001" customHeight="1" x14ac:dyDescent="0.25">
      <c r="A572" s="39">
        <v>8</v>
      </c>
      <c r="B572" s="40" t="str">
        <f t="shared" si="141"/>
        <v>PS-08-GPDF</v>
      </c>
      <c r="C572" s="52" t="str">
        <f t="shared" si="142"/>
        <v>Poste de Sectionnement n°08 GPDF</v>
      </c>
      <c r="D572" s="19">
        <v>35065</v>
      </c>
      <c r="E572" s="19">
        <v>35065</v>
      </c>
      <c r="F572" s="42"/>
      <c r="G572" s="42">
        <v>1</v>
      </c>
      <c r="H572" s="42"/>
      <c r="I572" s="42" t="s">
        <v>438</v>
      </c>
      <c r="J572" s="42" t="s">
        <v>2322</v>
      </c>
      <c r="K572" s="44">
        <f t="shared" si="139"/>
        <v>818</v>
      </c>
      <c r="L572" s="44">
        <f t="shared" si="140"/>
        <v>160.44</v>
      </c>
      <c r="M572" s="42" t="s">
        <v>2338</v>
      </c>
      <c r="N572" s="52" t="str">
        <f t="shared" si="134"/>
        <v>(8,'PS-08-GPDF','Poste de Sectionnement n°08 GPDF','Monday-01-jj','Monday-01-jj',,1,),</v>
      </c>
    </row>
    <row r="573" spans="1:14" ht="20.100000000000001" customHeight="1" x14ac:dyDescent="0.25">
      <c r="A573" s="39">
        <v>9</v>
      </c>
      <c r="B573" s="40" t="str">
        <f t="shared" si="141"/>
        <v>PS-09-GPDF</v>
      </c>
      <c r="C573" s="52" t="str">
        <f t="shared" si="142"/>
        <v>Poste de Sectionnement n°09 GPDF</v>
      </c>
      <c r="D573" s="19">
        <v>35065</v>
      </c>
      <c r="E573" s="19">
        <v>35065</v>
      </c>
      <c r="F573" s="42"/>
      <c r="G573" s="42">
        <v>1</v>
      </c>
      <c r="H573" s="42"/>
      <c r="I573" s="42" t="s">
        <v>438</v>
      </c>
      <c r="J573" s="42" t="s">
        <v>2323</v>
      </c>
      <c r="K573" s="44">
        <f t="shared" si="139"/>
        <v>778</v>
      </c>
      <c r="L573" s="44">
        <f t="shared" si="140"/>
        <v>194.60599999999999</v>
      </c>
      <c r="M573" s="42" t="s">
        <v>2338</v>
      </c>
      <c r="N573" s="52" t="str">
        <f t="shared" si="134"/>
        <v>(9,'PS-09-GPDF','Poste de Sectionnement n°09 GPDF','Monday-01-jj','Monday-01-jj',,1,),</v>
      </c>
    </row>
    <row r="574" spans="1:14" ht="20.100000000000001" customHeight="1" x14ac:dyDescent="0.25">
      <c r="A574" s="39">
        <v>10</v>
      </c>
      <c r="B574" s="40" t="str">
        <f t="shared" si="141"/>
        <v>PS-10-GPDF</v>
      </c>
      <c r="C574" s="52" t="str">
        <f t="shared" si="142"/>
        <v>Poste de Sectionnement n°10 GPDF</v>
      </c>
      <c r="D574" s="19">
        <v>35065</v>
      </c>
      <c r="E574" s="19">
        <v>35065</v>
      </c>
      <c r="F574" s="42"/>
      <c r="G574" s="42">
        <v>1</v>
      </c>
      <c r="H574" s="42"/>
      <c r="I574" s="42" t="s">
        <v>438</v>
      </c>
      <c r="J574" s="42" t="s">
        <v>2324</v>
      </c>
      <c r="K574" s="44">
        <f t="shared" si="139"/>
        <v>840.5</v>
      </c>
      <c r="L574" s="44">
        <f t="shared" si="140"/>
        <v>213.04499999999999</v>
      </c>
      <c r="M574" s="42" t="s">
        <v>2338</v>
      </c>
      <c r="N574" s="52" t="str">
        <f t="shared" si="134"/>
        <v>(10,'PS-10-GPDF','Poste de Sectionnement n°10 GPDF','Monday-01-jj','Monday-01-jj',,1,),</v>
      </c>
    </row>
    <row r="575" spans="1:14" ht="20.100000000000001" customHeight="1" x14ac:dyDescent="0.25">
      <c r="A575" s="39">
        <v>11</v>
      </c>
      <c r="B575" s="40" t="str">
        <f t="shared" si="141"/>
        <v>PS-11-GPDF</v>
      </c>
      <c r="C575" s="52" t="str">
        <f t="shared" si="142"/>
        <v>Poste de Sectionnement n°11 GPDF</v>
      </c>
      <c r="D575" s="19">
        <v>35065</v>
      </c>
      <c r="E575" s="19">
        <v>35065</v>
      </c>
      <c r="F575" s="42"/>
      <c r="G575" s="42">
        <v>1</v>
      </c>
      <c r="H575" s="42"/>
      <c r="I575" s="42" t="s">
        <v>438</v>
      </c>
      <c r="J575" s="42" t="s">
        <v>2325</v>
      </c>
      <c r="K575" s="44">
        <f t="shared" si="139"/>
        <v>900</v>
      </c>
      <c r="L575" s="44">
        <f t="shared" si="140"/>
        <v>232.345</v>
      </c>
      <c r="M575" s="42" t="s">
        <v>2338</v>
      </c>
      <c r="N575" s="52" t="str">
        <f t="shared" si="134"/>
        <v>(11,'PS-11-GPDF','Poste de Sectionnement n°11 GPDF','Monday-01-jj','Monday-01-jj',,1,),</v>
      </c>
    </row>
    <row r="576" spans="1:14" ht="20.100000000000001" customHeight="1" x14ac:dyDescent="0.25">
      <c r="A576" s="39">
        <v>12</v>
      </c>
      <c r="B576" s="40" t="str">
        <f t="shared" si="141"/>
        <v>PS-12-GPDF</v>
      </c>
      <c r="C576" s="52" t="str">
        <f t="shared" si="142"/>
        <v>Poste de Sectionnement n°12 GPDF</v>
      </c>
      <c r="D576" s="19">
        <v>35065</v>
      </c>
      <c r="E576" s="19">
        <v>35065</v>
      </c>
      <c r="F576" s="42"/>
      <c r="G576" s="42">
        <v>1</v>
      </c>
      <c r="H576" s="42"/>
      <c r="I576" s="42" t="s">
        <v>438</v>
      </c>
      <c r="J576" s="42" t="s">
        <v>2326</v>
      </c>
      <c r="K576" s="44">
        <f t="shared" si="139"/>
        <v>956</v>
      </c>
      <c r="L576" s="44">
        <f t="shared" si="140"/>
        <v>249.97200000000001</v>
      </c>
      <c r="M576" s="42" t="s">
        <v>2339</v>
      </c>
      <c r="N576" s="52" t="str">
        <f t="shared" si="134"/>
        <v>(12,'PS-12-GPDF','Poste de Sectionnement n°12 GPDF','Monday-01-jj','Monday-01-jj',,1,),</v>
      </c>
    </row>
    <row r="577" spans="1:14" ht="20.100000000000001" customHeight="1" x14ac:dyDescent="0.25">
      <c r="A577" s="39">
        <v>13</v>
      </c>
      <c r="B577" s="40" t="str">
        <f t="shared" si="141"/>
        <v>PS-13-GPDF</v>
      </c>
      <c r="C577" s="52" t="str">
        <f t="shared" si="142"/>
        <v>Poste de Sectionnement n°13 GPDF</v>
      </c>
      <c r="D577" s="19">
        <v>35065</v>
      </c>
      <c r="E577" s="19">
        <v>35065</v>
      </c>
      <c r="F577" s="42"/>
      <c r="G577" s="42">
        <v>1</v>
      </c>
      <c r="H577" s="42"/>
      <c r="I577" s="42" t="s">
        <v>438</v>
      </c>
      <c r="J577" s="42" t="s">
        <v>2327</v>
      </c>
      <c r="K577" s="44">
        <f t="shared" si="139"/>
        <v>1082</v>
      </c>
      <c r="L577" s="44">
        <f t="shared" si="140"/>
        <v>293.90100000000001</v>
      </c>
      <c r="M577" s="42" t="s">
        <v>2340</v>
      </c>
      <c r="N577" s="52" t="str">
        <f t="shared" si="134"/>
        <v>(13,'PS-13-GPDF','Poste de Sectionnement n°13 GPDF','Monday-01-jj','Monday-01-jj',,1,),</v>
      </c>
    </row>
    <row r="578" spans="1:14" ht="20.100000000000001" customHeight="1" x14ac:dyDescent="0.25">
      <c r="A578" s="39">
        <v>14</v>
      </c>
      <c r="B578" s="40" t="str">
        <f t="shared" si="141"/>
        <v>PS-14-GPDF</v>
      </c>
      <c r="C578" s="52" t="str">
        <f t="shared" si="142"/>
        <v>Poste de Sectionnement n°14 GPDF</v>
      </c>
      <c r="D578" s="19">
        <v>35065</v>
      </c>
      <c r="E578" s="19">
        <v>35065</v>
      </c>
      <c r="F578" s="42"/>
      <c r="G578" s="42">
        <v>1</v>
      </c>
      <c r="H578" s="42"/>
      <c r="I578" s="42" t="s">
        <v>438</v>
      </c>
      <c r="J578" s="42" t="s">
        <v>2328</v>
      </c>
      <c r="K578" s="44">
        <f t="shared" si="139"/>
        <v>1241</v>
      </c>
      <c r="L578" s="44">
        <f t="shared" si="140"/>
        <v>314.53300000000002</v>
      </c>
      <c r="M578" s="42" t="s">
        <v>2341</v>
      </c>
      <c r="N578" s="52" t="str">
        <f t="shared" si="134"/>
        <v>(14,'PS-14-GPDF','Poste de Sectionnement n°14 GPDF','Monday-01-jj','Monday-01-jj',,1,),</v>
      </c>
    </row>
    <row r="579" spans="1:14" ht="20.100000000000001" customHeight="1" x14ac:dyDescent="0.25">
      <c r="A579" s="39">
        <v>15</v>
      </c>
      <c r="B579" s="40" t="str">
        <f t="shared" si="141"/>
        <v>PS-15-GPDF</v>
      </c>
      <c r="C579" s="52" t="str">
        <f t="shared" si="142"/>
        <v>Poste de Sectionnement n°15 GPDF</v>
      </c>
      <c r="D579" s="19">
        <v>35065</v>
      </c>
      <c r="E579" s="19">
        <v>35065</v>
      </c>
      <c r="F579" s="42"/>
      <c r="G579" s="42">
        <v>1</v>
      </c>
      <c r="H579" s="42"/>
      <c r="I579" s="42" t="s">
        <v>438</v>
      </c>
      <c r="J579" s="42" t="s">
        <v>2329</v>
      </c>
      <c r="K579" s="44">
        <f t="shared" si="139"/>
        <v>1253.5</v>
      </c>
      <c r="L579" s="44">
        <f t="shared" si="140"/>
        <v>326.21699999999998</v>
      </c>
      <c r="M579" s="42" t="s">
        <v>2341</v>
      </c>
      <c r="N579" s="52" t="str">
        <f t="shared" si="134"/>
        <v>(15,'PS-15-GPDF','Poste de Sectionnement n°15 GPDF','Monday-01-jj','Monday-01-jj',,1,),</v>
      </c>
    </row>
    <row r="580" spans="1:14" ht="20.100000000000001" customHeight="1" x14ac:dyDescent="0.25">
      <c r="A580" s="39">
        <v>16</v>
      </c>
      <c r="B580" s="40" t="str">
        <f t="shared" si="141"/>
        <v>PS-16-GPDF</v>
      </c>
      <c r="C580" s="52" t="str">
        <f t="shared" si="142"/>
        <v>Poste de Sectionnement n°16 GPDF</v>
      </c>
      <c r="D580" s="19">
        <v>35065</v>
      </c>
      <c r="E580" s="19">
        <v>35065</v>
      </c>
      <c r="F580" s="42"/>
      <c r="G580" s="42">
        <v>1</v>
      </c>
      <c r="H580" s="42"/>
      <c r="I580" s="42" t="s">
        <v>438</v>
      </c>
      <c r="J580" s="42" t="s">
        <v>2330</v>
      </c>
      <c r="K580" s="44">
        <f t="shared" si="139"/>
        <v>1165.5899999999999</v>
      </c>
      <c r="L580" s="44">
        <f t="shared" si="140"/>
        <v>361.74</v>
      </c>
      <c r="M580" s="42" t="s">
        <v>2342</v>
      </c>
      <c r="N580" s="52" t="str">
        <f t="shared" si="134"/>
        <v>(16,'PS-16-GPDF','Poste de Sectionnement n°16 GPDF','Monday-01-jj','Monday-01-jj',,1,),</v>
      </c>
    </row>
    <row r="581" spans="1:14" ht="20.100000000000001" customHeight="1" x14ac:dyDescent="0.25">
      <c r="A581" s="39">
        <v>17</v>
      </c>
      <c r="B581" s="40" t="str">
        <f t="shared" si="141"/>
        <v>PS-17-GPDF</v>
      </c>
      <c r="C581" s="52" t="str">
        <f t="shared" si="142"/>
        <v>Poste de Sectionnement n°17 GPDF</v>
      </c>
      <c r="D581" s="19">
        <v>35065</v>
      </c>
      <c r="E581" s="19">
        <v>35065</v>
      </c>
      <c r="F581" s="42"/>
      <c r="G581" s="42">
        <v>1</v>
      </c>
      <c r="H581" s="42"/>
      <c r="I581" s="42" t="s">
        <v>438</v>
      </c>
      <c r="J581" s="42" t="s">
        <v>2331</v>
      </c>
      <c r="K581" s="44">
        <f t="shared" si="139"/>
        <v>1126.5899999999999</v>
      </c>
      <c r="L581" s="44">
        <f t="shared" si="140"/>
        <v>381.459</v>
      </c>
      <c r="M581" s="42" t="s">
        <v>2343</v>
      </c>
      <c r="N581" s="52" t="str">
        <f t="shared" si="134"/>
        <v>(17,'PS-17-GPDF','Poste de Sectionnement n°17 GPDF','Monday-01-jj','Monday-01-jj',,1,),</v>
      </c>
    </row>
    <row r="582" spans="1:14" ht="20.100000000000001" customHeight="1" x14ac:dyDescent="0.25">
      <c r="A582" s="39">
        <v>18</v>
      </c>
      <c r="B582" s="40" t="str">
        <f t="shared" si="141"/>
        <v>PS-18-GPDF</v>
      </c>
      <c r="C582" s="52" t="str">
        <f t="shared" si="142"/>
        <v>Poste de Sectionnement n°18 GPDF</v>
      </c>
      <c r="D582" s="19">
        <v>35065</v>
      </c>
      <c r="E582" s="19">
        <v>35065</v>
      </c>
      <c r="F582" s="42"/>
      <c r="G582" s="42">
        <v>1</v>
      </c>
      <c r="H582" s="42"/>
      <c r="I582" s="42" t="s">
        <v>438</v>
      </c>
      <c r="J582" s="42" t="s">
        <v>2332</v>
      </c>
      <c r="K582" s="44">
        <f t="shared" si="139"/>
        <v>1092.5899999999999</v>
      </c>
      <c r="L582" s="44">
        <f t="shared" si="140"/>
        <v>401.37900000000002</v>
      </c>
      <c r="M582" s="42" t="s">
        <v>2343</v>
      </c>
      <c r="N582" s="52" t="str">
        <f t="shared" si="134"/>
        <v>(18,'PS-18-GPDF','Poste de Sectionnement n°18 GPDF','Monday-01-jj','Monday-01-jj',,1,),</v>
      </c>
    </row>
    <row r="583" spans="1:14" ht="20.100000000000001" customHeight="1" x14ac:dyDescent="0.25">
      <c r="A583" s="39">
        <v>19</v>
      </c>
      <c r="B583" s="40" t="str">
        <f t="shared" si="141"/>
        <v>PS-19-GPDF</v>
      </c>
      <c r="C583" s="52" t="str">
        <f t="shared" si="142"/>
        <v>Poste de Sectionnement n°19 GPDF</v>
      </c>
      <c r="D583" s="19">
        <v>35065</v>
      </c>
      <c r="E583" s="19">
        <v>35065</v>
      </c>
      <c r="F583" s="42"/>
      <c r="G583" s="42">
        <v>1</v>
      </c>
      <c r="H583" s="42"/>
      <c r="I583" s="42" t="s">
        <v>438</v>
      </c>
      <c r="J583" s="42" t="s">
        <v>2333</v>
      </c>
      <c r="K583" s="44">
        <f t="shared" si="139"/>
        <v>1084.1199999999999</v>
      </c>
      <c r="L583" s="44">
        <f t="shared" si="140"/>
        <v>421.19</v>
      </c>
      <c r="M583" s="42" t="s">
        <v>2343</v>
      </c>
      <c r="N583" s="52" t="str">
        <f t="shared" si="134"/>
        <v>(19,'PS-19-GPDF','Poste de Sectionnement n°19 GPDF','Monday-01-jj','Monday-01-jj',,1,),</v>
      </c>
    </row>
    <row r="584" spans="1:14" ht="20.100000000000001" customHeight="1" x14ac:dyDescent="0.25">
      <c r="A584" s="39">
        <v>20</v>
      </c>
      <c r="B584" s="40" t="str">
        <f t="shared" si="141"/>
        <v>PS-20-GPDF</v>
      </c>
      <c r="C584" s="52" t="str">
        <f t="shared" si="142"/>
        <v>Poste de Sectionnement n°20 GPDF</v>
      </c>
      <c r="D584" s="19">
        <v>35065</v>
      </c>
      <c r="E584" s="19">
        <v>35065</v>
      </c>
      <c r="F584" s="42"/>
      <c r="G584" s="42">
        <v>1</v>
      </c>
      <c r="H584" s="42"/>
      <c r="I584" s="42" t="s">
        <v>438</v>
      </c>
      <c r="J584" s="42" t="s">
        <v>2334</v>
      </c>
      <c r="K584" s="44">
        <f t="shared" si="139"/>
        <v>1090.8</v>
      </c>
      <c r="L584" s="44">
        <f t="shared" si="140"/>
        <v>460.99900000000002</v>
      </c>
      <c r="M584" s="42" t="s">
        <v>2344</v>
      </c>
      <c r="N584" s="52" t="str">
        <f t="shared" si="134"/>
        <v>(20,'PS-20-GPDF','Poste de Sectionnement n°20 GPDF','Monday-01-jj','Monday-01-jj',,1,),</v>
      </c>
    </row>
    <row r="585" spans="1:14" ht="20.100000000000001" customHeight="1" x14ac:dyDescent="0.25">
      <c r="A585" s="39">
        <v>21</v>
      </c>
      <c r="B585" s="40" t="str">
        <f t="shared" si="141"/>
        <v>PS-21-GPDF</v>
      </c>
      <c r="C585" s="52" t="str">
        <f t="shared" si="142"/>
        <v>Poste de Sectionnement n°21 GPDF</v>
      </c>
      <c r="D585" s="19">
        <v>35065</v>
      </c>
      <c r="E585" s="19">
        <v>35065</v>
      </c>
      <c r="F585" s="42"/>
      <c r="G585" s="42">
        <v>1</v>
      </c>
      <c r="H585" s="42"/>
      <c r="I585" s="42" t="s">
        <v>438</v>
      </c>
      <c r="J585" s="42" t="s">
        <v>2335</v>
      </c>
      <c r="K585" s="44">
        <f t="shared" si="139"/>
        <v>1133.0999999999999</v>
      </c>
      <c r="L585" s="44">
        <f t="shared" si="140"/>
        <v>480.98399999999998</v>
      </c>
      <c r="M585" s="42" t="s">
        <v>2344</v>
      </c>
      <c r="N585" s="52" t="str">
        <f t="shared" si="134"/>
        <v>(21,'PS-21-GPDF','Poste de Sectionnement n°21 GPDF','Monday-01-jj','Monday-01-jj',,1,),</v>
      </c>
    </row>
    <row r="586" spans="1:14" ht="20.100000000000001" customHeight="1" x14ac:dyDescent="0.25">
      <c r="A586" s="39">
        <v>22</v>
      </c>
      <c r="B586" s="40" t="str">
        <f t="shared" si="141"/>
        <v>PS-22-GPDF</v>
      </c>
      <c r="C586" s="52" t="str">
        <f t="shared" si="142"/>
        <v>Poste de Sectionnement n°22 GPDF</v>
      </c>
      <c r="D586" s="19">
        <v>35065</v>
      </c>
      <c r="E586" s="19">
        <v>35065</v>
      </c>
      <c r="F586" s="42"/>
      <c r="G586" s="42">
        <v>1</v>
      </c>
      <c r="H586" s="42"/>
      <c r="I586" s="42" t="s">
        <v>438</v>
      </c>
      <c r="J586" s="42" t="s">
        <v>2336</v>
      </c>
      <c r="K586" s="44">
        <f t="shared" si="139"/>
        <v>1159.27</v>
      </c>
      <c r="L586" s="44">
        <f t="shared" si="140"/>
        <v>500.697</v>
      </c>
      <c r="M586" s="42" t="s">
        <v>2344</v>
      </c>
      <c r="N586" s="52" t="str">
        <f t="shared" si="134"/>
        <v>(22,'PS-22-GPDF','Poste de Sectionnement n°22 GPDF','Monday-01-jj','Monday-01-jj',,1,),</v>
      </c>
    </row>
    <row r="587" spans="1:14" ht="20.100000000000001" customHeight="1" x14ac:dyDescent="0.25">
      <c r="A587" s="39">
        <v>1</v>
      </c>
      <c r="B587" s="40" t="str">
        <f t="shared" si="141"/>
        <v>PS-01-EGPDF</v>
      </c>
      <c r="C587" s="52" t="str">
        <f t="shared" si="142"/>
        <v>Poste de Sectionnement n°01 EGPDF</v>
      </c>
      <c r="D587" s="19">
        <v>44197</v>
      </c>
      <c r="E587" s="19">
        <v>44197</v>
      </c>
      <c r="F587" s="42"/>
      <c r="G587" s="42">
        <v>1</v>
      </c>
      <c r="H587" s="42"/>
      <c r="I587" s="42" t="s">
        <v>440</v>
      </c>
      <c r="J587" s="42" t="s">
        <v>2345</v>
      </c>
      <c r="K587" s="44">
        <v>1228</v>
      </c>
      <c r="L587" s="44">
        <f>VALUE(SUBSTITUTE(J587,"+",","))</f>
        <v>19.745000000000001</v>
      </c>
      <c r="M587" s="42" t="s">
        <v>2354</v>
      </c>
      <c r="N587" s="52" t="str">
        <f t="shared" si="134"/>
        <v>(1,'PS-01-EGPDF','Poste de Sectionnement n°01 EGPDF','Friday-01-jj','Friday-01-jj',,1,),</v>
      </c>
    </row>
    <row r="588" spans="1:14" ht="20.100000000000001" customHeight="1" x14ac:dyDescent="0.25">
      <c r="A588" s="39">
        <v>2</v>
      </c>
      <c r="B588" s="40" t="str">
        <f t="shared" si="141"/>
        <v>PS-02-EGPDF</v>
      </c>
      <c r="C588" s="52" t="str">
        <f t="shared" si="142"/>
        <v>Poste de Sectionnement n°02 EGPDF</v>
      </c>
      <c r="D588" s="19">
        <v>44197</v>
      </c>
      <c r="E588" s="19">
        <v>44197</v>
      </c>
      <c r="F588" s="42"/>
      <c r="G588" s="42">
        <v>1</v>
      </c>
      <c r="H588" s="42"/>
      <c r="I588" s="42" t="s">
        <v>440</v>
      </c>
      <c r="J588" s="42" t="s">
        <v>2346</v>
      </c>
      <c r="K588" s="44">
        <v>1238</v>
      </c>
      <c r="L588" s="44">
        <f t="shared" ref="L588:L595" si="143">VALUE(SUBSTITUTE(J588,"+",","))</f>
        <v>40.497</v>
      </c>
      <c r="M588" s="42" t="s">
        <v>2355</v>
      </c>
      <c r="N588" s="52" t="str">
        <f t="shared" si="134"/>
        <v>(2,'PS-02-EGPDF','Poste de Sectionnement n°02 EGPDF','Friday-01-jj','Friday-01-jj',,1,),</v>
      </c>
    </row>
    <row r="589" spans="1:14" ht="20.100000000000001" customHeight="1" x14ac:dyDescent="0.25">
      <c r="A589" s="39">
        <v>3</v>
      </c>
      <c r="B589" s="40" t="str">
        <f t="shared" ref="B589:B596" si="144">CONCATENATE("PS-",TEXT(A589,"00"),"-",I589)</f>
        <v>PS-03-EGPDF</v>
      </c>
      <c r="C589" s="52" t="str">
        <f t="shared" ref="C589:C596" si="145">CONCATENATE("Poste de Sectionnement n°",TEXT(A589,"00")," ",I589)</f>
        <v>Poste de Sectionnement n°03 EGPDF</v>
      </c>
      <c r="D589" s="19">
        <v>44197</v>
      </c>
      <c r="E589" s="19">
        <v>44197</v>
      </c>
      <c r="F589" s="42"/>
      <c r="G589" s="42">
        <v>1</v>
      </c>
      <c r="H589" s="42"/>
      <c r="I589" s="42" t="s">
        <v>440</v>
      </c>
      <c r="J589" s="42" t="s">
        <v>2347</v>
      </c>
      <c r="K589" s="44">
        <v>1134</v>
      </c>
      <c r="L589" s="44">
        <f t="shared" si="143"/>
        <v>61.808</v>
      </c>
      <c r="M589" s="42" t="s">
        <v>2355</v>
      </c>
      <c r="N589" s="52" t="str">
        <f t="shared" si="134"/>
        <v>(3,'PS-03-EGPDF','Poste de Sectionnement n°03 EGPDF','Friday-01-jj','Friday-01-jj',,1,),</v>
      </c>
    </row>
    <row r="590" spans="1:14" ht="20.100000000000001" customHeight="1" x14ac:dyDescent="0.25">
      <c r="A590" s="39">
        <v>4</v>
      </c>
      <c r="B590" s="40" t="str">
        <f t="shared" si="144"/>
        <v>PS-04-EGPDF</v>
      </c>
      <c r="C590" s="52" t="str">
        <f t="shared" si="145"/>
        <v>Poste de Sectionnement n°04 EGPDF</v>
      </c>
      <c r="D590" s="19">
        <v>44197</v>
      </c>
      <c r="E590" s="19">
        <v>44197</v>
      </c>
      <c r="F590" s="42"/>
      <c r="G590" s="42">
        <v>1</v>
      </c>
      <c r="H590" s="42"/>
      <c r="I590" s="42" t="s">
        <v>440</v>
      </c>
      <c r="J590" s="42" t="s">
        <v>2348</v>
      </c>
      <c r="K590" s="44">
        <v>1126</v>
      </c>
      <c r="L590" s="44">
        <f t="shared" si="143"/>
        <v>81.701999999999998</v>
      </c>
      <c r="M590" s="42" t="s">
        <v>2355</v>
      </c>
      <c r="N590" s="52" t="str">
        <f t="shared" si="134"/>
        <v>(4,'PS-04-EGPDF','Poste de Sectionnement n°04 EGPDF','Friday-01-jj','Friday-01-jj',,1,),</v>
      </c>
    </row>
    <row r="591" spans="1:14" ht="20.100000000000001" customHeight="1" x14ac:dyDescent="0.25">
      <c r="A591" s="39">
        <v>5</v>
      </c>
      <c r="B591" s="40" t="str">
        <f t="shared" si="144"/>
        <v>PS-05-EGPDF</v>
      </c>
      <c r="C591" s="52" t="str">
        <f t="shared" si="145"/>
        <v>Poste de Sectionnement n°05 EGPDF</v>
      </c>
      <c r="D591" s="19">
        <v>44197</v>
      </c>
      <c r="E591" s="19">
        <v>44197</v>
      </c>
      <c r="F591" s="42"/>
      <c r="G591" s="42">
        <v>1</v>
      </c>
      <c r="H591" s="42"/>
      <c r="I591" s="42" t="s">
        <v>440</v>
      </c>
      <c r="J591" s="42" t="s">
        <v>2349</v>
      </c>
      <c r="K591" s="44">
        <v>1016</v>
      </c>
      <c r="L591" s="44">
        <f t="shared" si="143"/>
        <v>123.54300000000001</v>
      </c>
      <c r="M591" s="42" t="s">
        <v>2356</v>
      </c>
      <c r="N591" s="52" t="str">
        <f t="shared" si="134"/>
        <v>(5,'PS-05-EGPDF','Poste de Sectionnement n°05 EGPDF','Friday-01-jj','Friday-01-jj',,1,),</v>
      </c>
    </row>
    <row r="592" spans="1:14" ht="20.100000000000001" customHeight="1" x14ac:dyDescent="0.25">
      <c r="A592" s="39">
        <v>6</v>
      </c>
      <c r="B592" s="40" t="str">
        <f t="shared" si="144"/>
        <v>PS-06-EGPDF</v>
      </c>
      <c r="C592" s="52" t="str">
        <f t="shared" si="145"/>
        <v>Poste de Sectionnement n°06 EGPDF</v>
      </c>
      <c r="D592" s="19">
        <v>44197</v>
      </c>
      <c r="E592" s="19">
        <v>44197</v>
      </c>
      <c r="F592" s="42"/>
      <c r="G592" s="42">
        <v>1</v>
      </c>
      <c r="H592" s="42"/>
      <c r="I592" s="42" t="s">
        <v>440</v>
      </c>
      <c r="J592" s="42" t="s">
        <v>2350</v>
      </c>
      <c r="K592" s="44">
        <v>664</v>
      </c>
      <c r="L592" s="44">
        <f t="shared" si="143"/>
        <v>142.55600000000001</v>
      </c>
      <c r="M592" s="42" t="s">
        <v>2357</v>
      </c>
      <c r="N592" s="52" t="str">
        <f t="shared" si="134"/>
        <v>(6,'PS-06-EGPDF','Poste de Sectionnement n°06 EGPDF','Friday-01-jj','Friday-01-jj',,1,),</v>
      </c>
    </row>
    <row r="593" spans="1:14" ht="20.100000000000001" customHeight="1" x14ac:dyDescent="0.25">
      <c r="A593" s="39">
        <v>7</v>
      </c>
      <c r="B593" s="40" t="str">
        <f t="shared" si="144"/>
        <v>PS-07-EGPDF</v>
      </c>
      <c r="C593" s="52" t="str">
        <f t="shared" si="145"/>
        <v>Poste de Sectionnement n°07 EGPDF</v>
      </c>
      <c r="D593" s="19">
        <v>44197</v>
      </c>
      <c r="E593" s="19">
        <v>44197</v>
      </c>
      <c r="F593" s="42"/>
      <c r="G593" s="42">
        <v>1</v>
      </c>
      <c r="H593" s="42"/>
      <c r="I593" s="42" t="s">
        <v>440</v>
      </c>
      <c r="J593" s="42" t="s">
        <v>2351</v>
      </c>
      <c r="K593" s="44">
        <v>579</v>
      </c>
      <c r="L593" s="44">
        <f t="shared" si="143"/>
        <v>162.51300000000001</v>
      </c>
      <c r="M593" s="42" t="s">
        <v>2358</v>
      </c>
      <c r="N593" s="52" t="str">
        <f t="shared" si="134"/>
        <v>(7,'PS-07-EGPDF','Poste de Sectionnement n°07 EGPDF','Friday-01-jj','Friday-01-jj',,1,),</v>
      </c>
    </row>
    <row r="594" spans="1:14" ht="20.100000000000001" customHeight="1" x14ac:dyDescent="0.25">
      <c r="A594" s="39">
        <v>8</v>
      </c>
      <c r="B594" s="40" t="str">
        <f t="shared" si="144"/>
        <v>PS-08-EGPDF</v>
      </c>
      <c r="C594" s="52" t="str">
        <f t="shared" si="145"/>
        <v>Poste de Sectionnement n°08 EGPDF</v>
      </c>
      <c r="D594" s="19">
        <v>44197</v>
      </c>
      <c r="E594" s="19">
        <v>44197</v>
      </c>
      <c r="F594" s="42"/>
      <c r="G594" s="42">
        <v>1</v>
      </c>
      <c r="H594" s="42"/>
      <c r="I594" s="42" t="s">
        <v>440</v>
      </c>
      <c r="J594" s="42" t="s">
        <v>2352</v>
      </c>
      <c r="K594" s="44">
        <v>561</v>
      </c>
      <c r="L594" s="44">
        <f t="shared" si="143"/>
        <v>173.44</v>
      </c>
      <c r="M594" s="42" t="s">
        <v>2359</v>
      </c>
      <c r="N594" s="52" t="str">
        <f t="shared" si="134"/>
        <v>(8,'PS-08-EGPDF','Poste de Sectionnement n°08 EGPDF','Friday-01-jj','Friday-01-jj',,1,),</v>
      </c>
    </row>
    <row r="595" spans="1:14" ht="20.100000000000001" customHeight="1" x14ac:dyDescent="0.25">
      <c r="A595" s="39">
        <v>9</v>
      </c>
      <c r="B595" s="40" t="str">
        <f t="shared" si="144"/>
        <v>PS-09-EGPDF</v>
      </c>
      <c r="C595" s="52" t="str">
        <f t="shared" si="145"/>
        <v>Poste de Sectionnement n°09 EGPDF</v>
      </c>
      <c r="D595" s="19">
        <v>44197</v>
      </c>
      <c r="E595" s="19">
        <v>44197</v>
      </c>
      <c r="F595" s="42"/>
      <c r="G595" s="42">
        <v>1</v>
      </c>
      <c r="H595" s="42"/>
      <c r="I595" s="42" t="s">
        <v>440</v>
      </c>
      <c r="J595" s="42" t="s">
        <v>2353</v>
      </c>
      <c r="K595" s="44">
        <v>273</v>
      </c>
      <c r="L595" s="44">
        <f t="shared" si="143"/>
        <v>186.155</v>
      </c>
      <c r="M595" s="42" t="s">
        <v>2360</v>
      </c>
      <c r="N595" s="52" t="str">
        <f t="shared" si="134"/>
        <v>(9,'PS-09-EGPDF','Poste de Sectionnement n°09 EGPDF','Friday-01-jj','Friday-01-jj',,1,),</v>
      </c>
    </row>
    <row r="596" spans="1:14" ht="20.100000000000001" customHeight="1" x14ac:dyDescent="0.25">
      <c r="A596" s="39">
        <v>1</v>
      </c>
      <c r="B596" s="40" t="str">
        <f t="shared" si="144"/>
        <v>PS-01-GO1</v>
      </c>
      <c r="C596" s="52" t="str">
        <f t="shared" si="145"/>
        <v>Poste de Sectionnement n°01 GO1</v>
      </c>
      <c r="D596" s="19">
        <v>29952</v>
      </c>
      <c r="E596" s="19">
        <v>29952</v>
      </c>
      <c r="F596" s="42"/>
      <c r="G596" s="42">
        <v>1</v>
      </c>
      <c r="H596" s="42"/>
      <c r="I596" s="42" t="s">
        <v>443</v>
      </c>
      <c r="J596" s="42" t="s">
        <v>2395</v>
      </c>
      <c r="K596" s="44">
        <f t="shared" ref="K596" si="146">VALUE(RIGHT(J596,LEN(J596)-SEARCH("/",J596)))</f>
        <v>714.55</v>
      </c>
      <c r="L596" s="44">
        <f t="shared" ref="L596" si="147">VALUE(SUBSTITUTE(LEFT(J596,SEARCH("/",J596)-1),"+",","))</f>
        <v>40.036999999999999</v>
      </c>
      <c r="M596" s="42" t="s">
        <v>2078</v>
      </c>
      <c r="N596" s="52" t="str">
        <f t="shared" si="134"/>
        <v>(1,'PS-01-GO1','Poste de Sectionnement n°01 GO1','Friday-01-jj','Friday-01-jj',,1,),</v>
      </c>
    </row>
    <row r="597" spans="1:14" ht="20.100000000000001" customHeight="1" x14ac:dyDescent="0.25">
      <c r="A597" s="39">
        <v>2</v>
      </c>
      <c r="B597" s="40" t="str">
        <f t="shared" ref="B597:B608" si="148">CONCATENATE("PS-",TEXT(A597,"00"),"-",I597)</f>
        <v>PS-02-GO1</v>
      </c>
      <c r="C597" s="52" t="str">
        <f t="shared" ref="C597:C608" si="149">CONCATENATE("Poste de Sectionnement n°",TEXT(A597,"00")," ",I597)</f>
        <v>Poste de Sectionnement n°02 GO1</v>
      </c>
      <c r="D597" s="19">
        <v>29952</v>
      </c>
      <c r="E597" s="19">
        <v>29952</v>
      </c>
      <c r="F597" s="42"/>
      <c r="G597" s="42">
        <v>1</v>
      </c>
      <c r="H597" s="42"/>
      <c r="I597" s="42" t="s">
        <v>443</v>
      </c>
      <c r="J597" s="42" t="s">
        <v>2396</v>
      </c>
      <c r="K597" s="44">
        <f t="shared" ref="K597:K608" si="150">VALUE(RIGHT(J597,LEN(J597)-SEARCH("/",J597)))</f>
        <v>740.74</v>
      </c>
      <c r="L597" s="44">
        <f t="shared" ref="L597:L608" si="151">VALUE(SUBSTITUTE(LEFT(J597,SEARCH("/",J597)-1),"+",","))</f>
        <v>75.981999999999999</v>
      </c>
      <c r="M597" s="42" t="s">
        <v>2078</v>
      </c>
      <c r="N597" s="52" t="str">
        <f t="shared" si="134"/>
        <v>(2,'PS-02-GO1','Poste de Sectionnement n°02 GO1','Friday-01-jj','Friday-01-jj',,1,),</v>
      </c>
    </row>
    <row r="598" spans="1:14" ht="20.100000000000001" customHeight="1" x14ac:dyDescent="0.25">
      <c r="A598" s="39">
        <v>3</v>
      </c>
      <c r="B598" s="40" t="str">
        <f t="shared" si="148"/>
        <v>PS-03-GO1</v>
      </c>
      <c r="C598" s="52" t="str">
        <f t="shared" si="149"/>
        <v>Poste de Sectionnement n°03 GO1</v>
      </c>
      <c r="D598" s="19">
        <v>29952</v>
      </c>
      <c r="E598" s="19">
        <v>29952</v>
      </c>
      <c r="F598" s="42"/>
      <c r="G598" s="42">
        <v>1</v>
      </c>
      <c r="H598" s="42"/>
      <c r="I598" s="42" t="s">
        <v>443</v>
      </c>
      <c r="J598" s="42" t="s">
        <v>2397</v>
      </c>
      <c r="K598" s="44">
        <f t="shared" si="150"/>
        <v>742.12</v>
      </c>
      <c r="L598" s="44">
        <f t="shared" si="151"/>
        <v>112.2</v>
      </c>
      <c r="M598" s="42" t="s">
        <v>2174</v>
      </c>
      <c r="N598" s="52" t="str">
        <f t="shared" ref="N598:N661" si="152">CONCATENATE("(",A598,",'",B598,"','",C598,"','",TEXT(D598,"aaaa-mm-jj"),"','",TEXT(E598,"aaaa-mm-jj"),"',",F598,",",G598,",",H598,"),")</f>
        <v>(3,'PS-03-GO1','Poste de Sectionnement n°03 GO1','Friday-01-jj','Friday-01-jj',,1,),</v>
      </c>
    </row>
    <row r="599" spans="1:14" ht="20.100000000000001" customHeight="1" x14ac:dyDescent="0.25">
      <c r="A599" s="39">
        <v>4</v>
      </c>
      <c r="B599" s="40" t="str">
        <f t="shared" si="148"/>
        <v>PS-04-GO1</v>
      </c>
      <c r="C599" s="52" t="str">
        <f t="shared" si="149"/>
        <v>Poste de Sectionnement n°04 GO1</v>
      </c>
      <c r="D599" s="19">
        <v>29952</v>
      </c>
      <c r="E599" s="19">
        <v>29952</v>
      </c>
      <c r="F599" s="42"/>
      <c r="G599" s="42">
        <v>1</v>
      </c>
      <c r="H599" s="42"/>
      <c r="I599" s="42" t="s">
        <v>443</v>
      </c>
      <c r="J599" s="42" t="s">
        <v>2398</v>
      </c>
      <c r="K599" s="44">
        <f t="shared" si="150"/>
        <v>566.24</v>
      </c>
      <c r="L599" s="44">
        <f t="shared" si="151"/>
        <v>146.94200000000001</v>
      </c>
      <c r="M599" s="42" t="s">
        <v>2439</v>
      </c>
      <c r="N599" s="52" t="str">
        <f t="shared" si="152"/>
        <v>(4,'PS-04-GO1','Poste de Sectionnement n°04 GO1','Friday-01-jj','Friday-01-jj',,1,),</v>
      </c>
    </row>
    <row r="600" spans="1:14" ht="20.100000000000001" customHeight="1" x14ac:dyDescent="0.25">
      <c r="A600" s="39">
        <v>5</v>
      </c>
      <c r="B600" s="40" t="str">
        <f t="shared" si="148"/>
        <v>PS-05-GO1</v>
      </c>
      <c r="C600" s="52" t="str">
        <f t="shared" si="149"/>
        <v>Poste de Sectionnement n°05 GO1</v>
      </c>
      <c r="D600" s="19">
        <v>29952</v>
      </c>
      <c r="E600" s="19">
        <v>29952</v>
      </c>
      <c r="F600" s="42"/>
      <c r="G600" s="42">
        <v>1</v>
      </c>
      <c r="H600" s="42"/>
      <c r="I600" s="42" t="s">
        <v>443</v>
      </c>
      <c r="J600" s="42" t="s">
        <v>2399</v>
      </c>
      <c r="K600" s="44">
        <f t="shared" si="150"/>
        <v>351.21</v>
      </c>
      <c r="L600" s="44">
        <f t="shared" si="151"/>
        <v>208.33</v>
      </c>
      <c r="M600" s="42" t="s">
        <v>2092</v>
      </c>
      <c r="N600" s="52" t="str">
        <f t="shared" si="152"/>
        <v>(5,'PS-05-GO1','Poste de Sectionnement n°05 GO1','Friday-01-jj','Friday-01-jj',,1,),</v>
      </c>
    </row>
    <row r="601" spans="1:14" ht="20.100000000000001" customHeight="1" x14ac:dyDescent="0.25">
      <c r="A601" s="39">
        <v>6</v>
      </c>
      <c r="B601" s="40" t="str">
        <f t="shared" si="148"/>
        <v>PS-06-GO1</v>
      </c>
      <c r="C601" s="52" t="str">
        <f t="shared" si="149"/>
        <v>Poste de Sectionnement n°06 GO1</v>
      </c>
      <c r="D601" s="19">
        <v>29952</v>
      </c>
      <c r="E601" s="19">
        <v>29952</v>
      </c>
      <c r="F601" s="42"/>
      <c r="G601" s="42">
        <v>1</v>
      </c>
      <c r="H601" s="42"/>
      <c r="I601" s="42" t="s">
        <v>443</v>
      </c>
      <c r="J601" s="42" t="s">
        <v>2400</v>
      </c>
      <c r="K601" s="44">
        <f t="shared" si="150"/>
        <v>225.5</v>
      </c>
      <c r="L601" s="44">
        <f t="shared" si="151"/>
        <v>246.458</v>
      </c>
      <c r="M601" s="42" t="s">
        <v>2092</v>
      </c>
      <c r="N601" s="52" t="str">
        <f t="shared" si="152"/>
        <v>(6,'PS-06-GO1','Poste de Sectionnement n°06 GO1','Friday-01-jj','Friday-01-jj',,1,),</v>
      </c>
    </row>
    <row r="602" spans="1:14" ht="20.100000000000001" customHeight="1" x14ac:dyDescent="0.25">
      <c r="A602" s="39">
        <v>7</v>
      </c>
      <c r="B602" s="40" t="str">
        <f t="shared" si="148"/>
        <v>PS-07-GO1</v>
      </c>
      <c r="C602" s="52" t="str">
        <f t="shared" si="149"/>
        <v>Poste de Sectionnement n°07 GO1</v>
      </c>
      <c r="D602" s="19">
        <v>29952</v>
      </c>
      <c r="E602" s="19">
        <v>29952</v>
      </c>
      <c r="F602" s="42"/>
      <c r="G602" s="42">
        <v>1</v>
      </c>
      <c r="H602" s="42"/>
      <c r="I602" s="42" t="s">
        <v>443</v>
      </c>
      <c r="J602" s="42" t="s">
        <v>2401</v>
      </c>
      <c r="K602" s="44">
        <f t="shared" si="150"/>
        <v>101.16</v>
      </c>
      <c r="L602" s="44">
        <f t="shared" si="151"/>
        <v>283.96499999999997</v>
      </c>
      <c r="M602" s="42" t="s">
        <v>2440</v>
      </c>
      <c r="N602" s="52" t="str">
        <f t="shared" si="152"/>
        <v>(7,'PS-07-GO1','Poste de Sectionnement n°07 GO1','Friday-01-jj','Friday-01-jj',,1,),</v>
      </c>
    </row>
    <row r="603" spans="1:14" ht="20.100000000000001" customHeight="1" x14ac:dyDescent="0.25">
      <c r="A603" s="39">
        <v>8</v>
      </c>
      <c r="B603" s="40" t="str">
        <f t="shared" si="148"/>
        <v>PS-08-GO1</v>
      </c>
      <c r="C603" s="52" t="str">
        <f t="shared" si="149"/>
        <v>Poste de Sectionnement n°08 GO1</v>
      </c>
      <c r="D603" s="19">
        <v>29952</v>
      </c>
      <c r="E603" s="19">
        <v>29952</v>
      </c>
      <c r="F603" s="42"/>
      <c r="G603" s="42">
        <v>1</v>
      </c>
      <c r="H603" s="42"/>
      <c r="I603" s="42" t="s">
        <v>443</v>
      </c>
      <c r="J603" s="42" t="s">
        <v>2402</v>
      </c>
      <c r="K603" s="44">
        <f t="shared" si="150"/>
        <v>19.03</v>
      </c>
      <c r="L603" s="44">
        <f t="shared" si="151"/>
        <v>319.20499999999998</v>
      </c>
      <c r="M603" s="42" t="s">
        <v>861</v>
      </c>
      <c r="N603" s="52" t="str">
        <f t="shared" si="152"/>
        <v>(8,'PS-08-GO1','Poste de Sectionnement n°08 GO1','Friday-01-jj','Friday-01-jj',,1,),</v>
      </c>
    </row>
    <row r="604" spans="1:14" ht="20.100000000000001" customHeight="1" x14ac:dyDescent="0.25">
      <c r="A604" s="39">
        <v>9</v>
      </c>
      <c r="B604" s="40" t="str">
        <f t="shared" si="148"/>
        <v>PS-09-GO1</v>
      </c>
      <c r="C604" s="52" t="str">
        <f t="shared" si="149"/>
        <v>Poste de Sectionnement n°09 GO1</v>
      </c>
      <c r="D604" s="19">
        <v>29952</v>
      </c>
      <c r="E604" s="19">
        <v>29952</v>
      </c>
      <c r="F604" s="42"/>
      <c r="G604" s="42">
        <v>1</v>
      </c>
      <c r="H604" s="42"/>
      <c r="I604" s="42" t="s">
        <v>443</v>
      </c>
      <c r="J604" s="42" t="s">
        <v>2403</v>
      </c>
      <c r="K604" s="44">
        <f t="shared" si="150"/>
        <v>35.29</v>
      </c>
      <c r="L604" s="44">
        <f t="shared" si="151"/>
        <v>375.601</v>
      </c>
      <c r="M604" s="42" t="s">
        <v>2441</v>
      </c>
      <c r="N604" s="52" t="str">
        <f t="shared" si="152"/>
        <v>(9,'PS-09-GO1','Poste de Sectionnement n°09 GO1','Friday-01-jj','Friday-01-jj',,1,),</v>
      </c>
    </row>
    <row r="605" spans="1:14" ht="20.100000000000001" customHeight="1" x14ac:dyDescent="0.25">
      <c r="A605" s="39">
        <v>10</v>
      </c>
      <c r="B605" s="40" t="str">
        <f t="shared" si="148"/>
        <v>PS-10-GO1</v>
      </c>
      <c r="C605" s="52" t="str">
        <f t="shared" si="149"/>
        <v>Poste de Sectionnement n°10 GO1</v>
      </c>
      <c r="D605" s="19">
        <v>29952</v>
      </c>
      <c r="E605" s="19">
        <v>29952</v>
      </c>
      <c r="F605" s="42"/>
      <c r="G605" s="42">
        <v>1</v>
      </c>
      <c r="H605" s="42"/>
      <c r="I605" s="42" t="s">
        <v>443</v>
      </c>
      <c r="J605" s="42" t="s">
        <v>2404</v>
      </c>
      <c r="K605" s="44">
        <f t="shared" si="150"/>
        <v>59.32</v>
      </c>
      <c r="L605" s="44">
        <f t="shared" si="151"/>
        <v>403.90899999999999</v>
      </c>
      <c r="M605" s="42" t="s">
        <v>2442</v>
      </c>
      <c r="N605" s="52" t="str">
        <f t="shared" si="152"/>
        <v>(10,'PS-10-GO1','Poste de Sectionnement n°10 GO1','Friday-01-jj','Friday-01-jj',,1,),</v>
      </c>
    </row>
    <row r="606" spans="1:14" ht="20.100000000000001" customHeight="1" x14ac:dyDescent="0.25">
      <c r="A606" s="39">
        <v>11</v>
      </c>
      <c r="B606" s="40" t="str">
        <f t="shared" si="148"/>
        <v>PS-11-GO1</v>
      </c>
      <c r="C606" s="52" t="str">
        <f t="shared" si="149"/>
        <v>Poste de Sectionnement n°11 GO1</v>
      </c>
      <c r="D606" s="19">
        <v>29952</v>
      </c>
      <c r="E606" s="19">
        <v>29952</v>
      </c>
      <c r="F606" s="42"/>
      <c r="G606" s="42">
        <v>1</v>
      </c>
      <c r="H606" s="42"/>
      <c r="I606" s="42" t="s">
        <v>443</v>
      </c>
      <c r="J606" s="42" t="s">
        <v>2405</v>
      </c>
      <c r="K606" s="44">
        <f t="shared" si="150"/>
        <v>135.97</v>
      </c>
      <c r="L606" s="44">
        <f t="shared" si="151"/>
        <v>432.95</v>
      </c>
      <c r="M606" s="42" t="s">
        <v>2442</v>
      </c>
      <c r="N606" s="52" t="str">
        <f t="shared" si="152"/>
        <v>(11,'PS-11-GO1','Poste de Sectionnement n°11 GO1','Friday-01-jj','Friday-01-jj',,1,),</v>
      </c>
    </row>
    <row r="607" spans="1:14" ht="20.100000000000001" customHeight="1" x14ac:dyDescent="0.25">
      <c r="A607" s="39">
        <v>12</v>
      </c>
      <c r="B607" s="40" t="str">
        <f t="shared" si="148"/>
        <v>PS-12-GO1</v>
      </c>
      <c r="C607" s="52" t="str">
        <f t="shared" si="149"/>
        <v>Poste de Sectionnement n°12 GO1</v>
      </c>
      <c r="D607" s="19">
        <v>29952</v>
      </c>
      <c r="E607" s="19">
        <v>29952</v>
      </c>
      <c r="F607" s="42"/>
      <c r="G607" s="42">
        <v>1</v>
      </c>
      <c r="H607" s="42"/>
      <c r="I607" s="42" t="s">
        <v>443</v>
      </c>
      <c r="J607" s="42" t="s">
        <v>2406</v>
      </c>
      <c r="K607" s="44">
        <f t="shared" si="150"/>
        <v>425.85</v>
      </c>
      <c r="L607" s="44">
        <f t="shared" si="151"/>
        <v>489.82499999999999</v>
      </c>
      <c r="M607" s="42" t="s">
        <v>2443</v>
      </c>
      <c r="N607" s="52" t="str">
        <f t="shared" si="152"/>
        <v>(12,'PS-12-GO1','Poste de Sectionnement n°12 GO1','Friday-01-jj','Friday-01-jj',,1,),</v>
      </c>
    </row>
    <row r="608" spans="1:14" ht="20.100000000000001" customHeight="1" x14ac:dyDescent="0.25">
      <c r="A608" s="39">
        <v>13</v>
      </c>
      <c r="B608" s="40" t="str">
        <f t="shared" si="148"/>
        <v>PS-13-GO1</v>
      </c>
      <c r="C608" s="52" t="str">
        <f t="shared" si="149"/>
        <v>Poste de Sectionnement n°13 GO1</v>
      </c>
      <c r="D608" s="19">
        <v>29952</v>
      </c>
      <c r="E608" s="19">
        <v>29952</v>
      </c>
      <c r="F608" s="42"/>
      <c r="G608" s="42">
        <v>1</v>
      </c>
      <c r="H608" s="42"/>
      <c r="I608" s="42" t="s">
        <v>443</v>
      </c>
      <c r="J608" s="42" t="s">
        <v>2407</v>
      </c>
      <c r="K608" s="44">
        <f t="shared" si="150"/>
        <v>704.82</v>
      </c>
      <c r="L608" s="44">
        <f t="shared" si="151"/>
        <v>519.673</v>
      </c>
      <c r="M608" s="42" t="s">
        <v>2444</v>
      </c>
      <c r="N608" s="52" t="str">
        <f t="shared" si="152"/>
        <v>(13,'PS-13-GO1','Poste de Sectionnement n°13 GO1','Friday-01-jj','Friday-01-jj',,1,),</v>
      </c>
    </row>
    <row r="609" spans="1:14" ht="20.100000000000001" customHeight="1" x14ac:dyDescent="0.25">
      <c r="A609" s="39">
        <v>1</v>
      </c>
      <c r="B609" s="40" t="str">
        <f t="shared" ref="B609" si="153">CONCATENATE("PS-",TEXT(A609,"00"),"-",I609)</f>
        <v>PS-01-GO2</v>
      </c>
      <c r="C609" s="52" t="str">
        <f t="shared" ref="C609" si="154">CONCATENATE("Poste de Sectionnement n°",TEXT(A609,"00")," ",I609)</f>
        <v>Poste de Sectionnement n°01 GO2</v>
      </c>
      <c r="D609" s="19">
        <v>31778</v>
      </c>
      <c r="E609" s="19">
        <v>31778</v>
      </c>
      <c r="F609" s="42"/>
      <c r="G609" s="42">
        <v>1</v>
      </c>
      <c r="H609" s="42"/>
      <c r="I609" s="42" t="s">
        <v>445</v>
      </c>
      <c r="J609" s="42" t="s">
        <v>2408</v>
      </c>
      <c r="K609" s="44">
        <f t="shared" ref="K609:K640" si="155">VALUE(RIGHT(J609,LEN(J609)-SEARCH("/",J609)))</f>
        <v>786.68</v>
      </c>
      <c r="L609" s="44">
        <f t="shared" ref="L609:L640" si="156">VALUE(SUBSTITUTE(LEFT(J609,SEARCH("/",J609)-1),"+",","))</f>
        <v>20.369</v>
      </c>
      <c r="M609" s="42" t="s">
        <v>798</v>
      </c>
      <c r="N609" s="52" t="str">
        <f t="shared" si="152"/>
        <v>(1,'PS-01-GO2','Poste de Sectionnement n°01 GO2','Thursday-01-jj','Thursday-01-jj',,1,),</v>
      </c>
    </row>
    <row r="610" spans="1:14" ht="20.100000000000001" customHeight="1" x14ac:dyDescent="0.25">
      <c r="A610" s="39">
        <v>1</v>
      </c>
      <c r="B610" s="40" t="str">
        <f t="shared" ref="B610:B622" si="157">CONCATENATE("PS-",TEXT(A610,"00"),"-",I610)</f>
        <v>PS-01-GO2</v>
      </c>
      <c r="C610" s="52" t="str">
        <f t="shared" ref="C610:C622" si="158">CONCATENATE("Poste de Sectionnement n°",TEXT(A610,"00")," ",I610)</f>
        <v>Poste de Sectionnement n°01 GO2</v>
      </c>
      <c r="D610" s="19">
        <v>31778</v>
      </c>
      <c r="E610" s="19">
        <v>31778</v>
      </c>
      <c r="F610" s="42"/>
      <c r="G610" s="42">
        <v>1</v>
      </c>
      <c r="H610" s="42"/>
      <c r="I610" s="42" t="s">
        <v>445</v>
      </c>
      <c r="J610" s="42" t="s">
        <v>2409</v>
      </c>
      <c r="K610" s="44">
        <f t="shared" si="155"/>
        <v>719.48</v>
      </c>
      <c r="L610" s="44">
        <f t="shared" si="156"/>
        <v>39.887</v>
      </c>
      <c r="M610" s="42" t="s">
        <v>2078</v>
      </c>
      <c r="N610" s="52" t="str">
        <f t="shared" si="152"/>
        <v>(1,'PS-01-GO2','Poste de Sectionnement n°01 GO2','Thursday-01-jj','Thursday-01-jj',,1,),</v>
      </c>
    </row>
    <row r="611" spans="1:14" ht="20.100000000000001" customHeight="1" x14ac:dyDescent="0.25">
      <c r="A611" s="39">
        <v>2</v>
      </c>
      <c r="B611" s="40" t="str">
        <f t="shared" si="157"/>
        <v>PS-02-GO2</v>
      </c>
      <c r="C611" s="52" t="str">
        <f t="shared" si="158"/>
        <v>Poste de Sectionnement n°02 GO2</v>
      </c>
      <c r="D611" s="19">
        <v>31778</v>
      </c>
      <c r="E611" s="19">
        <v>31778</v>
      </c>
      <c r="F611" s="42"/>
      <c r="G611" s="42">
        <v>1</v>
      </c>
      <c r="H611" s="42"/>
      <c r="I611" s="42" t="s">
        <v>445</v>
      </c>
      <c r="J611" s="42" t="s">
        <v>2410</v>
      </c>
      <c r="K611" s="44">
        <f t="shared" si="155"/>
        <v>738.9</v>
      </c>
      <c r="L611" s="44">
        <f t="shared" si="156"/>
        <v>75.831999999999994</v>
      </c>
      <c r="M611" s="42" t="s">
        <v>2078</v>
      </c>
      <c r="N611" s="52" t="str">
        <f t="shared" si="152"/>
        <v>(2,'PS-02-GO2','Poste de Sectionnement n°02 GO2','Thursday-01-jj','Thursday-01-jj',,1,),</v>
      </c>
    </row>
    <row r="612" spans="1:14" ht="20.100000000000001" customHeight="1" x14ac:dyDescent="0.25">
      <c r="A612" s="39">
        <v>3</v>
      </c>
      <c r="B612" s="40" t="str">
        <f t="shared" si="157"/>
        <v>PS-03-GO2</v>
      </c>
      <c r="C612" s="52" t="str">
        <f t="shared" si="158"/>
        <v>Poste de Sectionnement n°03 GO2</v>
      </c>
      <c r="D612" s="19">
        <v>31778</v>
      </c>
      <c r="E612" s="19">
        <v>31778</v>
      </c>
      <c r="F612" s="42"/>
      <c r="G612" s="42">
        <v>1</v>
      </c>
      <c r="H612" s="42"/>
      <c r="I612" s="42" t="s">
        <v>445</v>
      </c>
      <c r="J612" s="42" t="s">
        <v>2411</v>
      </c>
      <c r="K612" s="44">
        <f t="shared" si="155"/>
        <v>741.89</v>
      </c>
      <c r="L612" s="44">
        <f t="shared" si="156"/>
        <v>112.35</v>
      </c>
      <c r="M612" s="42" t="s">
        <v>2174</v>
      </c>
      <c r="N612" s="52" t="str">
        <f t="shared" si="152"/>
        <v>(3,'PS-03-GO2','Poste de Sectionnement n°03 GO2','Thursday-01-jj','Thursday-01-jj',,1,),</v>
      </c>
    </row>
    <row r="613" spans="1:14" ht="20.100000000000001" customHeight="1" x14ac:dyDescent="0.25">
      <c r="A613" s="39">
        <v>4</v>
      </c>
      <c r="B613" s="40" t="str">
        <f t="shared" si="157"/>
        <v>PS-04-GO2</v>
      </c>
      <c r="C613" s="52" t="str">
        <f t="shared" si="158"/>
        <v>Poste de Sectionnement n°04 GO2</v>
      </c>
      <c r="D613" s="19">
        <v>31778</v>
      </c>
      <c r="E613" s="19">
        <v>31778</v>
      </c>
      <c r="F613" s="42"/>
      <c r="G613" s="42">
        <v>1</v>
      </c>
      <c r="H613" s="42"/>
      <c r="I613" s="42" t="s">
        <v>445</v>
      </c>
      <c r="J613" s="42" t="s">
        <v>2412</v>
      </c>
      <c r="K613" s="44">
        <f t="shared" si="155"/>
        <v>564.30999999999995</v>
      </c>
      <c r="L613" s="44">
        <f t="shared" si="156"/>
        <v>147.09200000000001</v>
      </c>
      <c r="M613" s="42" t="s">
        <v>2439</v>
      </c>
      <c r="N613" s="52" t="str">
        <f t="shared" si="152"/>
        <v>(4,'PS-04-GO2','Poste de Sectionnement n°04 GO2','Thursday-01-jj','Thursday-01-jj',,1,),</v>
      </c>
    </row>
    <row r="614" spans="1:14" ht="20.100000000000001" customHeight="1" x14ac:dyDescent="0.25">
      <c r="A614" s="39">
        <v>5</v>
      </c>
      <c r="B614" s="40" t="str">
        <f t="shared" si="157"/>
        <v>PS-05-GO2</v>
      </c>
      <c r="C614" s="52" t="str">
        <f t="shared" si="158"/>
        <v>Poste de Sectionnement n°05 GO2</v>
      </c>
      <c r="D614" s="19">
        <v>31778</v>
      </c>
      <c r="E614" s="19">
        <v>31778</v>
      </c>
      <c r="F614" s="42"/>
      <c r="G614" s="42">
        <v>1</v>
      </c>
      <c r="H614" s="42"/>
      <c r="I614" s="42" t="s">
        <v>445</v>
      </c>
      <c r="J614" s="42" t="s">
        <v>2399</v>
      </c>
      <c r="K614" s="44">
        <f t="shared" si="155"/>
        <v>351.21</v>
      </c>
      <c r="L614" s="44">
        <f t="shared" si="156"/>
        <v>208.33</v>
      </c>
      <c r="M614" s="42" t="s">
        <v>2092</v>
      </c>
      <c r="N614" s="52" t="str">
        <f t="shared" si="152"/>
        <v>(5,'PS-05-GO2','Poste de Sectionnement n°05 GO2','Thursday-01-jj','Thursday-01-jj',,1,),</v>
      </c>
    </row>
    <row r="615" spans="1:14" ht="20.100000000000001" customHeight="1" x14ac:dyDescent="0.25">
      <c r="A615" s="39">
        <v>6</v>
      </c>
      <c r="B615" s="40" t="str">
        <f t="shared" si="157"/>
        <v>PS-06-GO2</v>
      </c>
      <c r="C615" s="52" t="str">
        <f t="shared" si="158"/>
        <v>Poste de Sectionnement n°06 GO2</v>
      </c>
      <c r="D615" s="19">
        <v>31778</v>
      </c>
      <c r="E615" s="19">
        <v>31778</v>
      </c>
      <c r="F615" s="42"/>
      <c r="G615" s="42">
        <v>1</v>
      </c>
      <c r="H615" s="42"/>
      <c r="I615" s="42" t="s">
        <v>445</v>
      </c>
      <c r="J615" s="42" t="s">
        <v>2413</v>
      </c>
      <c r="K615" s="44">
        <f t="shared" si="155"/>
        <v>224.98</v>
      </c>
      <c r="L615" s="44">
        <f t="shared" si="156"/>
        <v>246.608</v>
      </c>
      <c r="M615" s="42" t="s">
        <v>2092</v>
      </c>
      <c r="N615" s="52" t="str">
        <f t="shared" si="152"/>
        <v>(6,'PS-06-GO2','Poste de Sectionnement n°06 GO2','Thursday-01-jj','Thursday-01-jj',,1,),</v>
      </c>
    </row>
    <row r="616" spans="1:14" ht="20.100000000000001" customHeight="1" x14ac:dyDescent="0.25">
      <c r="A616" s="39">
        <v>7</v>
      </c>
      <c r="B616" s="40" t="str">
        <f t="shared" si="157"/>
        <v>PS-07-GO2</v>
      </c>
      <c r="C616" s="52" t="str">
        <f t="shared" si="158"/>
        <v>Poste de Sectionnement n°07 GO2</v>
      </c>
      <c r="D616" s="19">
        <v>31778</v>
      </c>
      <c r="E616" s="19">
        <v>31778</v>
      </c>
      <c r="F616" s="42"/>
      <c r="G616" s="42">
        <v>1</v>
      </c>
      <c r="H616" s="42"/>
      <c r="I616" s="42" t="s">
        <v>445</v>
      </c>
      <c r="J616" s="42" t="s">
        <v>2414</v>
      </c>
      <c r="K616" s="44">
        <f t="shared" si="155"/>
        <v>101.45</v>
      </c>
      <c r="L616" s="44">
        <f t="shared" si="156"/>
        <v>284.11500000000001</v>
      </c>
      <c r="M616" s="42" t="s">
        <v>2440</v>
      </c>
      <c r="N616" s="52" t="str">
        <f t="shared" si="152"/>
        <v>(7,'PS-07-GO2','Poste de Sectionnement n°07 GO2','Thursday-01-jj','Thursday-01-jj',,1,),</v>
      </c>
    </row>
    <row r="617" spans="1:14" ht="20.100000000000001" customHeight="1" x14ac:dyDescent="0.25">
      <c r="A617" s="39">
        <v>8</v>
      </c>
      <c r="B617" s="40" t="str">
        <f t="shared" si="157"/>
        <v>PS-08-GO2</v>
      </c>
      <c r="C617" s="52" t="str">
        <f t="shared" si="158"/>
        <v>Poste de Sectionnement n°08 GO2</v>
      </c>
      <c r="D617" s="19">
        <v>31778</v>
      </c>
      <c r="E617" s="19">
        <v>31778</v>
      </c>
      <c r="F617" s="42"/>
      <c r="G617" s="42">
        <v>1</v>
      </c>
      <c r="H617" s="42"/>
      <c r="I617" s="42" t="s">
        <v>445</v>
      </c>
      <c r="J617" s="42" t="s">
        <v>2415</v>
      </c>
      <c r="K617" s="44">
        <f t="shared" si="155"/>
        <v>19.03</v>
      </c>
      <c r="L617" s="44">
        <f t="shared" si="156"/>
        <v>319.255</v>
      </c>
      <c r="M617" s="42" t="s">
        <v>861</v>
      </c>
      <c r="N617" s="52" t="str">
        <f t="shared" si="152"/>
        <v>(8,'PS-08-GO2','Poste de Sectionnement n°08 GO2','Thursday-01-jj','Thursday-01-jj',,1,),</v>
      </c>
    </row>
    <row r="618" spans="1:14" ht="20.100000000000001" customHeight="1" x14ac:dyDescent="0.25">
      <c r="A618" s="39">
        <v>9</v>
      </c>
      <c r="B618" s="40" t="str">
        <f t="shared" si="157"/>
        <v>PS-09-GO2</v>
      </c>
      <c r="C618" s="52" t="str">
        <f t="shared" si="158"/>
        <v>Poste de Sectionnement n°09 GO2</v>
      </c>
      <c r="D618" s="19">
        <v>31778</v>
      </c>
      <c r="E618" s="19">
        <v>31778</v>
      </c>
      <c r="F618" s="42"/>
      <c r="G618" s="42">
        <v>1</v>
      </c>
      <c r="H618" s="42"/>
      <c r="I618" s="42" t="s">
        <v>445</v>
      </c>
      <c r="J618" s="42" t="s">
        <v>2416</v>
      </c>
      <c r="K618" s="44">
        <f t="shared" si="155"/>
        <v>35.29</v>
      </c>
      <c r="L618" s="44">
        <f t="shared" si="156"/>
        <v>375.45100000000002</v>
      </c>
      <c r="M618" s="42" t="s">
        <v>2441</v>
      </c>
      <c r="N618" s="52" t="str">
        <f t="shared" si="152"/>
        <v>(9,'PS-09-GO2','Poste de Sectionnement n°09 GO2','Thursday-01-jj','Thursday-01-jj',,1,),</v>
      </c>
    </row>
    <row r="619" spans="1:14" ht="20.100000000000001" customHeight="1" x14ac:dyDescent="0.25">
      <c r="A619" s="39">
        <v>10</v>
      </c>
      <c r="B619" s="40" t="str">
        <f t="shared" si="157"/>
        <v>PS-10-GO2</v>
      </c>
      <c r="C619" s="52" t="str">
        <f t="shared" si="158"/>
        <v>Poste de Sectionnement n°10 GO2</v>
      </c>
      <c r="D619" s="19">
        <v>31778</v>
      </c>
      <c r="E619" s="19">
        <v>31778</v>
      </c>
      <c r="F619" s="42"/>
      <c r="G619" s="42">
        <v>1</v>
      </c>
      <c r="H619" s="42"/>
      <c r="I619" s="42" t="s">
        <v>445</v>
      </c>
      <c r="J619" s="42" t="s">
        <v>2417</v>
      </c>
      <c r="K619" s="44">
        <f t="shared" si="155"/>
        <v>58.44</v>
      </c>
      <c r="L619" s="44">
        <f t="shared" si="156"/>
        <v>403.75900000000001</v>
      </c>
      <c r="M619" s="42" t="s">
        <v>2442</v>
      </c>
      <c r="N619" s="52" t="str">
        <f t="shared" si="152"/>
        <v>(10,'PS-10-GO2','Poste de Sectionnement n°10 GO2','Thursday-01-jj','Thursday-01-jj',,1,),</v>
      </c>
    </row>
    <row r="620" spans="1:14" ht="20.100000000000001" customHeight="1" x14ac:dyDescent="0.25">
      <c r="A620" s="39">
        <v>11</v>
      </c>
      <c r="B620" s="40" t="str">
        <f t="shared" si="157"/>
        <v>PS-11-GO2</v>
      </c>
      <c r="C620" s="52" t="str">
        <f t="shared" si="158"/>
        <v>Poste de Sectionnement n°11 GO2</v>
      </c>
      <c r="D620" s="19">
        <v>31778</v>
      </c>
      <c r="E620" s="19">
        <v>31778</v>
      </c>
      <c r="F620" s="42"/>
      <c r="G620" s="42">
        <v>1</v>
      </c>
      <c r="H620" s="42"/>
      <c r="I620" s="42" t="s">
        <v>445</v>
      </c>
      <c r="J620" s="42" t="s">
        <v>2418</v>
      </c>
      <c r="K620" s="44">
        <f t="shared" si="155"/>
        <v>136.15</v>
      </c>
      <c r="L620" s="44">
        <f t="shared" si="156"/>
        <v>433.08</v>
      </c>
      <c r="M620" s="42" t="s">
        <v>2442</v>
      </c>
      <c r="N620" s="52" t="str">
        <f t="shared" si="152"/>
        <v>(11,'PS-11-GO2','Poste de Sectionnement n°11 GO2','Thursday-01-jj','Thursday-01-jj',,1,),</v>
      </c>
    </row>
    <row r="621" spans="1:14" ht="20.100000000000001" customHeight="1" x14ac:dyDescent="0.25">
      <c r="A621" s="39">
        <v>12</v>
      </c>
      <c r="B621" s="40" t="str">
        <f t="shared" si="157"/>
        <v>PS-12-GO2</v>
      </c>
      <c r="C621" s="52" t="str">
        <f t="shared" si="158"/>
        <v>Poste de Sectionnement n°12 GO2</v>
      </c>
      <c r="D621" s="19">
        <v>31778</v>
      </c>
      <c r="E621" s="19">
        <v>31778</v>
      </c>
      <c r="F621" s="42"/>
      <c r="G621" s="42">
        <v>1</v>
      </c>
      <c r="H621" s="42"/>
      <c r="I621" s="42" t="s">
        <v>445</v>
      </c>
      <c r="J621" s="42" t="s">
        <v>2419</v>
      </c>
      <c r="K621" s="44">
        <f t="shared" si="155"/>
        <v>427.56</v>
      </c>
      <c r="L621" s="44">
        <f t="shared" si="156"/>
        <v>489.93599999999998</v>
      </c>
      <c r="M621" s="42" t="s">
        <v>2443</v>
      </c>
      <c r="N621" s="52" t="str">
        <f t="shared" si="152"/>
        <v>(12,'PS-12-GO2','Poste de Sectionnement n°12 GO2','Thursday-01-jj','Thursday-01-jj',,1,),</v>
      </c>
    </row>
    <row r="622" spans="1:14" ht="20.100000000000001" customHeight="1" x14ac:dyDescent="0.25">
      <c r="A622" s="39">
        <v>13</v>
      </c>
      <c r="B622" s="40" t="str">
        <f t="shared" si="157"/>
        <v>PS-13-GO2</v>
      </c>
      <c r="C622" s="52" t="str">
        <f t="shared" si="158"/>
        <v>Poste de Sectionnement n°13 GO2</v>
      </c>
      <c r="D622" s="19">
        <v>31778</v>
      </c>
      <c r="E622" s="19">
        <v>31778</v>
      </c>
      <c r="F622" s="42"/>
      <c r="G622" s="42">
        <v>1</v>
      </c>
      <c r="H622" s="42"/>
      <c r="I622" s="42" t="s">
        <v>445</v>
      </c>
      <c r="J622" s="42" t="s">
        <v>2420</v>
      </c>
      <c r="K622" s="44">
        <f t="shared" si="155"/>
        <v>700</v>
      </c>
      <c r="L622" s="44">
        <f t="shared" si="156"/>
        <v>519.57299999999998</v>
      </c>
      <c r="M622" s="42" t="s">
        <v>2444</v>
      </c>
      <c r="N622" s="52" t="str">
        <f t="shared" si="152"/>
        <v>(13,'PS-13-GO2','Poste de Sectionnement n°13 GO2','Thursday-01-jj','Thursday-01-jj',,1,),</v>
      </c>
    </row>
    <row r="623" spans="1:14" ht="20.100000000000001" customHeight="1" x14ac:dyDescent="0.25">
      <c r="A623" s="39">
        <v>1</v>
      </c>
      <c r="B623" s="40" t="str">
        <f t="shared" ref="B623" si="159">CONCATENATE("PS-",TEXT(A623,"00"),"-",I623)</f>
        <v>PS-01-GO3</v>
      </c>
      <c r="C623" s="52" t="str">
        <f t="shared" ref="C623" si="160">CONCATENATE("Poste de Sectionnement n°",TEXT(A623,"00")," ",I623)</f>
        <v>Poste de Sectionnement n°01 GO3</v>
      </c>
      <c r="D623" s="19">
        <v>39448</v>
      </c>
      <c r="E623" s="19">
        <v>39448</v>
      </c>
      <c r="F623" s="42"/>
      <c r="G623" s="42">
        <v>1</v>
      </c>
      <c r="H623" s="42"/>
      <c r="I623" s="42" t="s">
        <v>448</v>
      </c>
      <c r="J623" s="42" t="s">
        <v>2421</v>
      </c>
      <c r="K623" s="44">
        <f t="shared" si="155"/>
        <v>786.68</v>
      </c>
      <c r="L623" s="44">
        <f t="shared" si="156"/>
        <v>20.356000000000002</v>
      </c>
      <c r="M623" s="42" t="s">
        <v>798</v>
      </c>
      <c r="N623" s="52" t="str">
        <f t="shared" si="152"/>
        <v>(1,'PS-01-GO3','Poste de Sectionnement n°01 GO3','Tuesday-01-jj','Tuesday-01-jj',,1,),</v>
      </c>
    </row>
    <row r="624" spans="1:14" ht="20.100000000000001" customHeight="1" x14ac:dyDescent="0.25">
      <c r="A624" s="39">
        <v>2</v>
      </c>
      <c r="B624" s="40" t="str">
        <f t="shared" ref="B624:B641" si="161">CONCATENATE("PS-",TEXT(A624,"00"),"-",I624)</f>
        <v>PS-02-GO3</v>
      </c>
      <c r="C624" s="52" t="str">
        <f t="shared" ref="C624:C641" si="162">CONCATENATE("Poste de Sectionnement n°",TEXT(A624,"00")," ",I624)</f>
        <v>Poste de Sectionnement n°02 GO3</v>
      </c>
      <c r="D624" s="19">
        <v>39448</v>
      </c>
      <c r="E624" s="19">
        <v>39448</v>
      </c>
      <c r="F624" s="42"/>
      <c r="G624" s="42">
        <v>1</v>
      </c>
      <c r="H624" s="42"/>
      <c r="I624" s="42" t="s">
        <v>448</v>
      </c>
      <c r="J624" s="42" t="s">
        <v>2422</v>
      </c>
      <c r="K624" s="44">
        <f t="shared" si="155"/>
        <v>718.03</v>
      </c>
      <c r="L624" s="44">
        <f t="shared" si="156"/>
        <v>39.938000000000002</v>
      </c>
      <c r="M624" s="42" t="s">
        <v>2078</v>
      </c>
      <c r="N624" s="52" t="str">
        <f t="shared" si="152"/>
        <v>(2,'PS-02-GO3','Poste de Sectionnement n°02 GO3','Tuesday-01-jj','Tuesday-01-jj',,1,),</v>
      </c>
    </row>
    <row r="625" spans="1:14" ht="20.100000000000001" customHeight="1" x14ac:dyDescent="0.25">
      <c r="A625" s="39">
        <v>3</v>
      </c>
      <c r="B625" s="40" t="str">
        <f t="shared" si="161"/>
        <v>PS-03-GO3</v>
      </c>
      <c r="C625" s="52" t="str">
        <f t="shared" si="162"/>
        <v>Poste de Sectionnement n°03 GO3</v>
      </c>
      <c r="D625" s="19">
        <v>39448</v>
      </c>
      <c r="E625" s="19">
        <v>39448</v>
      </c>
      <c r="F625" s="42"/>
      <c r="G625" s="42">
        <v>1</v>
      </c>
      <c r="H625" s="42"/>
      <c r="I625" s="42" t="s">
        <v>448</v>
      </c>
      <c r="J625" s="42" t="s">
        <v>2423</v>
      </c>
      <c r="K625" s="44">
        <f t="shared" si="155"/>
        <v>742.66</v>
      </c>
      <c r="L625" s="44">
        <f t="shared" si="156"/>
        <v>61.075000000000003</v>
      </c>
      <c r="M625" s="42" t="s">
        <v>2078</v>
      </c>
      <c r="N625" s="52" t="str">
        <f t="shared" si="152"/>
        <v>(3,'PS-03-GO3','Poste de Sectionnement n°03 GO3','Tuesday-01-jj','Tuesday-01-jj',,1,),</v>
      </c>
    </row>
    <row r="626" spans="1:14" ht="20.100000000000001" customHeight="1" x14ac:dyDescent="0.25">
      <c r="A626" s="39">
        <v>4</v>
      </c>
      <c r="B626" s="40" t="str">
        <f t="shared" si="161"/>
        <v>PS-04-GO3</v>
      </c>
      <c r="C626" s="52" t="str">
        <f t="shared" si="162"/>
        <v>Poste de Sectionnement n°04 GO3</v>
      </c>
      <c r="D626" s="19">
        <v>39448</v>
      </c>
      <c r="E626" s="19">
        <v>39448</v>
      </c>
      <c r="F626" s="42"/>
      <c r="G626" s="42">
        <v>1</v>
      </c>
      <c r="H626" s="42"/>
      <c r="I626" s="42" t="s">
        <v>448</v>
      </c>
      <c r="J626" s="42" t="s">
        <v>2424</v>
      </c>
      <c r="K626" s="44">
        <f t="shared" si="155"/>
        <v>742.85</v>
      </c>
      <c r="L626" s="44">
        <f t="shared" si="156"/>
        <v>83.2</v>
      </c>
      <c r="M626" s="42" t="s">
        <v>2078</v>
      </c>
      <c r="N626" s="52" t="str">
        <f t="shared" si="152"/>
        <v>(4,'PS-04-GO3','Poste de Sectionnement n°04 GO3','Tuesday-01-jj','Tuesday-01-jj',,1,),</v>
      </c>
    </row>
    <row r="627" spans="1:14" ht="20.100000000000001" customHeight="1" x14ac:dyDescent="0.25">
      <c r="A627" s="39">
        <v>5</v>
      </c>
      <c r="B627" s="40" t="str">
        <f t="shared" si="161"/>
        <v>PS-05-GO3</v>
      </c>
      <c r="C627" s="52" t="str">
        <f t="shared" si="162"/>
        <v>Poste de Sectionnement n°05 GO3</v>
      </c>
      <c r="D627" s="19">
        <v>39448</v>
      </c>
      <c r="E627" s="19">
        <v>39448</v>
      </c>
      <c r="F627" s="42"/>
      <c r="G627" s="42">
        <v>1</v>
      </c>
      <c r="H627" s="42"/>
      <c r="I627" s="42" t="s">
        <v>448</v>
      </c>
      <c r="J627" s="42" t="s">
        <v>2425</v>
      </c>
      <c r="K627" s="44">
        <f t="shared" si="155"/>
        <v>726.85</v>
      </c>
      <c r="L627" s="44">
        <f t="shared" si="156"/>
        <v>103</v>
      </c>
      <c r="M627" s="42" t="s">
        <v>2174</v>
      </c>
      <c r="N627" s="52" t="str">
        <f t="shared" si="152"/>
        <v>(5,'PS-05-GO3','Poste de Sectionnement n°05 GO3','Tuesday-01-jj','Tuesday-01-jj',,1,),</v>
      </c>
    </row>
    <row r="628" spans="1:14" ht="20.100000000000001" customHeight="1" x14ac:dyDescent="0.25">
      <c r="A628" s="39">
        <v>6</v>
      </c>
      <c r="B628" s="40" t="str">
        <f t="shared" si="161"/>
        <v>PS-06-GO3</v>
      </c>
      <c r="C628" s="52" t="str">
        <f t="shared" si="162"/>
        <v>Poste de Sectionnement n°06 GO3</v>
      </c>
      <c r="D628" s="19">
        <v>39448</v>
      </c>
      <c r="E628" s="19">
        <v>39448</v>
      </c>
      <c r="F628" s="42"/>
      <c r="G628" s="42">
        <v>1</v>
      </c>
      <c r="H628" s="42"/>
      <c r="I628" s="42" t="s">
        <v>448</v>
      </c>
      <c r="J628" s="42" t="s">
        <v>2426</v>
      </c>
      <c r="K628" s="44">
        <f t="shared" si="155"/>
        <v>672.96</v>
      </c>
      <c r="L628" s="44">
        <f t="shared" si="156"/>
        <v>124.63</v>
      </c>
      <c r="M628" s="42" t="s">
        <v>2439</v>
      </c>
      <c r="N628" s="52" t="str">
        <f t="shared" si="152"/>
        <v>(6,'PS-06-GO3','Poste de Sectionnement n°06 GO3','Tuesday-01-jj','Tuesday-01-jj',,1,),</v>
      </c>
    </row>
    <row r="629" spans="1:14" ht="20.100000000000001" customHeight="1" x14ac:dyDescent="0.25">
      <c r="A629" s="39">
        <v>7</v>
      </c>
      <c r="B629" s="40" t="str">
        <f t="shared" si="161"/>
        <v>PS-07-GO3</v>
      </c>
      <c r="C629" s="52" t="str">
        <f t="shared" si="162"/>
        <v>Poste de Sectionnement n°07 GO3</v>
      </c>
      <c r="D629" s="19">
        <v>39448</v>
      </c>
      <c r="E629" s="19">
        <v>39448</v>
      </c>
      <c r="F629" s="42"/>
      <c r="G629" s="42">
        <v>1</v>
      </c>
      <c r="H629" s="42"/>
      <c r="I629" s="42" t="s">
        <v>448</v>
      </c>
      <c r="J629" s="42" t="s">
        <v>2427</v>
      </c>
      <c r="K629" s="44">
        <f t="shared" si="155"/>
        <v>566.24</v>
      </c>
      <c r="L629" s="44">
        <f t="shared" si="156"/>
        <v>147.024</v>
      </c>
      <c r="M629" s="42" t="s">
        <v>2439</v>
      </c>
      <c r="N629" s="52" t="str">
        <f t="shared" si="152"/>
        <v>(7,'PS-07-GO3','Poste de Sectionnement n°07 GO3','Tuesday-01-jj','Tuesday-01-jj',,1,),</v>
      </c>
    </row>
    <row r="630" spans="1:14" ht="20.100000000000001" customHeight="1" x14ac:dyDescent="0.25">
      <c r="A630" s="39">
        <v>8</v>
      </c>
      <c r="B630" s="40" t="str">
        <f t="shared" si="161"/>
        <v>PS-08-GO3</v>
      </c>
      <c r="C630" s="52" t="str">
        <f t="shared" si="162"/>
        <v>Poste de Sectionnement n°08 GO3</v>
      </c>
      <c r="D630" s="19">
        <v>39448</v>
      </c>
      <c r="E630" s="19">
        <v>39448</v>
      </c>
      <c r="F630" s="42"/>
      <c r="G630" s="42">
        <v>1</v>
      </c>
      <c r="H630" s="42"/>
      <c r="I630" s="42" t="s">
        <v>448</v>
      </c>
      <c r="J630" s="42" t="s">
        <v>2428</v>
      </c>
      <c r="K630" s="44">
        <f t="shared" si="155"/>
        <v>351.21</v>
      </c>
      <c r="L630" s="44">
        <f t="shared" si="156"/>
        <v>208.35</v>
      </c>
      <c r="M630" s="42" t="s">
        <v>2092</v>
      </c>
      <c r="N630" s="52" t="str">
        <f t="shared" si="152"/>
        <v>(8,'PS-08-GO3','Poste de Sectionnement n°08 GO3','Tuesday-01-jj','Tuesday-01-jj',,1,),</v>
      </c>
    </row>
    <row r="631" spans="1:14" ht="20.100000000000001" customHeight="1" x14ac:dyDescent="0.25">
      <c r="A631" s="39">
        <v>9</v>
      </c>
      <c r="B631" s="40" t="str">
        <f t="shared" si="161"/>
        <v>PS-09-GO3</v>
      </c>
      <c r="C631" s="52" t="str">
        <f t="shared" si="162"/>
        <v>Poste de Sectionnement n°09 GO3</v>
      </c>
      <c r="D631" s="19">
        <v>39448</v>
      </c>
      <c r="E631" s="19">
        <v>39448</v>
      </c>
      <c r="F631" s="42"/>
      <c r="G631" s="42">
        <v>1</v>
      </c>
      <c r="H631" s="42"/>
      <c r="I631" s="42" t="s">
        <v>448</v>
      </c>
      <c r="J631" s="42" t="s">
        <v>2429</v>
      </c>
      <c r="K631" s="44">
        <f t="shared" si="155"/>
        <v>224.98</v>
      </c>
      <c r="L631" s="44">
        <f t="shared" si="156"/>
        <v>246.50800000000001</v>
      </c>
      <c r="M631" s="42" t="s">
        <v>2092</v>
      </c>
      <c r="N631" s="52" t="str">
        <f t="shared" si="152"/>
        <v>(9,'PS-09-GO3','Poste de Sectionnement n°09 GO3','Tuesday-01-jj','Tuesday-01-jj',,1,),</v>
      </c>
    </row>
    <row r="632" spans="1:14" ht="20.100000000000001" customHeight="1" x14ac:dyDescent="0.25">
      <c r="A632" s="39">
        <v>10</v>
      </c>
      <c r="B632" s="40" t="str">
        <f t="shared" si="161"/>
        <v>PS-10-GO3</v>
      </c>
      <c r="C632" s="52" t="str">
        <f t="shared" si="162"/>
        <v>Poste de Sectionnement n°10 GO3</v>
      </c>
      <c r="D632" s="19">
        <v>39448</v>
      </c>
      <c r="E632" s="19">
        <v>39448</v>
      </c>
      <c r="F632" s="42"/>
      <c r="G632" s="42">
        <v>1</v>
      </c>
      <c r="H632" s="42"/>
      <c r="I632" s="42" t="s">
        <v>448</v>
      </c>
      <c r="J632" s="42" t="s">
        <v>2430</v>
      </c>
      <c r="K632" s="44">
        <f t="shared" si="155"/>
        <v>108.52</v>
      </c>
      <c r="L632" s="44">
        <f t="shared" si="156"/>
        <v>283.05200000000002</v>
      </c>
      <c r="M632" s="42" t="s">
        <v>2440</v>
      </c>
      <c r="N632" s="52" t="str">
        <f t="shared" si="152"/>
        <v>(10,'PS-10-GO3','Poste de Sectionnement n°10 GO3','Tuesday-01-jj','Tuesday-01-jj',,1,),</v>
      </c>
    </row>
    <row r="633" spans="1:14" ht="20.100000000000001" customHeight="1" x14ac:dyDescent="0.25">
      <c r="A633" s="39">
        <v>11</v>
      </c>
      <c r="B633" s="40" t="str">
        <f t="shared" si="161"/>
        <v>PS-11-GO3</v>
      </c>
      <c r="C633" s="52" t="str">
        <f t="shared" si="162"/>
        <v>Poste de Sectionnement n°11 GO3</v>
      </c>
      <c r="D633" s="19">
        <v>39448</v>
      </c>
      <c r="E633" s="19">
        <v>39448</v>
      </c>
      <c r="F633" s="42"/>
      <c r="G633" s="42">
        <v>1</v>
      </c>
      <c r="H633" s="42"/>
      <c r="I633" s="42" t="s">
        <v>448</v>
      </c>
      <c r="J633" s="42" t="s">
        <v>2431</v>
      </c>
      <c r="K633" s="44">
        <f t="shared" si="155"/>
        <v>18.59</v>
      </c>
      <c r="L633" s="44">
        <f t="shared" si="156"/>
        <v>319.22800000000001</v>
      </c>
      <c r="M633" s="42" t="s">
        <v>861</v>
      </c>
      <c r="N633" s="52" t="str">
        <f t="shared" si="152"/>
        <v>(11,'PS-11-GO3','Poste de Sectionnement n°11 GO3','Tuesday-01-jj','Tuesday-01-jj',,1,),</v>
      </c>
    </row>
    <row r="634" spans="1:14" ht="20.100000000000001" customHeight="1" x14ac:dyDescent="0.25">
      <c r="A634" s="39">
        <v>12</v>
      </c>
      <c r="B634" s="40" t="str">
        <f t="shared" si="161"/>
        <v>PS-12-GO3</v>
      </c>
      <c r="C634" s="52" t="str">
        <f t="shared" si="162"/>
        <v>Poste de Sectionnement n°12 GO3</v>
      </c>
      <c r="D634" s="19">
        <v>39448</v>
      </c>
      <c r="E634" s="19">
        <v>39448</v>
      </c>
      <c r="F634" s="42"/>
      <c r="G634" s="42">
        <v>1</v>
      </c>
      <c r="H634" s="42"/>
      <c r="I634" s="42" t="s">
        <v>448</v>
      </c>
      <c r="J634" s="42" t="s">
        <v>2432</v>
      </c>
      <c r="K634" s="44">
        <f t="shared" si="155"/>
        <v>35.29</v>
      </c>
      <c r="L634" s="44">
        <f t="shared" si="156"/>
        <v>375.52</v>
      </c>
      <c r="M634" s="42" t="s">
        <v>2441</v>
      </c>
      <c r="N634" s="52" t="str">
        <f t="shared" si="152"/>
        <v>(12,'PS-12-GO3','Poste de Sectionnement n°12 GO3','Tuesday-01-jj','Tuesday-01-jj',,1,),</v>
      </c>
    </row>
    <row r="635" spans="1:14" ht="20.100000000000001" customHeight="1" x14ac:dyDescent="0.25">
      <c r="A635" s="39">
        <v>13</v>
      </c>
      <c r="B635" s="40" t="str">
        <f t="shared" si="161"/>
        <v>PS-13-GO3</v>
      </c>
      <c r="C635" s="52" t="str">
        <f t="shared" si="162"/>
        <v>Poste de Sectionnement n°13 GO3</v>
      </c>
      <c r="D635" s="19">
        <v>39448</v>
      </c>
      <c r="E635" s="19">
        <v>39448</v>
      </c>
      <c r="F635" s="42"/>
      <c r="G635" s="42">
        <v>1</v>
      </c>
      <c r="H635" s="42"/>
      <c r="I635" s="42" t="s">
        <v>448</v>
      </c>
      <c r="J635" s="42" t="s">
        <v>2433</v>
      </c>
      <c r="K635" s="44">
        <f t="shared" si="155"/>
        <v>58.44</v>
      </c>
      <c r="L635" s="44">
        <f t="shared" si="156"/>
        <v>403.85</v>
      </c>
      <c r="M635" s="42" t="s">
        <v>2445</v>
      </c>
      <c r="N635" s="52" t="str">
        <f t="shared" si="152"/>
        <v>(13,'PS-13-GO3','Poste de Sectionnement n°13 GO3','Tuesday-01-jj','Tuesday-01-jj',,1,),</v>
      </c>
    </row>
    <row r="636" spans="1:14" ht="20.100000000000001" customHeight="1" x14ac:dyDescent="0.25">
      <c r="A636" s="39">
        <v>14</v>
      </c>
      <c r="B636" s="40" t="str">
        <f t="shared" si="161"/>
        <v>PS-14-GO3</v>
      </c>
      <c r="C636" s="52" t="str">
        <f t="shared" si="162"/>
        <v>Poste de Sectionnement n°14 GO3</v>
      </c>
      <c r="D636" s="19">
        <v>39448</v>
      </c>
      <c r="E636" s="19">
        <v>39448</v>
      </c>
      <c r="F636" s="42"/>
      <c r="G636" s="42">
        <v>1</v>
      </c>
      <c r="H636" s="42"/>
      <c r="I636" s="42" t="s">
        <v>448</v>
      </c>
      <c r="J636" s="42" t="s">
        <v>2434</v>
      </c>
      <c r="K636" s="44">
        <f t="shared" si="155"/>
        <v>134.47999999999999</v>
      </c>
      <c r="L636" s="44">
        <f t="shared" si="156"/>
        <v>433</v>
      </c>
      <c r="M636" s="42" t="s">
        <v>2445</v>
      </c>
      <c r="N636" s="52" t="str">
        <f t="shared" si="152"/>
        <v>(14,'PS-14-GO3','Poste de Sectionnement n°14 GO3','Tuesday-01-jj','Tuesday-01-jj',,1,),</v>
      </c>
    </row>
    <row r="637" spans="1:14" ht="20.100000000000001" customHeight="1" x14ac:dyDescent="0.25">
      <c r="A637" s="39">
        <v>15</v>
      </c>
      <c r="B637" s="40" t="str">
        <f t="shared" si="161"/>
        <v>PS-15-GO3</v>
      </c>
      <c r="C637" s="52" t="str">
        <f t="shared" si="162"/>
        <v>Poste de Sectionnement n°15 GO3</v>
      </c>
      <c r="D637" s="19">
        <v>39448</v>
      </c>
      <c r="E637" s="19">
        <v>39448</v>
      </c>
      <c r="F637" s="42"/>
      <c r="G637" s="42">
        <v>1</v>
      </c>
      <c r="H637" s="42"/>
      <c r="I637" s="42" t="s">
        <v>448</v>
      </c>
      <c r="J637" s="42" t="s">
        <v>2435</v>
      </c>
      <c r="K637" s="44">
        <f t="shared" si="155"/>
        <v>353.39</v>
      </c>
      <c r="L637" s="44">
        <f t="shared" si="156"/>
        <v>482.12</v>
      </c>
      <c r="M637" s="42" t="s">
        <v>2443</v>
      </c>
      <c r="N637" s="52" t="str">
        <f t="shared" si="152"/>
        <v>(15,'PS-15-GO3','Poste de Sectionnement n°15 GO3','Tuesday-01-jj','Tuesday-01-jj',,1,),</v>
      </c>
    </row>
    <row r="638" spans="1:14" ht="20.100000000000001" customHeight="1" x14ac:dyDescent="0.25">
      <c r="A638" s="39">
        <v>16</v>
      </c>
      <c r="B638" s="40" t="str">
        <f t="shared" si="161"/>
        <v>PS-16-GO3</v>
      </c>
      <c r="C638" s="52" t="str">
        <f t="shared" si="162"/>
        <v>Poste de Sectionnement n°16 GO3</v>
      </c>
      <c r="D638" s="19">
        <v>39448</v>
      </c>
      <c r="E638" s="19">
        <v>39448</v>
      </c>
      <c r="F638" s="42"/>
      <c r="G638" s="42">
        <v>1</v>
      </c>
      <c r="H638" s="42"/>
      <c r="I638" s="42" t="s">
        <v>448</v>
      </c>
      <c r="J638" s="42" t="s">
        <v>2436</v>
      </c>
      <c r="K638" s="44">
        <f t="shared" si="155"/>
        <v>489.04</v>
      </c>
      <c r="L638" s="44">
        <f t="shared" si="156"/>
        <v>501.20299999999997</v>
      </c>
      <c r="M638" s="42" t="s">
        <v>2444</v>
      </c>
      <c r="N638" s="52" t="str">
        <f t="shared" si="152"/>
        <v>(16,'PS-16-GO3','Poste de Sectionnement n°16 GO3','Tuesday-01-jj','Tuesday-01-jj',,1,),</v>
      </c>
    </row>
    <row r="639" spans="1:14" ht="20.100000000000001" customHeight="1" x14ac:dyDescent="0.25">
      <c r="A639" s="39">
        <v>17</v>
      </c>
      <c r="B639" s="40" t="str">
        <f t="shared" si="161"/>
        <v>PS-17-GO3</v>
      </c>
      <c r="C639" s="52" t="str">
        <f t="shared" si="162"/>
        <v>Poste de Sectionnement n°17 GO3</v>
      </c>
      <c r="D639" s="19">
        <v>39448</v>
      </c>
      <c r="E639" s="19">
        <v>39448</v>
      </c>
      <c r="F639" s="42"/>
      <c r="G639" s="42">
        <v>1</v>
      </c>
      <c r="H639" s="42"/>
      <c r="I639" s="42" t="s">
        <v>448</v>
      </c>
      <c r="J639" s="42" t="s">
        <v>2437</v>
      </c>
      <c r="K639" s="44">
        <f t="shared" si="155"/>
        <v>706.45</v>
      </c>
      <c r="L639" s="44">
        <f t="shared" si="156"/>
        <v>520</v>
      </c>
      <c r="M639" s="42" t="s">
        <v>2444</v>
      </c>
      <c r="N639" s="52" t="str">
        <f t="shared" si="152"/>
        <v>(17,'PS-17-GO3','Poste de Sectionnement n°17 GO3','Tuesday-01-jj','Tuesday-01-jj',,1,),</v>
      </c>
    </row>
    <row r="640" spans="1:14" ht="20.100000000000001" customHeight="1" x14ac:dyDescent="0.25">
      <c r="A640" s="39">
        <v>18</v>
      </c>
      <c r="B640" s="40" t="str">
        <f t="shared" si="161"/>
        <v>PS-18-GO3</v>
      </c>
      <c r="C640" s="52" t="str">
        <f t="shared" si="162"/>
        <v>Poste de Sectionnement n°18 GO3</v>
      </c>
      <c r="D640" s="19">
        <v>39448</v>
      </c>
      <c r="E640" s="19">
        <v>39448</v>
      </c>
      <c r="F640" s="42"/>
      <c r="G640" s="42">
        <v>1</v>
      </c>
      <c r="H640" s="42"/>
      <c r="I640" s="42" t="s">
        <v>448</v>
      </c>
      <c r="J640" s="42" t="s">
        <v>2438</v>
      </c>
      <c r="K640" s="44">
        <f t="shared" si="155"/>
        <v>793.99</v>
      </c>
      <c r="L640" s="44">
        <f t="shared" si="156"/>
        <v>532.15</v>
      </c>
      <c r="M640" s="42" t="s">
        <v>2446</v>
      </c>
      <c r="N640" s="52" t="str">
        <f t="shared" si="152"/>
        <v>(18,'PS-18-GO3','Poste de Sectionnement n°18 GO3','Tuesday-01-jj','Tuesday-01-jj',,1,),</v>
      </c>
    </row>
    <row r="641" spans="1:14" ht="20.100000000000001" customHeight="1" x14ac:dyDescent="0.25">
      <c r="A641" s="39">
        <v>1</v>
      </c>
      <c r="B641" s="40" t="str">
        <f t="shared" si="161"/>
        <v>PS-01-GR1</v>
      </c>
      <c r="C641" s="52" t="str">
        <f t="shared" si="162"/>
        <v>Poste de Sectionnement n°01 GR1</v>
      </c>
      <c r="D641" s="19">
        <v>35065</v>
      </c>
      <c r="E641" s="19">
        <v>35065</v>
      </c>
      <c r="F641" s="42"/>
      <c r="G641" s="42">
        <v>1</v>
      </c>
      <c r="H641" s="42"/>
      <c r="I641" s="42" t="s">
        <v>419</v>
      </c>
      <c r="J641" s="42" t="s">
        <v>2513</v>
      </c>
      <c r="K641" s="44">
        <v>711</v>
      </c>
      <c r="L641" s="44">
        <f>VALUE(SUBSTITUTE(J641,"+",","))</f>
        <v>19.96</v>
      </c>
      <c r="M641" s="42" t="s">
        <v>988</v>
      </c>
      <c r="N641" s="52" t="str">
        <f t="shared" si="152"/>
        <v>(1,'PS-01-GR1','Poste de Sectionnement n°01 GR1','Monday-01-jj','Monday-01-jj',,1,),</v>
      </c>
    </row>
    <row r="642" spans="1:14" ht="20.100000000000001" customHeight="1" x14ac:dyDescent="0.25">
      <c r="A642" s="39">
        <v>2</v>
      </c>
      <c r="B642" s="40" t="str">
        <f t="shared" ref="B642:B682" si="163">CONCATENATE("PS-",TEXT(A642,"00"),"-",I642)</f>
        <v>PS-02-GR1</v>
      </c>
      <c r="C642" s="52" t="str">
        <f t="shared" ref="C642:C682" si="164">CONCATENATE("Poste de Sectionnement n°",TEXT(A642,"00")," ",I642)</f>
        <v>Poste de Sectionnement n°02 GR1</v>
      </c>
      <c r="D642" s="19">
        <v>35065</v>
      </c>
      <c r="E642" s="19">
        <v>35065</v>
      </c>
      <c r="F642" s="42"/>
      <c r="G642" s="42">
        <v>1</v>
      </c>
      <c r="H642" s="42"/>
      <c r="I642" s="42" t="s">
        <v>419</v>
      </c>
      <c r="J642" s="42" t="s">
        <v>1630</v>
      </c>
      <c r="K642" s="44">
        <v>695</v>
      </c>
      <c r="L642" s="44">
        <f t="shared" ref="L642:L681" si="165">VALUE(SUBSTITUTE(J642,"+",","))</f>
        <v>40.130000000000003</v>
      </c>
      <c r="M642" s="42" t="s">
        <v>988</v>
      </c>
      <c r="N642" s="52" t="str">
        <f t="shared" si="152"/>
        <v>(2,'PS-02-GR1','Poste de Sectionnement n°02 GR1','Monday-01-jj','Monday-01-jj',,1,),</v>
      </c>
    </row>
    <row r="643" spans="1:14" ht="20.100000000000001" customHeight="1" x14ac:dyDescent="0.25">
      <c r="A643" s="39">
        <v>3</v>
      </c>
      <c r="B643" s="40" t="str">
        <f t="shared" si="163"/>
        <v>PS-03-GR1</v>
      </c>
      <c r="C643" s="52" t="str">
        <f t="shared" si="164"/>
        <v>Poste de Sectionnement n°03 GR1</v>
      </c>
      <c r="D643" s="19">
        <v>35065</v>
      </c>
      <c r="E643" s="19">
        <v>35065</v>
      </c>
      <c r="F643" s="42"/>
      <c r="G643" s="42">
        <v>1</v>
      </c>
      <c r="H643" s="42"/>
      <c r="I643" s="42" t="s">
        <v>419</v>
      </c>
      <c r="J643" s="42" t="s">
        <v>2514</v>
      </c>
      <c r="K643" s="44">
        <v>663</v>
      </c>
      <c r="L643" s="44">
        <f t="shared" si="165"/>
        <v>60.33</v>
      </c>
      <c r="M643" s="42" t="s">
        <v>987</v>
      </c>
      <c r="N643" s="52" t="str">
        <f t="shared" si="152"/>
        <v>(3,'PS-03-GR1','Poste de Sectionnement n°03 GR1','Monday-01-jj','Monday-01-jj',,1,),</v>
      </c>
    </row>
    <row r="644" spans="1:14" ht="20.100000000000001" customHeight="1" x14ac:dyDescent="0.25">
      <c r="A644" s="39">
        <v>4</v>
      </c>
      <c r="B644" s="40" t="str">
        <f t="shared" si="163"/>
        <v>PS-04-GR1</v>
      </c>
      <c r="C644" s="52" t="str">
        <f t="shared" si="164"/>
        <v>Poste de Sectionnement n°04 GR1</v>
      </c>
      <c r="D644" s="19">
        <v>35065</v>
      </c>
      <c r="E644" s="19">
        <v>35065</v>
      </c>
      <c r="F644" s="42"/>
      <c r="G644" s="42">
        <v>1</v>
      </c>
      <c r="H644" s="42"/>
      <c r="I644" s="42" t="s">
        <v>419</v>
      </c>
      <c r="J644" s="42" t="s">
        <v>2515</v>
      </c>
      <c r="K644" s="44">
        <v>587</v>
      </c>
      <c r="L644" s="44">
        <f t="shared" si="165"/>
        <v>80.23</v>
      </c>
      <c r="M644" s="42" t="s">
        <v>987</v>
      </c>
      <c r="N644" s="52" t="str">
        <f t="shared" si="152"/>
        <v>(4,'PS-04-GR1','Poste de Sectionnement n°04 GR1','Monday-01-jj','Monday-01-jj',,1,),</v>
      </c>
    </row>
    <row r="645" spans="1:14" ht="20.100000000000001" customHeight="1" x14ac:dyDescent="0.25">
      <c r="A645" s="39">
        <v>5</v>
      </c>
      <c r="B645" s="40" t="str">
        <f t="shared" si="163"/>
        <v>PS-05-GR1</v>
      </c>
      <c r="C645" s="52" t="str">
        <f t="shared" si="164"/>
        <v>Poste de Sectionnement n°05 GR1</v>
      </c>
      <c r="D645" s="19">
        <v>35065</v>
      </c>
      <c r="E645" s="19">
        <v>35065</v>
      </c>
      <c r="F645" s="42"/>
      <c r="G645" s="42">
        <v>1</v>
      </c>
      <c r="H645" s="42"/>
      <c r="I645" s="42" t="s">
        <v>419</v>
      </c>
      <c r="J645" s="42" t="s">
        <v>2516</v>
      </c>
      <c r="K645" s="44">
        <v>558</v>
      </c>
      <c r="L645" s="44">
        <f t="shared" si="165"/>
        <v>118.16</v>
      </c>
      <c r="M645" s="42" t="s">
        <v>1812</v>
      </c>
      <c r="N645" s="52" t="str">
        <f t="shared" si="152"/>
        <v>(5,'PS-05-GR1','Poste de Sectionnement n°05 GR1','Monday-01-jj','Monday-01-jj',,1,),</v>
      </c>
    </row>
    <row r="646" spans="1:14" ht="20.100000000000001" customHeight="1" x14ac:dyDescent="0.25">
      <c r="A646" s="39">
        <v>6</v>
      </c>
      <c r="B646" s="40" t="str">
        <f t="shared" si="163"/>
        <v>PS-06-GR1</v>
      </c>
      <c r="C646" s="52" t="str">
        <f t="shared" si="164"/>
        <v>Poste de Sectionnement n°06 GR1</v>
      </c>
      <c r="D646" s="19">
        <v>35065</v>
      </c>
      <c r="E646" s="19">
        <v>35065</v>
      </c>
      <c r="F646" s="42"/>
      <c r="G646" s="42">
        <v>1</v>
      </c>
      <c r="H646" s="42"/>
      <c r="I646" s="42" t="s">
        <v>419</v>
      </c>
      <c r="J646" s="42" t="s">
        <v>2517</v>
      </c>
      <c r="K646" s="44">
        <v>552</v>
      </c>
      <c r="L646" s="44">
        <f t="shared" si="165"/>
        <v>136.44999999999999</v>
      </c>
      <c r="M646" s="42" t="s">
        <v>1812</v>
      </c>
      <c r="N646" s="52" t="str">
        <f t="shared" si="152"/>
        <v>(6,'PS-06-GR1','Poste de Sectionnement n°06 GR1','Monday-01-jj','Monday-01-jj',,1,),</v>
      </c>
    </row>
    <row r="647" spans="1:14" ht="20.100000000000001" customHeight="1" x14ac:dyDescent="0.25">
      <c r="A647" s="39">
        <v>7</v>
      </c>
      <c r="B647" s="40" t="str">
        <f t="shared" si="163"/>
        <v>PS-07-GR1</v>
      </c>
      <c r="C647" s="52" t="str">
        <f t="shared" si="164"/>
        <v>Poste de Sectionnement n°07 GR1</v>
      </c>
      <c r="D647" s="19">
        <v>35065</v>
      </c>
      <c r="E647" s="19">
        <v>35065</v>
      </c>
      <c r="F647" s="42"/>
      <c r="G647" s="42">
        <v>1</v>
      </c>
      <c r="H647" s="42"/>
      <c r="I647" s="42" t="s">
        <v>419</v>
      </c>
      <c r="J647" s="42" t="s">
        <v>2518</v>
      </c>
      <c r="K647" s="44">
        <v>569</v>
      </c>
      <c r="L647" s="44">
        <f t="shared" si="165"/>
        <v>156.34</v>
      </c>
      <c r="M647" s="42" t="s">
        <v>1812</v>
      </c>
      <c r="N647" s="52" t="str">
        <f t="shared" si="152"/>
        <v>(7,'PS-07-GR1','Poste de Sectionnement n°07 GR1','Monday-01-jj','Monday-01-jj',,1,),</v>
      </c>
    </row>
    <row r="648" spans="1:14" ht="20.100000000000001" customHeight="1" x14ac:dyDescent="0.25">
      <c r="A648" s="39">
        <v>8</v>
      </c>
      <c r="B648" s="40" t="str">
        <f t="shared" si="163"/>
        <v>PS-08-GR1</v>
      </c>
      <c r="C648" s="52" t="str">
        <f t="shared" si="164"/>
        <v>Poste de Sectionnement n°08 GR1</v>
      </c>
      <c r="D648" s="19">
        <v>35065</v>
      </c>
      <c r="E648" s="19">
        <v>35065</v>
      </c>
      <c r="F648" s="42"/>
      <c r="G648" s="42">
        <v>1</v>
      </c>
      <c r="H648" s="42"/>
      <c r="I648" s="42" t="s">
        <v>419</v>
      </c>
      <c r="J648" s="42" t="s">
        <v>2519</v>
      </c>
      <c r="K648" s="44">
        <v>567</v>
      </c>
      <c r="L648" s="44">
        <f t="shared" si="165"/>
        <v>176.17</v>
      </c>
      <c r="M648" s="42" t="s">
        <v>1812</v>
      </c>
      <c r="N648" s="52" t="str">
        <f t="shared" si="152"/>
        <v>(8,'PS-08-GR1','Poste de Sectionnement n°08 GR1','Monday-01-jj','Monday-01-jj',,1,),</v>
      </c>
    </row>
    <row r="649" spans="1:14" ht="20.100000000000001" customHeight="1" x14ac:dyDescent="0.25">
      <c r="A649" s="39">
        <v>9</v>
      </c>
      <c r="B649" s="40" t="str">
        <f t="shared" si="163"/>
        <v>PS-09-GR1</v>
      </c>
      <c r="C649" s="52" t="str">
        <f t="shared" si="164"/>
        <v>Poste de Sectionnement n°09 GR1</v>
      </c>
      <c r="D649" s="19">
        <v>35065</v>
      </c>
      <c r="E649" s="19">
        <v>35065</v>
      </c>
      <c r="F649" s="42"/>
      <c r="G649" s="42">
        <v>1</v>
      </c>
      <c r="H649" s="42"/>
      <c r="I649" s="42" t="s">
        <v>419</v>
      </c>
      <c r="J649" s="42" t="s">
        <v>2520</v>
      </c>
      <c r="K649" s="44">
        <v>540</v>
      </c>
      <c r="L649" s="44">
        <f t="shared" si="165"/>
        <v>195.77</v>
      </c>
      <c r="M649" s="42" t="s">
        <v>1812</v>
      </c>
      <c r="N649" s="52" t="str">
        <f t="shared" si="152"/>
        <v>(9,'PS-09-GR1','Poste de Sectionnement n°09 GR1','Monday-01-jj','Monday-01-jj',,1,),</v>
      </c>
    </row>
    <row r="650" spans="1:14" ht="20.100000000000001" customHeight="1" x14ac:dyDescent="0.25">
      <c r="A650" s="39">
        <v>10</v>
      </c>
      <c r="B650" s="40" t="str">
        <f t="shared" si="163"/>
        <v>PS-10-GR1</v>
      </c>
      <c r="C650" s="52" t="str">
        <f t="shared" si="164"/>
        <v>Poste de Sectionnement n°10 GR1</v>
      </c>
      <c r="D650" s="19">
        <v>35065</v>
      </c>
      <c r="E650" s="19">
        <v>35065</v>
      </c>
      <c r="F650" s="42"/>
      <c r="G650" s="42">
        <v>1</v>
      </c>
      <c r="H650" s="42"/>
      <c r="I650" s="42" t="s">
        <v>419</v>
      </c>
      <c r="J650" s="42" t="s">
        <v>2521</v>
      </c>
      <c r="K650" s="44">
        <v>497</v>
      </c>
      <c r="L650" s="44">
        <f t="shared" si="165"/>
        <v>214.14</v>
      </c>
      <c r="M650" s="42" t="s">
        <v>1812</v>
      </c>
      <c r="N650" s="52" t="str">
        <f t="shared" si="152"/>
        <v>(10,'PS-10-GR1','Poste de Sectionnement n°10 GR1','Monday-01-jj','Monday-01-jj',,1,),</v>
      </c>
    </row>
    <row r="651" spans="1:14" ht="20.100000000000001" customHeight="1" x14ac:dyDescent="0.25">
      <c r="A651" s="39">
        <v>11</v>
      </c>
      <c r="B651" s="40" t="str">
        <f t="shared" si="163"/>
        <v>PS-11-GR1</v>
      </c>
      <c r="C651" s="52" t="str">
        <f t="shared" si="164"/>
        <v>Poste de Sectionnement n°11 GR1</v>
      </c>
      <c r="D651" s="19">
        <v>35065</v>
      </c>
      <c r="E651" s="19">
        <v>35065</v>
      </c>
      <c r="F651" s="42"/>
      <c r="G651" s="42">
        <v>1</v>
      </c>
      <c r="H651" s="42"/>
      <c r="I651" s="42" t="s">
        <v>419</v>
      </c>
      <c r="J651" s="42" t="s">
        <v>2522</v>
      </c>
      <c r="K651" s="44">
        <v>413</v>
      </c>
      <c r="L651" s="44">
        <f t="shared" si="165"/>
        <v>248.47</v>
      </c>
      <c r="M651" s="42" t="s">
        <v>1812</v>
      </c>
      <c r="N651" s="52" t="str">
        <f t="shared" si="152"/>
        <v>(11,'PS-11-GR1','Poste de Sectionnement n°11 GR1','Monday-01-jj','Monday-01-jj',,1,),</v>
      </c>
    </row>
    <row r="652" spans="1:14" ht="20.100000000000001" customHeight="1" x14ac:dyDescent="0.25">
      <c r="A652" s="39">
        <v>12</v>
      </c>
      <c r="B652" s="40" t="str">
        <f t="shared" si="163"/>
        <v>PS-12-GR1</v>
      </c>
      <c r="C652" s="52" t="str">
        <f t="shared" si="164"/>
        <v>Poste de Sectionnement n°12 GR1</v>
      </c>
      <c r="D652" s="19">
        <v>35065</v>
      </c>
      <c r="E652" s="19">
        <v>35065</v>
      </c>
      <c r="F652" s="42"/>
      <c r="G652" s="42">
        <v>1</v>
      </c>
      <c r="H652" s="42"/>
      <c r="I652" s="42" t="s">
        <v>419</v>
      </c>
      <c r="J652" s="42" t="s">
        <v>2523</v>
      </c>
      <c r="K652" s="44">
        <v>423</v>
      </c>
      <c r="L652" s="44">
        <f t="shared" si="165"/>
        <v>263.67</v>
      </c>
      <c r="M652" s="42" t="s">
        <v>1812</v>
      </c>
      <c r="N652" s="52" t="str">
        <f t="shared" si="152"/>
        <v>(12,'PS-12-GR1','Poste de Sectionnement n°12 GR1','Monday-01-jj','Monday-01-jj',,1,),</v>
      </c>
    </row>
    <row r="653" spans="1:14" ht="20.100000000000001" customHeight="1" x14ac:dyDescent="0.25">
      <c r="A653" s="39">
        <v>13</v>
      </c>
      <c r="B653" s="40" t="str">
        <f t="shared" si="163"/>
        <v>PS-13-GR1</v>
      </c>
      <c r="C653" s="52" t="str">
        <f t="shared" si="164"/>
        <v>Poste de Sectionnement n°13 GR1</v>
      </c>
      <c r="D653" s="19">
        <v>35065</v>
      </c>
      <c r="E653" s="19">
        <v>35065</v>
      </c>
      <c r="F653" s="42"/>
      <c r="G653" s="42">
        <v>1</v>
      </c>
      <c r="H653" s="42"/>
      <c r="I653" s="42" t="s">
        <v>419</v>
      </c>
      <c r="J653" s="42" t="s">
        <v>2524</v>
      </c>
      <c r="K653" s="44">
        <v>350</v>
      </c>
      <c r="L653" s="44">
        <f t="shared" si="165"/>
        <v>281.57</v>
      </c>
      <c r="M653" s="42" t="s">
        <v>1812</v>
      </c>
      <c r="N653" s="52" t="str">
        <f t="shared" si="152"/>
        <v>(13,'PS-13-GR1','Poste de Sectionnement n°13 GR1','Monday-01-jj','Monday-01-jj',,1,),</v>
      </c>
    </row>
    <row r="654" spans="1:14" ht="20.100000000000001" customHeight="1" x14ac:dyDescent="0.25">
      <c r="A654" s="39">
        <v>14</v>
      </c>
      <c r="B654" s="40" t="str">
        <f t="shared" si="163"/>
        <v>PS-14-GR1</v>
      </c>
      <c r="C654" s="52" t="str">
        <f t="shared" si="164"/>
        <v>Poste de Sectionnement n°14 GR1</v>
      </c>
      <c r="D654" s="19">
        <v>35065</v>
      </c>
      <c r="E654" s="19">
        <v>35065</v>
      </c>
      <c r="F654" s="42"/>
      <c r="G654" s="42">
        <v>1</v>
      </c>
      <c r="H654" s="42"/>
      <c r="I654" s="42" t="s">
        <v>419</v>
      </c>
      <c r="J654" s="42" t="s">
        <v>2525</v>
      </c>
      <c r="K654" s="44">
        <v>316</v>
      </c>
      <c r="L654" s="44">
        <f t="shared" si="165"/>
        <v>317.10000000000002</v>
      </c>
      <c r="M654" s="42" t="s">
        <v>1812</v>
      </c>
      <c r="N654" s="52" t="str">
        <f t="shared" si="152"/>
        <v>(14,'PS-14-GR1','Poste de Sectionnement n°14 GR1','Monday-01-jj','Monday-01-jj',,1,),</v>
      </c>
    </row>
    <row r="655" spans="1:14" ht="20.100000000000001" customHeight="1" x14ac:dyDescent="0.25">
      <c r="A655" s="39">
        <v>15</v>
      </c>
      <c r="B655" s="40" t="str">
        <f t="shared" si="163"/>
        <v>PS-15-GR1</v>
      </c>
      <c r="C655" s="52" t="str">
        <f t="shared" si="164"/>
        <v>Poste de Sectionnement n°15 GR1</v>
      </c>
      <c r="D655" s="19">
        <v>35065</v>
      </c>
      <c r="E655" s="19">
        <v>35065</v>
      </c>
      <c r="F655" s="42"/>
      <c r="G655" s="42">
        <v>1</v>
      </c>
      <c r="H655" s="42"/>
      <c r="I655" s="42" t="s">
        <v>419</v>
      </c>
      <c r="J655" s="42" t="s">
        <v>2526</v>
      </c>
      <c r="K655" s="44">
        <v>316</v>
      </c>
      <c r="L655" s="44">
        <f t="shared" si="165"/>
        <v>336.05</v>
      </c>
      <c r="M655" s="42" t="s">
        <v>1812</v>
      </c>
      <c r="N655" s="52" t="str">
        <f t="shared" si="152"/>
        <v>(15,'PS-15-GR1','Poste de Sectionnement n°15 GR1','Monday-01-jj','Monday-01-jj',,1,),</v>
      </c>
    </row>
    <row r="656" spans="1:14" ht="20.100000000000001" customHeight="1" x14ac:dyDescent="0.25">
      <c r="A656" s="39">
        <v>16</v>
      </c>
      <c r="B656" s="40" t="str">
        <f t="shared" si="163"/>
        <v>PS-16-GR1</v>
      </c>
      <c r="C656" s="52" t="str">
        <f t="shared" si="164"/>
        <v>Poste de Sectionnement n°16 GR1</v>
      </c>
      <c r="D656" s="19">
        <v>35065</v>
      </c>
      <c r="E656" s="19">
        <v>35065</v>
      </c>
      <c r="F656" s="42"/>
      <c r="G656" s="42">
        <v>1</v>
      </c>
      <c r="H656" s="42"/>
      <c r="I656" s="42" t="s">
        <v>419</v>
      </c>
      <c r="J656" s="42" t="s">
        <v>2527</v>
      </c>
      <c r="K656" s="44">
        <v>302</v>
      </c>
      <c r="L656" s="44">
        <f t="shared" si="165"/>
        <v>357.03</v>
      </c>
      <c r="M656" s="42" t="s">
        <v>1812</v>
      </c>
      <c r="N656" s="52" t="str">
        <f t="shared" si="152"/>
        <v>(16,'PS-16-GR1','Poste de Sectionnement n°16 GR1','Monday-01-jj','Monday-01-jj',,1,),</v>
      </c>
    </row>
    <row r="657" spans="1:14" ht="20.100000000000001" customHeight="1" x14ac:dyDescent="0.25">
      <c r="A657" s="39">
        <v>17</v>
      </c>
      <c r="B657" s="40" t="str">
        <f t="shared" si="163"/>
        <v>PS-17-GR1</v>
      </c>
      <c r="C657" s="52" t="str">
        <f t="shared" si="164"/>
        <v>Poste de Sectionnement n°17 GR1</v>
      </c>
      <c r="D657" s="19">
        <v>35065</v>
      </c>
      <c r="E657" s="19">
        <v>35065</v>
      </c>
      <c r="F657" s="42"/>
      <c r="G657" s="42">
        <v>1</v>
      </c>
      <c r="H657" s="42"/>
      <c r="I657" s="42" t="s">
        <v>419</v>
      </c>
      <c r="J657" s="42" t="s">
        <v>2528</v>
      </c>
      <c r="K657" s="44">
        <v>288</v>
      </c>
      <c r="L657" s="44">
        <f t="shared" si="165"/>
        <v>377.92</v>
      </c>
      <c r="M657" s="42" t="s">
        <v>1812</v>
      </c>
      <c r="N657" s="52" t="str">
        <f t="shared" si="152"/>
        <v>(17,'PS-17-GR1','Poste de Sectionnement n°17 GR1','Monday-01-jj','Monday-01-jj',,1,),</v>
      </c>
    </row>
    <row r="658" spans="1:14" ht="20.100000000000001" customHeight="1" x14ac:dyDescent="0.25">
      <c r="A658" s="39">
        <v>18</v>
      </c>
      <c r="B658" s="40" t="str">
        <f t="shared" si="163"/>
        <v>PS-18-GR1</v>
      </c>
      <c r="C658" s="52" t="str">
        <f t="shared" si="164"/>
        <v>Poste de Sectionnement n°18 GR1</v>
      </c>
      <c r="D658" s="19">
        <v>35065</v>
      </c>
      <c r="E658" s="19">
        <v>35065</v>
      </c>
      <c r="F658" s="42"/>
      <c r="G658" s="42">
        <v>1</v>
      </c>
      <c r="H658" s="42"/>
      <c r="I658" s="42" t="s">
        <v>419</v>
      </c>
      <c r="J658" s="42" t="s">
        <v>2529</v>
      </c>
      <c r="K658" s="44">
        <v>273</v>
      </c>
      <c r="L658" s="44">
        <f t="shared" si="165"/>
        <v>397.62</v>
      </c>
      <c r="M658" s="42" t="s">
        <v>1812</v>
      </c>
      <c r="N658" s="52" t="str">
        <f t="shared" si="152"/>
        <v>(18,'PS-18-GR1','Poste de Sectionnement n°18 GR1','Monday-01-jj','Monday-01-jj',,1,),</v>
      </c>
    </row>
    <row r="659" spans="1:14" ht="20.100000000000001" customHeight="1" x14ac:dyDescent="0.25">
      <c r="A659" s="39">
        <v>19</v>
      </c>
      <c r="B659" s="40" t="str">
        <f t="shared" si="163"/>
        <v>PS-19-GR1</v>
      </c>
      <c r="C659" s="52" t="str">
        <f t="shared" si="164"/>
        <v>Poste de Sectionnement n°19 GR1</v>
      </c>
      <c r="D659" s="19">
        <v>35065</v>
      </c>
      <c r="E659" s="19">
        <v>35065</v>
      </c>
      <c r="F659" s="42"/>
      <c r="G659" s="42">
        <v>1</v>
      </c>
      <c r="H659" s="42"/>
      <c r="I659" s="42" t="s">
        <v>419</v>
      </c>
      <c r="J659" s="42" t="s">
        <v>2530</v>
      </c>
      <c r="K659" s="44">
        <v>262</v>
      </c>
      <c r="L659" s="44">
        <f t="shared" si="165"/>
        <v>413.72</v>
      </c>
      <c r="M659" s="42" t="s">
        <v>1812</v>
      </c>
      <c r="N659" s="52" t="str">
        <f t="shared" si="152"/>
        <v>(19,'PS-19-GR1','Poste de Sectionnement n°19 GR1','Monday-01-jj','Monday-01-jj',,1,),</v>
      </c>
    </row>
    <row r="660" spans="1:14" ht="20.100000000000001" customHeight="1" x14ac:dyDescent="0.25">
      <c r="A660" s="39">
        <v>20</v>
      </c>
      <c r="B660" s="40" t="str">
        <f t="shared" si="163"/>
        <v>PS-20-GR1</v>
      </c>
      <c r="C660" s="52" t="str">
        <f t="shared" si="164"/>
        <v>Poste de Sectionnement n°20 GR1</v>
      </c>
      <c r="D660" s="19">
        <v>35065</v>
      </c>
      <c r="E660" s="19">
        <v>35065</v>
      </c>
      <c r="F660" s="42"/>
      <c r="G660" s="42">
        <v>1</v>
      </c>
      <c r="H660" s="42"/>
      <c r="I660" s="42" t="s">
        <v>419</v>
      </c>
      <c r="J660" s="42" t="s">
        <v>2531</v>
      </c>
      <c r="K660" s="44">
        <v>239</v>
      </c>
      <c r="L660" s="44">
        <f t="shared" si="165"/>
        <v>450.81</v>
      </c>
      <c r="M660" s="42" t="s">
        <v>1812</v>
      </c>
      <c r="N660" s="52" t="str">
        <f t="shared" si="152"/>
        <v>(20,'PS-20-GR1','Poste de Sectionnement n°20 GR1','Monday-01-jj','Monday-01-jj',,1,),</v>
      </c>
    </row>
    <row r="661" spans="1:14" ht="20.100000000000001" customHeight="1" x14ac:dyDescent="0.25">
      <c r="A661" s="39">
        <v>21</v>
      </c>
      <c r="B661" s="40" t="str">
        <f t="shared" si="163"/>
        <v>PS-21-GR1</v>
      </c>
      <c r="C661" s="52" t="str">
        <f t="shared" si="164"/>
        <v>Poste de Sectionnement n°21 GR1</v>
      </c>
      <c r="D661" s="19">
        <v>35065</v>
      </c>
      <c r="E661" s="19">
        <v>35065</v>
      </c>
      <c r="F661" s="42"/>
      <c r="G661" s="42">
        <v>1</v>
      </c>
      <c r="H661" s="42"/>
      <c r="I661" s="42" t="s">
        <v>419</v>
      </c>
      <c r="J661" s="42" t="s">
        <v>2532</v>
      </c>
      <c r="K661" s="44">
        <v>229</v>
      </c>
      <c r="L661" s="44">
        <f t="shared" si="165"/>
        <v>468.81</v>
      </c>
      <c r="M661" s="42" t="s">
        <v>1006</v>
      </c>
      <c r="N661" s="52" t="str">
        <f t="shared" si="152"/>
        <v>(21,'PS-21-GR1','Poste de Sectionnement n°21 GR1','Monday-01-jj','Monday-01-jj',,1,),</v>
      </c>
    </row>
    <row r="662" spans="1:14" ht="20.100000000000001" customHeight="1" x14ac:dyDescent="0.25">
      <c r="A662" s="39">
        <v>22</v>
      </c>
      <c r="B662" s="40" t="str">
        <f t="shared" si="163"/>
        <v>PS-22-GR1</v>
      </c>
      <c r="C662" s="52" t="str">
        <f t="shared" si="164"/>
        <v>Poste de Sectionnement n°22 GR1</v>
      </c>
      <c r="D662" s="19">
        <v>35065</v>
      </c>
      <c r="E662" s="19">
        <v>35065</v>
      </c>
      <c r="F662" s="42"/>
      <c r="G662" s="42">
        <v>1</v>
      </c>
      <c r="H662" s="42"/>
      <c r="I662" s="42" t="s">
        <v>419</v>
      </c>
      <c r="J662" s="42" t="s">
        <v>2533</v>
      </c>
      <c r="K662" s="44">
        <v>220</v>
      </c>
      <c r="L662" s="44">
        <f t="shared" si="165"/>
        <v>486.81</v>
      </c>
      <c r="M662" s="42" t="s">
        <v>1006</v>
      </c>
      <c r="N662" s="52" t="str">
        <f t="shared" ref="N662:N725" si="166">CONCATENATE("(",A662,",'",B662,"','",C662,"','",TEXT(D662,"aaaa-mm-jj"),"','",TEXT(E662,"aaaa-mm-jj"),"',",F662,",",G662,",",H662,"),")</f>
        <v>(22,'PS-22-GR1','Poste de Sectionnement n°22 GR1','Monday-01-jj','Monday-01-jj',,1,),</v>
      </c>
    </row>
    <row r="663" spans="1:14" ht="20.100000000000001" customHeight="1" x14ac:dyDescent="0.25">
      <c r="A663" s="39">
        <v>23</v>
      </c>
      <c r="B663" s="40" t="str">
        <f t="shared" si="163"/>
        <v>PS-23-GR1</v>
      </c>
      <c r="C663" s="52" t="str">
        <f t="shared" si="164"/>
        <v>Poste de Sectionnement n°23 GR1</v>
      </c>
      <c r="D663" s="19">
        <v>35065</v>
      </c>
      <c r="E663" s="19">
        <v>35065</v>
      </c>
      <c r="F663" s="42"/>
      <c r="G663" s="42">
        <v>1</v>
      </c>
      <c r="H663" s="42"/>
      <c r="I663" s="42" t="s">
        <v>419</v>
      </c>
      <c r="J663" s="42" t="s">
        <v>2534</v>
      </c>
      <c r="K663" s="44">
        <v>198</v>
      </c>
      <c r="L663" s="44">
        <f t="shared" si="165"/>
        <v>526.34</v>
      </c>
      <c r="M663" s="42" t="s">
        <v>1006</v>
      </c>
      <c r="N663" s="52" t="str">
        <f t="shared" si="166"/>
        <v>(23,'PS-23-GR1','Poste de Sectionnement n°23 GR1','Monday-01-jj','Monday-01-jj',,1,),</v>
      </c>
    </row>
    <row r="664" spans="1:14" ht="20.100000000000001" customHeight="1" x14ac:dyDescent="0.25">
      <c r="A664" s="39">
        <v>24</v>
      </c>
      <c r="B664" s="40" t="str">
        <f t="shared" si="163"/>
        <v>PS-24-GR1</v>
      </c>
      <c r="C664" s="52" t="str">
        <f t="shared" si="164"/>
        <v>Poste de Sectionnement n°24 GR1</v>
      </c>
      <c r="D664" s="19">
        <v>35065</v>
      </c>
      <c r="E664" s="19">
        <v>35065</v>
      </c>
      <c r="F664" s="42"/>
      <c r="G664" s="42">
        <v>1</v>
      </c>
      <c r="H664" s="42"/>
      <c r="I664" s="42" t="s">
        <v>419</v>
      </c>
      <c r="J664" s="42" t="s">
        <v>2535</v>
      </c>
      <c r="K664" s="44">
        <v>186</v>
      </c>
      <c r="L664" s="44">
        <f t="shared" si="165"/>
        <v>546.94000000000005</v>
      </c>
      <c r="M664" s="42" t="s">
        <v>1006</v>
      </c>
      <c r="N664" s="52" t="str">
        <f t="shared" si="166"/>
        <v>(24,'PS-24-GR1','Poste de Sectionnement n°24 GR1','Monday-01-jj','Monday-01-jj',,1,),</v>
      </c>
    </row>
    <row r="665" spans="1:14" ht="20.100000000000001" customHeight="1" x14ac:dyDescent="0.25">
      <c r="A665" s="39">
        <v>25</v>
      </c>
      <c r="B665" s="40" t="str">
        <f t="shared" si="163"/>
        <v>PS-25-GR1</v>
      </c>
      <c r="C665" s="52" t="str">
        <f t="shared" si="164"/>
        <v>Poste de Sectionnement n°25 GR1</v>
      </c>
      <c r="D665" s="19">
        <v>35065</v>
      </c>
      <c r="E665" s="19">
        <v>35065</v>
      </c>
      <c r="F665" s="42"/>
      <c r="G665" s="42">
        <v>1</v>
      </c>
      <c r="H665" s="42"/>
      <c r="I665" s="42" t="s">
        <v>419</v>
      </c>
      <c r="J665" s="42" t="s">
        <v>2536</v>
      </c>
      <c r="K665" s="44">
        <v>177</v>
      </c>
      <c r="L665" s="44">
        <f t="shared" si="165"/>
        <v>567.64</v>
      </c>
      <c r="M665" s="42" t="s">
        <v>1006</v>
      </c>
      <c r="N665" s="52" t="str">
        <f t="shared" si="166"/>
        <v>(25,'PS-25-GR1','Poste de Sectionnement n°25 GR1','Monday-01-jj','Monday-01-jj',,1,),</v>
      </c>
    </row>
    <row r="666" spans="1:14" ht="20.100000000000001" customHeight="1" x14ac:dyDescent="0.25">
      <c r="A666" s="39">
        <v>26</v>
      </c>
      <c r="B666" s="40" t="str">
        <f t="shared" si="163"/>
        <v>PS-26-GR1</v>
      </c>
      <c r="C666" s="52" t="str">
        <f t="shared" si="164"/>
        <v>Poste de Sectionnement n°26 GR1</v>
      </c>
      <c r="D666" s="19">
        <v>35065</v>
      </c>
      <c r="E666" s="19">
        <v>35065</v>
      </c>
      <c r="F666" s="42"/>
      <c r="G666" s="42">
        <v>1</v>
      </c>
      <c r="H666" s="42"/>
      <c r="I666" s="42" t="s">
        <v>419</v>
      </c>
      <c r="J666" s="42" t="s">
        <v>2537</v>
      </c>
      <c r="K666" s="44">
        <v>158</v>
      </c>
      <c r="L666" s="44">
        <f t="shared" si="165"/>
        <v>606.9</v>
      </c>
      <c r="M666" s="42" t="s">
        <v>1006</v>
      </c>
      <c r="N666" s="52" t="str">
        <f t="shared" si="166"/>
        <v>(26,'PS-26-GR1','Poste de Sectionnement n°26 GR1','Monday-01-jj','Monday-01-jj',,1,),</v>
      </c>
    </row>
    <row r="667" spans="1:14" ht="20.100000000000001" customHeight="1" x14ac:dyDescent="0.25">
      <c r="A667" s="39">
        <v>27</v>
      </c>
      <c r="B667" s="40" t="str">
        <f t="shared" si="163"/>
        <v>PS-27-GR1</v>
      </c>
      <c r="C667" s="52" t="str">
        <f t="shared" si="164"/>
        <v>Poste de Sectionnement n°27 GR1</v>
      </c>
      <c r="D667" s="19">
        <v>35065</v>
      </c>
      <c r="E667" s="19">
        <v>35065</v>
      </c>
      <c r="F667" s="42"/>
      <c r="G667" s="42">
        <v>1</v>
      </c>
      <c r="H667" s="42"/>
      <c r="I667" s="42" t="s">
        <v>419</v>
      </c>
      <c r="J667" s="42" t="s">
        <v>2538</v>
      </c>
      <c r="K667" s="44">
        <v>150</v>
      </c>
      <c r="L667" s="44">
        <f t="shared" si="165"/>
        <v>625.70000000000005</v>
      </c>
      <c r="M667" s="42" t="s">
        <v>1006</v>
      </c>
      <c r="N667" s="52" t="str">
        <f t="shared" si="166"/>
        <v>(27,'PS-27-GR1','Poste de Sectionnement n°27 GR1','Monday-01-jj','Monday-01-jj',,1,),</v>
      </c>
    </row>
    <row r="668" spans="1:14" ht="20.100000000000001" customHeight="1" x14ac:dyDescent="0.25">
      <c r="A668" s="39">
        <v>28</v>
      </c>
      <c r="B668" s="40" t="str">
        <f t="shared" si="163"/>
        <v>PS-28-GR1</v>
      </c>
      <c r="C668" s="52" t="str">
        <f t="shared" si="164"/>
        <v>Poste de Sectionnement n°28 GR1</v>
      </c>
      <c r="D668" s="19">
        <v>35065</v>
      </c>
      <c r="E668" s="19">
        <v>35065</v>
      </c>
      <c r="F668" s="42"/>
      <c r="G668" s="42">
        <v>1</v>
      </c>
      <c r="H668" s="42"/>
      <c r="I668" s="42" t="s">
        <v>419</v>
      </c>
      <c r="J668" s="42" t="s">
        <v>2539</v>
      </c>
      <c r="K668" s="44">
        <v>148</v>
      </c>
      <c r="L668" s="44">
        <f t="shared" si="165"/>
        <v>640.86</v>
      </c>
      <c r="M668" s="42" t="s">
        <v>1006</v>
      </c>
      <c r="N668" s="52" t="str">
        <f t="shared" si="166"/>
        <v>(28,'PS-28-GR1','Poste de Sectionnement n°28 GR1','Monday-01-jj','Monday-01-jj',,1,),</v>
      </c>
    </row>
    <row r="669" spans="1:14" ht="20.100000000000001" customHeight="1" x14ac:dyDescent="0.25">
      <c r="A669" s="39">
        <v>29</v>
      </c>
      <c r="B669" s="40" t="str">
        <f t="shared" si="163"/>
        <v>PS-29-GR1</v>
      </c>
      <c r="C669" s="52" t="str">
        <f t="shared" si="164"/>
        <v>Poste de Sectionnement n°29 GR1</v>
      </c>
      <c r="D669" s="19">
        <v>35065</v>
      </c>
      <c r="E669" s="19">
        <v>35065</v>
      </c>
      <c r="F669" s="42"/>
      <c r="G669" s="42">
        <v>1</v>
      </c>
      <c r="H669" s="42"/>
      <c r="I669" s="42" t="s">
        <v>419</v>
      </c>
      <c r="J669" s="42" t="s">
        <v>2540</v>
      </c>
      <c r="K669" s="44">
        <v>156</v>
      </c>
      <c r="L669" s="44">
        <f t="shared" si="165"/>
        <v>675.33</v>
      </c>
      <c r="M669" s="42" t="s">
        <v>2552</v>
      </c>
      <c r="N669" s="52" t="str">
        <f t="shared" si="166"/>
        <v>(29,'PS-29-GR1','Poste de Sectionnement n°29 GR1','Monday-01-jj','Monday-01-jj',,1,),</v>
      </c>
    </row>
    <row r="670" spans="1:14" ht="20.100000000000001" customHeight="1" x14ac:dyDescent="0.25">
      <c r="A670" s="39">
        <v>30</v>
      </c>
      <c r="B670" s="40" t="str">
        <f t="shared" si="163"/>
        <v>PS-30-GR1</v>
      </c>
      <c r="C670" s="52" t="str">
        <f t="shared" si="164"/>
        <v>Poste de Sectionnement n°30 GR1</v>
      </c>
      <c r="D670" s="19">
        <v>35065</v>
      </c>
      <c r="E670" s="19">
        <v>35065</v>
      </c>
      <c r="F670" s="42"/>
      <c r="G670" s="42">
        <v>1</v>
      </c>
      <c r="H670" s="42"/>
      <c r="I670" s="42" t="s">
        <v>419</v>
      </c>
      <c r="J670" s="42" t="s">
        <v>2541</v>
      </c>
      <c r="K670" s="44">
        <v>174</v>
      </c>
      <c r="L670" s="44">
        <f t="shared" si="165"/>
        <v>695.33</v>
      </c>
      <c r="M670" s="42" t="s">
        <v>2552</v>
      </c>
      <c r="N670" s="52" t="str">
        <f t="shared" si="166"/>
        <v>(30,'PS-30-GR1','Poste de Sectionnement n°30 GR1','Monday-01-jj','Monday-01-jj',,1,),</v>
      </c>
    </row>
    <row r="671" spans="1:14" ht="20.100000000000001" customHeight="1" x14ac:dyDescent="0.25">
      <c r="A671" s="39">
        <v>31</v>
      </c>
      <c r="B671" s="40" t="str">
        <f t="shared" si="163"/>
        <v>PS-31-GR1</v>
      </c>
      <c r="C671" s="52" t="str">
        <f t="shared" si="164"/>
        <v>Poste de Sectionnement n°31 GR1</v>
      </c>
      <c r="D671" s="19">
        <v>35065</v>
      </c>
      <c r="E671" s="19">
        <v>35065</v>
      </c>
      <c r="F671" s="42"/>
      <c r="G671" s="42">
        <v>1</v>
      </c>
      <c r="H671" s="42"/>
      <c r="I671" s="42" t="s">
        <v>419</v>
      </c>
      <c r="J671" s="42" t="s">
        <v>2542</v>
      </c>
      <c r="K671" s="44">
        <v>149</v>
      </c>
      <c r="L671" s="44">
        <f t="shared" si="165"/>
        <v>714.83</v>
      </c>
      <c r="M671" s="42" t="s">
        <v>2552</v>
      </c>
      <c r="N671" s="52" t="str">
        <f t="shared" si="166"/>
        <v>(31,'PS-31-GR1','Poste de Sectionnement n°31 GR1','Monday-01-jj','Monday-01-jj',,1,),</v>
      </c>
    </row>
    <row r="672" spans="1:14" ht="20.100000000000001" customHeight="1" x14ac:dyDescent="0.25">
      <c r="A672" s="39">
        <v>32</v>
      </c>
      <c r="B672" s="40" t="str">
        <f t="shared" si="163"/>
        <v>PS-32-GR1</v>
      </c>
      <c r="C672" s="52" t="str">
        <f t="shared" si="164"/>
        <v>Poste de Sectionnement n°32 GR1</v>
      </c>
      <c r="D672" s="19">
        <v>35065</v>
      </c>
      <c r="E672" s="19">
        <v>35065</v>
      </c>
      <c r="F672" s="42"/>
      <c r="G672" s="42">
        <v>1</v>
      </c>
      <c r="H672" s="42"/>
      <c r="I672" s="42" t="s">
        <v>419</v>
      </c>
      <c r="J672" s="42" t="s">
        <v>2543</v>
      </c>
      <c r="K672" s="44">
        <v>135</v>
      </c>
      <c r="L672" s="44">
        <f t="shared" si="165"/>
        <v>733.14</v>
      </c>
      <c r="M672" s="42" t="s">
        <v>2553</v>
      </c>
      <c r="N672" s="52" t="str">
        <f t="shared" si="166"/>
        <v>(32,'PS-32-GR1','Poste de Sectionnement n°32 GR1','Monday-01-jj','Monday-01-jj',,1,),</v>
      </c>
    </row>
    <row r="673" spans="1:14" ht="20.100000000000001" customHeight="1" x14ac:dyDescent="0.25">
      <c r="A673" s="39">
        <v>33</v>
      </c>
      <c r="B673" s="40" t="str">
        <f t="shared" si="163"/>
        <v>PS-33-GR1</v>
      </c>
      <c r="C673" s="52" t="str">
        <f t="shared" si="164"/>
        <v>Poste de Sectionnement n°33 GR1</v>
      </c>
      <c r="D673" s="19">
        <v>35065</v>
      </c>
      <c r="E673" s="19">
        <v>35065</v>
      </c>
      <c r="F673" s="42"/>
      <c r="G673" s="42">
        <v>1</v>
      </c>
      <c r="H673" s="42"/>
      <c r="I673" s="42" t="s">
        <v>419</v>
      </c>
      <c r="J673" s="42" t="s">
        <v>2544</v>
      </c>
      <c r="K673" s="44">
        <v>189</v>
      </c>
      <c r="L673" s="44">
        <f t="shared" si="165"/>
        <v>749.46</v>
      </c>
      <c r="M673" s="42" t="s">
        <v>752</v>
      </c>
      <c r="N673" s="52" t="str">
        <f t="shared" si="166"/>
        <v>(33,'PS-33-GR1','Poste de Sectionnement n°33 GR1','Monday-01-jj','Monday-01-jj',,1,),</v>
      </c>
    </row>
    <row r="674" spans="1:14" ht="20.100000000000001" customHeight="1" x14ac:dyDescent="0.25">
      <c r="A674" s="39">
        <v>34</v>
      </c>
      <c r="B674" s="40" t="str">
        <f t="shared" si="163"/>
        <v>PS-34-GR1</v>
      </c>
      <c r="C674" s="52" t="str">
        <f t="shared" si="164"/>
        <v>Poste de Sectionnement n°34 GR1</v>
      </c>
      <c r="D674" s="19">
        <v>35065</v>
      </c>
      <c r="E674" s="19">
        <v>35065</v>
      </c>
      <c r="F674" s="42"/>
      <c r="G674" s="42">
        <v>1</v>
      </c>
      <c r="H674" s="42"/>
      <c r="I674" s="42" t="s">
        <v>419</v>
      </c>
      <c r="J674" s="42" t="s">
        <v>2545</v>
      </c>
      <c r="K674" s="44">
        <v>246</v>
      </c>
      <c r="L674" s="44">
        <f t="shared" si="165"/>
        <v>789.91</v>
      </c>
      <c r="M674" s="42" t="s">
        <v>752</v>
      </c>
      <c r="N674" s="52" t="str">
        <f t="shared" si="166"/>
        <v>(34,'PS-34-GR1','Poste de Sectionnement n°34 GR1','Monday-01-jj','Monday-01-jj',,1,),</v>
      </c>
    </row>
    <row r="675" spans="1:14" ht="20.100000000000001" customHeight="1" x14ac:dyDescent="0.25">
      <c r="A675" s="39">
        <v>35</v>
      </c>
      <c r="B675" s="40" t="str">
        <f t="shared" si="163"/>
        <v>PS-35-GR1</v>
      </c>
      <c r="C675" s="52" t="str">
        <f t="shared" si="164"/>
        <v>Poste de Sectionnement n°35 GR1</v>
      </c>
      <c r="D675" s="19">
        <v>35065</v>
      </c>
      <c r="E675" s="19">
        <v>35065</v>
      </c>
      <c r="F675" s="42"/>
      <c r="G675" s="42">
        <v>1</v>
      </c>
      <c r="H675" s="42"/>
      <c r="I675" s="42" t="s">
        <v>419</v>
      </c>
      <c r="J675" s="42" t="s">
        <v>2546</v>
      </c>
      <c r="K675" s="44">
        <v>276</v>
      </c>
      <c r="L675" s="44">
        <f t="shared" si="165"/>
        <v>810.4</v>
      </c>
      <c r="M675" s="42" t="s">
        <v>752</v>
      </c>
      <c r="N675" s="52" t="str">
        <f t="shared" si="166"/>
        <v>(35,'PS-35-GR1','Poste de Sectionnement n°35 GR1','Monday-01-jj','Monday-01-jj',,1,),</v>
      </c>
    </row>
    <row r="676" spans="1:14" ht="20.100000000000001" customHeight="1" x14ac:dyDescent="0.25">
      <c r="A676" s="39">
        <v>36</v>
      </c>
      <c r="B676" s="40" t="str">
        <f t="shared" si="163"/>
        <v>PS-36-GR1</v>
      </c>
      <c r="C676" s="52" t="str">
        <f t="shared" si="164"/>
        <v>Poste de Sectionnement n°36 GR1</v>
      </c>
      <c r="D676" s="19">
        <v>35065</v>
      </c>
      <c r="E676" s="19">
        <v>35065</v>
      </c>
      <c r="F676" s="42"/>
      <c r="G676" s="42">
        <v>1</v>
      </c>
      <c r="H676" s="42"/>
      <c r="I676" s="42" t="s">
        <v>419</v>
      </c>
      <c r="J676" s="42" t="s">
        <v>2547</v>
      </c>
      <c r="K676" s="44">
        <v>316</v>
      </c>
      <c r="L676" s="44">
        <f t="shared" si="165"/>
        <v>830</v>
      </c>
      <c r="M676" s="42" t="s">
        <v>753</v>
      </c>
      <c r="N676" s="52" t="str">
        <f t="shared" si="166"/>
        <v>(36,'PS-36-GR1','Poste de Sectionnement n°36 GR1','Monday-01-jj','Monday-01-jj',,1,),</v>
      </c>
    </row>
    <row r="677" spans="1:14" ht="20.100000000000001" customHeight="1" x14ac:dyDescent="0.25">
      <c r="A677" s="39">
        <v>37</v>
      </c>
      <c r="B677" s="40" t="str">
        <f t="shared" si="163"/>
        <v>PS-37-GR1</v>
      </c>
      <c r="C677" s="52" t="str">
        <f t="shared" si="164"/>
        <v>Poste de Sectionnement n°37 GR1</v>
      </c>
      <c r="D677" s="19">
        <v>35065</v>
      </c>
      <c r="E677" s="19">
        <v>35065</v>
      </c>
      <c r="F677" s="42"/>
      <c r="G677" s="42">
        <v>1</v>
      </c>
      <c r="H677" s="42"/>
      <c r="I677" s="42" t="s">
        <v>419</v>
      </c>
      <c r="J677" s="42" t="s">
        <v>2548</v>
      </c>
      <c r="K677" s="44">
        <v>346</v>
      </c>
      <c r="L677" s="44">
        <f t="shared" si="165"/>
        <v>850.76</v>
      </c>
      <c r="M677" s="42" t="s">
        <v>753</v>
      </c>
      <c r="N677" s="52" t="str">
        <f t="shared" si="166"/>
        <v>(37,'PS-37-GR1','Poste de Sectionnement n°37 GR1','Monday-01-jj','Monday-01-jj',,1,),</v>
      </c>
    </row>
    <row r="678" spans="1:14" ht="20.100000000000001" customHeight="1" x14ac:dyDescent="0.25">
      <c r="A678" s="39">
        <v>38</v>
      </c>
      <c r="B678" s="40" t="str">
        <f t="shared" si="163"/>
        <v>PS-38-GR1</v>
      </c>
      <c r="C678" s="52" t="str">
        <f t="shared" si="164"/>
        <v>Poste de Sectionnement n°38 GR1</v>
      </c>
      <c r="D678" s="19">
        <v>35065</v>
      </c>
      <c r="E678" s="19">
        <v>35065</v>
      </c>
      <c r="F678" s="42"/>
      <c r="G678" s="42">
        <v>1</v>
      </c>
      <c r="H678" s="42"/>
      <c r="I678" s="42" t="s">
        <v>419</v>
      </c>
      <c r="J678" s="42" t="s">
        <v>1645</v>
      </c>
      <c r="K678" s="44">
        <v>478</v>
      </c>
      <c r="L678" s="44">
        <f t="shared" si="165"/>
        <v>890.99</v>
      </c>
      <c r="M678" s="42" t="s">
        <v>1835</v>
      </c>
      <c r="N678" s="52" t="str">
        <f t="shared" si="166"/>
        <v>(38,'PS-38-GR1','Poste de Sectionnement n°38 GR1','Monday-01-jj','Monday-01-jj',,1,),</v>
      </c>
    </row>
    <row r="679" spans="1:14" ht="20.100000000000001" customHeight="1" x14ac:dyDescent="0.25">
      <c r="A679" s="39">
        <v>39</v>
      </c>
      <c r="B679" s="40" t="str">
        <f t="shared" si="163"/>
        <v>PS-39-GR1</v>
      </c>
      <c r="C679" s="52" t="str">
        <f t="shared" si="164"/>
        <v>Poste de Sectionnement n°39 GR1</v>
      </c>
      <c r="D679" s="19">
        <v>35065</v>
      </c>
      <c r="E679" s="19">
        <v>35065</v>
      </c>
      <c r="F679" s="42"/>
      <c r="G679" s="42">
        <v>1</v>
      </c>
      <c r="H679" s="42"/>
      <c r="I679" s="42" t="s">
        <v>419</v>
      </c>
      <c r="J679" s="42" t="s">
        <v>2549</v>
      </c>
      <c r="K679" s="44">
        <v>582</v>
      </c>
      <c r="L679" s="44">
        <f t="shared" si="165"/>
        <v>910.93</v>
      </c>
      <c r="M679" s="42" t="s">
        <v>1836</v>
      </c>
      <c r="N679" s="52" t="str">
        <f t="shared" si="166"/>
        <v>(39,'PS-39-GR1','Poste de Sectionnement n°39 GR1','Monday-01-jj','Monday-01-jj',,1,),</v>
      </c>
    </row>
    <row r="680" spans="1:14" ht="20.100000000000001" customHeight="1" x14ac:dyDescent="0.25">
      <c r="A680" s="39">
        <v>40</v>
      </c>
      <c r="B680" s="40" t="str">
        <f t="shared" si="163"/>
        <v>PS-40-GR1</v>
      </c>
      <c r="C680" s="52" t="str">
        <f t="shared" si="164"/>
        <v>Poste de Sectionnement n°40 GR1</v>
      </c>
      <c r="D680" s="19">
        <v>35065</v>
      </c>
      <c r="E680" s="19">
        <v>35065</v>
      </c>
      <c r="F680" s="42"/>
      <c r="G680" s="42">
        <v>1</v>
      </c>
      <c r="H680" s="42"/>
      <c r="I680" s="42" t="s">
        <v>419</v>
      </c>
      <c r="J680" s="42" t="s">
        <v>2550</v>
      </c>
      <c r="K680" s="44">
        <v>626</v>
      </c>
      <c r="L680" s="44">
        <f t="shared" si="165"/>
        <v>928.86</v>
      </c>
      <c r="M680" s="42" t="s">
        <v>2554</v>
      </c>
      <c r="N680" s="52" t="str">
        <f t="shared" si="166"/>
        <v>(40,'PS-40-GR1','Poste de Sectionnement n°40 GR1','Monday-01-jj','Monday-01-jj',,1,),</v>
      </c>
    </row>
    <row r="681" spans="1:14" ht="20.100000000000001" customHeight="1" x14ac:dyDescent="0.25">
      <c r="A681" s="39">
        <v>41</v>
      </c>
      <c r="B681" s="40" t="str">
        <f t="shared" si="163"/>
        <v>PS-41-GR1</v>
      </c>
      <c r="C681" s="52" t="str">
        <f t="shared" si="164"/>
        <v>Poste de Sectionnement n°41 GR1</v>
      </c>
      <c r="D681" s="19">
        <v>35065</v>
      </c>
      <c r="E681" s="19">
        <v>35065</v>
      </c>
      <c r="F681" s="42"/>
      <c r="G681" s="42">
        <v>1</v>
      </c>
      <c r="H681" s="42"/>
      <c r="I681" s="42" t="s">
        <v>419</v>
      </c>
      <c r="J681" s="42" t="s">
        <v>2551</v>
      </c>
      <c r="K681" s="44">
        <v>713</v>
      </c>
      <c r="L681" s="44">
        <f t="shared" si="165"/>
        <v>946.61</v>
      </c>
      <c r="M681" s="42" t="s">
        <v>798</v>
      </c>
      <c r="N681" s="52" t="str">
        <f t="shared" si="166"/>
        <v>(41,'PS-41-GR1','Poste de Sectionnement n°41 GR1','Monday-01-jj','Monday-01-jj',,1,),</v>
      </c>
    </row>
    <row r="682" spans="1:14" ht="20.100000000000001" customHeight="1" x14ac:dyDescent="0.25">
      <c r="A682" s="39">
        <v>1</v>
      </c>
      <c r="B682" s="40" t="str">
        <f t="shared" si="163"/>
        <v>PS-01-GR2</v>
      </c>
      <c r="C682" s="52" t="str">
        <f t="shared" si="164"/>
        <v>Poste de Sectionnement n°01 GR2</v>
      </c>
      <c r="D682" s="19">
        <v>36161</v>
      </c>
      <c r="E682" s="19">
        <v>36161</v>
      </c>
      <c r="F682" s="42"/>
      <c r="G682" s="42">
        <v>1</v>
      </c>
      <c r="H682" s="42"/>
      <c r="I682" s="42" t="s">
        <v>422</v>
      </c>
      <c r="J682" s="42" t="s">
        <v>2573</v>
      </c>
      <c r="K682" s="44">
        <v>711</v>
      </c>
      <c r="L682" s="44">
        <f>VALUE(SUBSTITUTE(J682,"+",","))</f>
        <v>19.899999999999999</v>
      </c>
      <c r="M682" s="42" t="s">
        <v>988</v>
      </c>
      <c r="N682" s="52" t="str">
        <f t="shared" si="166"/>
        <v>(1,'PS-01-GR2','Poste de Sectionnement n°01 GR2','Friday-01-jj','Friday-01-jj',,1,),</v>
      </c>
    </row>
    <row r="683" spans="1:14" ht="20.100000000000001" customHeight="1" x14ac:dyDescent="0.25">
      <c r="A683" s="39">
        <v>2</v>
      </c>
      <c r="B683" s="40" t="str">
        <f t="shared" ref="B683:B724" si="167">CONCATENATE("PS-",TEXT(A683,"00"),"-",I683)</f>
        <v>PS-02-GR2</v>
      </c>
      <c r="C683" s="52" t="str">
        <f t="shared" ref="C683:C724" si="168">CONCATENATE("Poste de Sectionnement n°",TEXT(A683,"00")," ",I683)</f>
        <v>Poste de Sectionnement n°02 GR2</v>
      </c>
      <c r="D683" s="19">
        <v>36161</v>
      </c>
      <c r="E683" s="19">
        <v>36161</v>
      </c>
      <c r="F683" s="42"/>
      <c r="G683" s="42">
        <v>1</v>
      </c>
      <c r="H683" s="42"/>
      <c r="I683" s="42" t="s">
        <v>422</v>
      </c>
      <c r="J683" s="42" t="s">
        <v>2574</v>
      </c>
      <c r="K683" s="44">
        <v>695</v>
      </c>
      <c r="L683" s="44">
        <f t="shared" ref="L683:L746" si="169">VALUE(SUBSTITUTE(J683,"+",","))</f>
        <v>40.9</v>
      </c>
      <c r="M683" s="42" t="s">
        <v>988</v>
      </c>
      <c r="N683" s="52" t="str">
        <f t="shared" si="166"/>
        <v>(2,'PS-02-GR2','Poste de Sectionnement n°02 GR2','Friday-01-jj','Friday-01-jj',,1,),</v>
      </c>
    </row>
    <row r="684" spans="1:14" ht="20.100000000000001" customHeight="1" x14ac:dyDescent="0.25">
      <c r="A684" s="39">
        <v>3</v>
      </c>
      <c r="B684" s="40" t="str">
        <f t="shared" si="167"/>
        <v>PS-03-GR2</v>
      </c>
      <c r="C684" s="52" t="str">
        <f t="shared" si="168"/>
        <v>Poste de Sectionnement n°03 GR2</v>
      </c>
      <c r="D684" s="19">
        <v>36161</v>
      </c>
      <c r="E684" s="19">
        <v>36161</v>
      </c>
      <c r="F684" s="42"/>
      <c r="G684" s="42">
        <v>1</v>
      </c>
      <c r="H684" s="42"/>
      <c r="I684" s="42" t="s">
        <v>422</v>
      </c>
      <c r="J684" s="42" t="s">
        <v>2575</v>
      </c>
      <c r="K684" s="44">
        <v>663</v>
      </c>
      <c r="L684" s="44">
        <f t="shared" si="169"/>
        <v>60.3</v>
      </c>
      <c r="M684" s="42" t="s">
        <v>987</v>
      </c>
      <c r="N684" s="52" t="str">
        <f t="shared" si="166"/>
        <v>(3,'PS-03-GR2','Poste de Sectionnement n°03 GR2','Friday-01-jj','Friday-01-jj',,1,),</v>
      </c>
    </row>
    <row r="685" spans="1:14" ht="20.100000000000001" customHeight="1" x14ac:dyDescent="0.25">
      <c r="A685" s="39">
        <v>4</v>
      </c>
      <c r="B685" s="40" t="str">
        <f t="shared" si="167"/>
        <v>PS-04-GR2</v>
      </c>
      <c r="C685" s="52" t="str">
        <f t="shared" si="168"/>
        <v>Poste de Sectionnement n°04 GR2</v>
      </c>
      <c r="D685" s="19">
        <v>36161</v>
      </c>
      <c r="E685" s="19">
        <v>36161</v>
      </c>
      <c r="F685" s="42"/>
      <c r="G685" s="42">
        <v>1</v>
      </c>
      <c r="H685" s="42"/>
      <c r="I685" s="42" t="s">
        <v>422</v>
      </c>
      <c r="J685" s="42" t="s">
        <v>2576</v>
      </c>
      <c r="K685" s="44">
        <v>587</v>
      </c>
      <c r="L685" s="44">
        <f t="shared" si="169"/>
        <v>80.2</v>
      </c>
      <c r="M685" s="42" t="s">
        <v>987</v>
      </c>
      <c r="N685" s="52" t="str">
        <f t="shared" si="166"/>
        <v>(4,'PS-04-GR2','Poste de Sectionnement n°04 GR2','Friday-01-jj','Friday-01-jj',,1,),</v>
      </c>
    </row>
    <row r="686" spans="1:14" ht="20.100000000000001" customHeight="1" x14ac:dyDescent="0.25">
      <c r="A686" s="39">
        <v>5</v>
      </c>
      <c r="B686" s="40" t="str">
        <f t="shared" si="167"/>
        <v>PS-05-GR2</v>
      </c>
      <c r="C686" s="52" t="str">
        <f t="shared" si="168"/>
        <v>Poste de Sectionnement n°05 GR2</v>
      </c>
      <c r="D686" s="19">
        <v>36161</v>
      </c>
      <c r="E686" s="19">
        <v>36161</v>
      </c>
      <c r="F686" s="42"/>
      <c r="G686" s="42">
        <v>1</v>
      </c>
      <c r="H686" s="42"/>
      <c r="I686" s="42" t="s">
        <v>422</v>
      </c>
      <c r="J686" s="42" t="s">
        <v>2577</v>
      </c>
      <c r="K686" s="44">
        <v>558</v>
      </c>
      <c r="L686" s="44">
        <f t="shared" si="169"/>
        <v>118.1</v>
      </c>
      <c r="M686" s="42" t="s">
        <v>1812</v>
      </c>
      <c r="N686" s="52" t="str">
        <f t="shared" si="166"/>
        <v>(5,'PS-05-GR2','Poste de Sectionnement n°05 GR2','Friday-01-jj','Friday-01-jj',,1,),</v>
      </c>
    </row>
    <row r="687" spans="1:14" ht="20.100000000000001" customHeight="1" x14ac:dyDescent="0.25">
      <c r="A687" s="39">
        <v>6</v>
      </c>
      <c r="B687" s="40" t="str">
        <f t="shared" si="167"/>
        <v>PS-06-GR2</v>
      </c>
      <c r="C687" s="52" t="str">
        <f t="shared" si="168"/>
        <v>Poste de Sectionnement n°06 GR2</v>
      </c>
      <c r="D687" s="19">
        <v>36161</v>
      </c>
      <c r="E687" s="19">
        <v>36161</v>
      </c>
      <c r="F687" s="42"/>
      <c r="G687" s="42">
        <v>1</v>
      </c>
      <c r="H687" s="42"/>
      <c r="I687" s="42" t="s">
        <v>422</v>
      </c>
      <c r="J687" s="42" t="s">
        <v>2578</v>
      </c>
      <c r="K687" s="44">
        <v>552</v>
      </c>
      <c r="L687" s="44">
        <f t="shared" si="169"/>
        <v>136.4</v>
      </c>
      <c r="M687" s="42" t="s">
        <v>1812</v>
      </c>
      <c r="N687" s="52" t="str">
        <f t="shared" si="166"/>
        <v>(6,'PS-06-GR2','Poste de Sectionnement n°06 GR2','Friday-01-jj','Friday-01-jj',,1,),</v>
      </c>
    </row>
    <row r="688" spans="1:14" ht="20.100000000000001" customHeight="1" x14ac:dyDescent="0.25">
      <c r="A688" s="39">
        <v>7</v>
      </c>
      <c r="B688" s="40" t="str">
        <f t="shared" si="167"/>
        <v>PS-07-GR2</v>
      </c>
      <c r="C688" s="52" t="str">
        <f t="shared" si="168"/>
        <v>Poste de Sectionnement n°07 GR2</v>
      </c>
      <c r="D688" s="19">
        <v>36161</v>
      </c>
      <c r="E688" s="19">
        <v>36161</v>
      </c>
      <c r="F688" s="42"/>
      <c r="G688" s="42">
        <v>1</v>
      </c>
      <c r="H688" s="42"/>
      <c r="I688" s="42" t="s">
        <v>422</v>
      </c>
      <c r="J688" s="42" t="s">
        <v>2579</v>
      </c>
      <c r="K688" s="44">
        <v>569</v>
      </c>
      <c r="L688" s="44">
        <f t="shared" si="169"/>
        <v>156.30000000000001</v>
      </c>
      <c r="M688" s="42" t="s">
        <v>1812</v>
      </c>
      <c r="N688" s="52" t="str">
        <f t="shared" si="166"/>
        <v>(7,'PS-07-GR2','Poste de Sectionnement n°07 GR2','Friday-01-jj','Friday-01-jj',,1,),</v>
      </c>
    </row>
    <row r="689" spans="1:14" ht="20.100000000000001" customHeight="1" x14ac:dyDescent="0.25">
      <c r="A689" s="39">
        <v>8</v>
      </c>
      <c r="B689" s="40" t="str">
        <f t="shared" si="167"/>
        <v>PS-08-GR2</v>
      </c>
      <c r="C689" s="52" t="str">
        <f t="shared" si="168"/>
        <v>Poste de Sectionnement n°08 GR2</v>
      </c>
      <c r="D689" s="19">
        <v>36161</v>
      </c>
      <c r="E689" s="19">
        <v>36161</v>
      </c>
      <c r="F689" s="42"/>
      <c r="G689" s="42">
        <v>1</v>
      </c>
      <c r="H689" s="42"/>
      <c r="I689" s="42" t="s">
        <v>422</v>
      </c>
      <c r="J689" s="42" t="s">
        <v>2580</v>
      </c>
      <c r="K689" s="44">
        <v>567</v>
      </c>
      <c r="L689" s="44">
        <f t="shared" si="169"/>
        <v>176</v>
      </c>
      <c r="M689" s="42" t="s">
        <v>1812</v>
      </c>
      <c r="N689" s="52" t="str">
        <f t="shared" si="166"/>
        <v>(8,'PS-08-GR2','Poste de Sectionnement n°08 GR2','Friday-01-jj','Friday-01-jj',,1,),</v>
      </c>
    </row>
    <row r="690" spans="1:14" ht="20.100000000000001" customHeight="1" x14ac:dyDescent="0.25">
      <c r="A690" s="39">
        <v>9</v>
      </c>
      <c r="B690" s="40" t="str">
        <f t="shared" si="167"/>
        <v>PS-09-GR2</v>
      </c>
      <c r="C690" s="52" t="str">
        <f t="shared" si="168"/>
        <v>Poste de Sectionnement n°09 GR2</v>
      </c>
      <c r="D690" s="19">
        <v>36161</v>
      </c>
      <c r="E690" s="19">
        <v>36161</v>
      </c>
      <c r="F690" s="42"/>
      <c r="G690" s="42">
        <v>1</v>
      </c>
      <c r="H690" s="42"/>
      <c r="I690" s="42" t="s">
        <v>422</v>
      </c>
      <c r="J690" s="42" t="s">
        <v>2581</v>
      </c>
      <c r="K690" s="44">
        <v>540</v>
      </c>
      <c r="L690" s="44">
        <f t="shared" si="169"/>
        <v>195.5</v>
      </c>
      <c r="M690" s="42" t="s">
        <v>1812</v>
      </c>
      <c r="N690" s="52" t="str">
        <f t="shared" si="166"/>
        <v>(9,'PS-09-GR2','Poste de Sectionnement n°09 GR2','Friday-01-jj','Friday-01-jj',,1,),</v>
      </c>
    </row>
    <row r="691" spans="1:14" ht="20.100000000000001" customHeight="1" x14ac:dyDescent="0.25">
      <c r="A691" s="39">
        <v>10</v>
      </c>
      <c r="B691" s="40" t="str">
        <f t="shared" si="167"/>
        <v>PS-10-GR2</v>
      </c>
      <c r="C691" s="52" t="str">
        <f t="shared" si="168"/>
        <v>Poste de Sectionnement n°10 GR2</v>
      </c>
      <c r="D691" s="19">
        <v>36161</v>
      </c>
      <c r="E691" s="19">
        <v>36161</v>
      </c>
      <c r="F691" s="42"/>
      <c r="G691" s="42">
        <v>1</v>
      </c>
      <c r="H691" s="42"/>
      <c r="I691" s="42" t="s">
        <v>422</v>
      </c>
      <c r="J691" s="42" t="s">
        <v>2582</v>
      </c>
      <c r="K691" s="44">
        <v>497</v>
      </c>
      <c r="L691" s="44">
        <f t="shared" si="169"/>
        <v>214.1</v>
      </c>
      <c r="M691" s="42" t="s">
        <v>1812</v>
      </c>
      <c r="N691" s="52" t="str">
        <f t="shared" si="166"/>
        <v>(10,'PS-10-GR2','Poste de Sectionnement n°10 GR2','Friday-01-jj','Friday-01-jj',,1,),</v>
      </c>
    </row>
    <row r="692" spans="1:14" ht="20.100000000000001" customHeight="1" x14ac:dyDescent="0.25">
      <c r="A692" s="39">
        <v>11</v>
      </c>
      <c r="B692" s="40" t="str">
        <f t="shared" si="167"/>
        <v>PS-11-GR2</v>
      </c>
      <c r="C692" s="52" t="str">
        <f t="shared" si="168"/>
        <v>Poste de Sectionnement n°11 GR2</v>
      </c>
      <c r="D692" s="19">
        <v>36161</v>
      </c>
      <c r="E692" s="19">
        <v>36161</v>
      </c>
      <c r="F692" s="42"/>
      <c r="G692" s="42">
        <v>1</v>
      </c>
      <c r="H692" s="42"/>
      <c r="I692" s="42" t="s">
        <v>422</v>
      </c>
      <c r="J692" s="42" t="s">
        <v>2583</v>
      </c>
      <c r="K692" s="44">
        <v>413</v>
      </c>
      <c r="L692" s="44">
        <f t="shared" si="169"/>
        <v>248.8</v>
      </c>
      <c r="M692" s="42" t="s">
        <v>1812</v>
      </c>
      <c r="N692" s="52" t="str">
        <f t="shared" si="166"/>
        <v>(11,'PS-11-GR2','Poste de Sectionnement n°11 GR2','Friday-01-jj','Friday-01-jj',,1,),</v>
      </c>
    </row>
    <row r="693" spans="1:14" ht="20.100000000000001" customHeight="1" x14ac:dyDescent="0.25">
      <c r="A693" s="39">
        <v>12</v>
      </c>
      <c r="B693" s="40" t="str">
        <f t="shared" si="167"/>
        <v>PS-12-GR2</v>
      </c>
      <c r="C693" s="52" t="str">
        <f t="shared" si="168"/>
        <v>Poste de Sectionnement n°12 GR2</v>
      </c>
      <c r="D693" s="19">
        <v>36161</v>
      </c>
      <c r="E693" s="19">
        <v>36161</v>
      </c>
      <c r="F693" s="42"/>
      <c r="G693" s="42">
        <v>1</v>
      </c>
      <c r="H693" s="42"/>
      <c r="I693" s="42" t="s">
        <v>422</v>
      </c>
      <c r="J693" s="42" t="s">
        <v>2584</v>
      </c>
      <c r="K693" s="44">
        <v>423</v>
      </c>
      <c r="L693" s="44">
        <f t="shared" si="169"/>
        <v>264.10000000000002</v>
      </c>
      <c r="M693" s="42" t="s">
        <v>1812</v>
      </c>
      <c r="N693" s="52" t="str">
        <f t="shared" si="166"/>
        <v>(12,'PS-12-GR2','Poste de Sectionnement n°12 GR2','Friday-01-jj','Friday-01-jj',,1,),</v>
      </c>
    </row>
    <row r="694" spans="1:14" ht="20.100000000000001" customHeight="1" x14ac:dyDescent="0.25">
      <c r="A694" s="39">
        <v>13</v>
      </c>
      <c r="B694" s="40" t="str">
        <f t="shared" si="167"/>
        <v>PS-13-GR2</v>
      </c>
      <c r="C694" s="52" t="str">
        <f t="shared" si="168"/>
        <v>Poste de Sectionnement n°13 GR2</v>
      </c>
      <c r="D694" s="19">
        <v>36161</v>
      </c>
      <c r="E694" s="19">
        <v>36161</v>
      </c>
      <c r="F694" s="42"/>
      <c r="G694" s="42">
        <v>1</v>
      </c>
      <c r="H694" s="42"/>
      <c r="I694" s="42" t="s">
        <v>422</v>
      </c>
      <c r="J694" s="42" t="s">
        <v>1551</v>
      </c>
      <c r="K694" s="44">
        <v>350</v>
      </c>
      <c r="L694" s="44">
        <f t="shared" si="169"/>
        <v>281.89999999999998</v>
      </c>
      <c r="M694" s="42" t="s">
        <v>1812</v>
      </c>
      <c r="N694" s="52" t="str">
        <f t="shared" si="166"/>
        <v>(13,'PS-13-GR2','Poste de Sectionnement n°13 GR2','Friday-01-jj','Friday-01-jj',,1,),</v>
      </c>
    </row>
    <row r="695" spans="1:14" ht="20.100000000000001" customHeight="1" x14ac:dyDescent="0.25">
      <c r="A695" s="39">
        <v>14</v>
      </c>
      <c r="B695" s="40" t="str">
        <f t="shared" si="167"/>
        <v>PS-14-GR2</v>
      </c>
      <c r="C695" s="52" t="str">
        <f t="shared" si="168"/>
        <v>Poste de Sectionnement n°14 GR2</v>
      </c>
      <c r="D695" s="19">
        <v>36161</v>
      </c>
      <c r="E695" s="19">
        <v>36161</v>
      </c>
      <c r="F695" s="42"/>
      <c r="G695" s="42">
        <v>1</v>
      </c>
      <c r="H695" s="42"/>
      <c r="I695" s="42" t="s">
        <v>422</v>
      </c>
      <c r="J695" s="42" t="s">
        <v>2585</v>
      </c>
      <c r="K695" s="44">
        <v>316</v>
      </c>
      <c r="L695" s="44">
        <f t="shared" si="169"/>
        <v>317.3</v>
      </c>
      <c r="M695" s="42" t="s">
        <v>1812</v>
      </c>
      <c r="N695" s="52" t="str">
        <f t="shared" si="166"/>
        <v>(14,'PS-14-GR2','Poste de Sectionnement n°14 GR2','Friday-01-jj','Friday-01-jj',,1,),</v>
      </c>
    </row>
    <row r="696" spans="1:14" ht="20.100000000000001" customHeight="1" x14ac:dyDescent="0.25">
      <c r="A696" s="39">
        <v>15</v>
      </c>
      <c r="B696" s="40" t="str">
        <f t="shared" si="167"/>
        <v>PS-15-GR2</v>
      </c>
      <c r="C696" s="52" t="str">
        <f t="shared" si="168"/>
        <v>Poste de Sectionnement n°15 GR2</v>
      </c>
      <c r="D696" s="19">
        <v>36161</v>
      </c>
      <c r="E696" s="19">
        <v>36161</v>
      </c>
      <c r="F696" s="42"/>
      <c r="G696" s="42">
        <v>1</v>
      </c>
      <c r="H696" s="42"/>
      <c r="I696" s="42" t="s">
        <v>422</v>
      </c>
      <c r="J696" s="42" t="s">
        <v>2586</v>
      </c>
      <c r="K696" s="44">
        <v>316</v>
      </c>
      <c r="L696" s="44">
        <f t="shared" si="169"/>
        <v>336.3</v>
      </c>
      <c r="M696" s="42" t="s">
        <v>1812</v>
      </c>
      <c r="N696" s="52" t="str">
        <f t="shared" si="166"/>
        <v>(15,'PS-15-GR2','Poste de Sectionnement n°15 GR2','Friday-01-jj','Friday-01-jj',,1,),</v>
      </c>
    </row>
    <row r="697" spans="1:14" ht="20.100000000000001" customHeight="1" x14ac:dyDescent="0.25">
      <c r="A697" s="39">
        <v>16</v>
      </c>
      <c r="B697" s="40" t="str">
        <f t="shared" si="167"/>
        <v>PS-16-GR2</v>
      </c>
      <c r="C697" s="52" t="str">
        <f t="shared" si="168"/>
        <v>Poste de Sectionnement n°16 GR2</v>
      </c>
      <c r="D697" s="19">
        <v>36161</v>
      </c>
      <c r="E697" s="19">
        <v>36161</v>
      </c>
      <c r="F697" s="42"/>
      <c r="G697" s="42">
        <v>1</v>
      </c>
      <c r="H697" s="42"/>
      <c r="I697" s="42" t="s">
        <v>422</v>
      </c>
      <c r="J697" s="42" t="s">
        <v>2587</v>
      </c>
      <c r="K697" s="44">
        <v>302</v>
      </c>
      <c r="L697" s="44">
        <f t="shared" si="169"/>
        <v>357.1</v>
      </c>
      <c r="M697" s="42" t="s">
        <v>1812</v>
      </c>
      <c r="N697" s="52" t="str">
        <f t="shared" si="166"/>
        <v>(16,'PS-16-GR2','Poste de Sectionnement n°16 GR2','Friday-01-jj','Friday-01-jj',,1,),</v>
      </c>
    </row>
    <row r="698" spans="1:14" ht="20.100000000000001" customHeight="1" x14ac:dyDescent="0.25">
      <c r="A698" s="39">
        <v>17</v>
      </c>
      <c r="B698" s="40" t="str">
        <f t="shared" si="167"/>
        <v>PS-17-GR2</v>
      </c>
      <c r="C698" s="52" t="str">
        <f t="shared" si="168"/>
        <v>Poste de Sectionnement n°17 GR2</v>
      </c>
      <c r="D698" s="19">
        <v>36161</v>
      </c>
      <c r="E698" s="19">
        <v>36161</v>
      </c>
      <c r="F698" s="42"/>
      <c r="G698" s="42">
        <v>1</v>
      </c>
      <c r="H698" s="42"/>
      <c r="I698" s="42" t="s">
        <v>422</v>
      </c>
      <c r="J698" s="42" t="s">
        <v>2588</v>
      </c>
      <c r="K698" s="44">
        <v>288</v>
      </c>
      <c r="L698" s="44">
        <f t="shared" si="169"/>
        <v>378.1</v>
      </c>
      <c r="M698" s="42" t="s">
        <v>1812</v>
      </c>
      <c r="N698" s="52" t="str">
        <f t="shared" si="166"/>
        <v>(17,'PS-17-GR2','Poste de Sectionnement n°17 GR2','Friday-01-jj','Friday-01-jj',,1,),</v>
      </c>
    </row>
    <row r="699" spans="1:14" ht="20.100000000000001" customHeight="1" x14ac:dyDescent="0.25">
      <c r="A699" s="39">
        <v>18</v>
      </c>
      <c r="B699" s="40" t="str">
        <f t="shared" si="167"/>
        <v>PS-18-GR2</v>
      </c>
      <c r="C699" s="52" t="str">
        <f t="shared" si="168"/>
        <v>Poste de Sectionnement n°18 GR2</v>
      </c>
      <c r="D699" s="19">
        <v>36161</v>
      </c>
      <c r="E699" s="19">
        <v>36161</v>
      </c>
      <c r="F699" s="42"/>
      <c r="G699" s="42">
        <v>1</v>
      </c>
      <c r="H699" s="42"/>
      <c r="I699" s="42" t="s">
        <v>422</v>
      </c>
      <c r="J699" s="42" t="s">
        <v>2589</v>
      </c>
      <c r="K699" s="44">
        <v>273</v>
      </c>
      <c r="L699" s="44">
        <f t="shared" si="169"/>
        <v>397.8</v>
      </c>
      <c r="M699" s="42" t="s">
        <v>1812</v>
      </c>
      <c r="N699" s="52" t="str">
        <f t="shared" si="166"/>
        <v>(18,'PS-18-GR2','Poste de Sectionnement n°18 GR2','Friday-01-jj','Friday-01-jj',,1,),</v>
      </c>
    </row>
    <row r="700" spans="1:14" ht="20.100000000000001" customHeight="1" x14ac:dyDescent="0.25">
      <c r="A700" s="39">
        <v>19</v>
      </c>
      <c r="B700" s="40" t="str">
        <f t="shared" si="167"/>
        <v>PS-19-GR2</v>
      </c>
      <c r="C700" s="52" t="str">
        <f t="shared" si="168"/>
        <v>Poste de Sectionnement n°19 GR2</v>
      </c>
      <c r="D700" s="19">
        <v>36161</v>
      </c>
      <c r="E700" s="19">
        <v>36161</v>
      </c>
      <c r="F700" s="42"/>
      <c r="G700" s="42">
        <v>1</v>
      </c>
      <c r="H700" s="42"/>
      <c r="I700" s="42" t="s">
        <v>422</v>
      </c>
      <c r="J700" s="42" t="s">
        <v>2590</v>
      </c>
      <c r="K700" s="44">
        <v>262</v>
      </c>
      <c r="L700" s="44">
        <f t="shared" si="169"/>
        <v>413.9</v>
      </c>
      <c r="M700" s="42" t="s">
        <v>1812</v>
      </c>
      <c r="N700" s="52" t="str">
        <f t="shared" si="166"/>
        <v>(19,'PS-19-GR2','Poste de Sectionnement n°19 GR2','Friday-01-jj','Friday-01-jj',,1,),</v>
      </c>
    </row>
    <row r="701" spans="1:14" ht="20.100000000000001" customHeight="1" x14ac:dyDescent="0.25">
      <c r="A701" s="39">
        <v>20</v>
      </c>
      <c r="B701" s="40" t="str">
        <f t="shared" si="167"/>
        <v>PS-20-GR2</v>
      </c>
      <c r="C701" s="52" t="str">
        <f t="shared" si="168"/>
        <v>Poste de Sectionnement n°20 GR2</v>
      </c>
      <c r="D701" s="19">
        <v>36161</v>
      </c>
      <c r="E701" s="19">
        <v>36161</v>
      </c>
      <c r="F701" s="42"/>
      <c r="G701" s="42">
        <v>1</v>
      </c>
      <c r="H701" s="42"/>
      <c r="I701" s="42" t="s">
        <v>422</v>
      </c>
      <c r="J701" s="42" t="s">
        <v>2591</v>
      </c>
      <c r="K701" s="44">
        <v>239</v>
      </c>
      <c r="L701" s="44">
        <f t="shared" si="169"/>
        <v>451</v>
      </c>
      <c r="M701" s="42" t="s">
        <v>1812</v>
      </c>
      <c r="N701" s="52" t="str">
        <f t="shared" si="166"/>
        <v>(20,'PS-20-GR2','Poste de Sectionnement n°20 GR2','Friday-01-jj','Friday-01-jj',,1,),</v>
      </c>
    </row>
    <row r="702" spans="1:14" ht="20.100000000000001" customHeight="1" x14ac:dyDescent="0.25">
      <c r="A702" s="39">
        <v>21</v>
      </c>
      <c r="B702" s="40" t="str">
        <f t="shared" si="167"/>
        <v>PS-21-GR2</v>
      </c>
      <c r="C702" s="52" t="str">
        <f t="shared" si="168"/>
        <v>Poste de Sectionnement n°21 GR2</v>
      </c>
      <c r="D702" s="19">
        <v>36161</v>
      </c>
      <c r="E702" s="19">
        <v>36161</v>
      </c>
      <c r="F702" s="42"/>
      <c r="G702" s="42">
        <v>1</v>
      </c>
      <c r="H702" s="42"/>
      <c r="I702" s="42" t="s">
        <v>422</v>
      </c>
      <c r="J702" s="42" t="s">
        <v>2592</v>
      </c>
      <c r="K702" s="44">
        <v>229</v>
      </c>
      <c r="L702" s="44">
        <f t="shared" si="169"/>
        <v>469</v>
      </c>
      <c r="M702" s="42" t="s">
        <v>1006</v>
      </c>
      <c r="N702" s="52" t="str">
        <f t="shared" si="166"/>
        <v>(21,'PS-21-GR2','Poste de Sectionnement n°21 GR2','Friday-01-jj','Friday-01-jj',,1,),</v>
      </c>
    </row>
    <row r="703" spans="1:14" ht="20.100000000000001" customHeight="1" x14ac:dyDescent="0.25">
      <c r="A703" s="39">
        <v>22</v>
      </c>
      <c r="B703" s="40" t="str">
        <f t="shared" si="167"/>
        <v>PS-22-GR2</v>
      </c>
      <c r="C703" s="52" t="str">
        <f t="shared" si="168"/>
        <v>Poste de Sectionnement n°22 GR2</v>
      </c>
      <c r="D703" s="19">
        <v>36161</v>
      </c>
      <c r="E703" s="19">
        <v>36161</v>
      </c>
      <c r="F703" s="42"/>
      <c r="G703" s="42">
        <v>1</v>
      </c>
      <c r="H703" s="42"/>
      <c r="I703" s="42" t="s">
        <v>422</v>
      </c>
      <c r="J703" s="42" t="s">
        <v>2593</v>
      </c>
      <c r="K703" s="44">
        <v>220</v>
      </c>
      <c r="L703" s="44">
        <f t="shared" si="169"/>
        <v>487</v>
      </c>
      <c r="M703" s="42" t="s">
        <v>1006</v>
      </c>
      <c r="N703" s="52" t="str">
        <f t="shared" si="166"/>
        <v>(22,'PS-22-GR2','Poste de Sectionnement n°22 GR2','Friday-01-jj','Friday-01-jj',,1,),</v>
      </c>
    </row>
    <row r="704" spans="1:14" ht="20.100000000000001" customHeight="1" x14ac:dyDescent="0.25">
      <c r="A704" s="39">
        <v>23</v>
      </c>
      <c r="B704" s="40" t="str">
        <f t="shared" si="167"/>
        <v>PS-23-GR2</v>
      </c>
      <c r="C704" s="52" t="str">
        <f t="shared" si="168"/>
        <v>Poste de Sectionnement n°23 GR2</v>
      </c>
      <c r="D704" s="19">
        <v>36161</v>
      </c>
      <c r="E704" s="19">
        <v>36161</v>
      </c>
      <c r="F704" s="42"/>
      <c r="G704" s="42">
        <v>1</v>
      </c>
      <c r="H704" s="42"/>
      <c r="I704" s="42" t="s">
        <v>422</v>
      </c>
      <c r="J704" s="42" t="s">
        <v>2594</v>
      </c>
      <c r="K704" s="44">
        <v>198</v>
      </c>
      <c r="L704" s="44">
        <f t="shared" si="169"/>
        <v>526.4</v>
      </c>
      <c r="M704" s="42" t="s">
        <v>1006</v>
      </c>
      <c r="N704" s="52" t="str">
        <f t="shared" si="166"/>
        <v>(23,'PS-23-GR2','Poste de Sectionnement n°23 GR2','Friday-01-jj','Friday-01-jj',,1,),</v>
      </c>
    </row>
    <row r="705" spans="1:14" ht="20.100000000000001" customHeight="1" x14ac:dyDescent="0.25">
      <c r="A705" s="39">
        <v>24</v>
      </c>
      <c r="B705" s="40" t="str">
        <f t="shared" si="167"/>
        <v>PS-24-GR2</v>
      </c>
      <c r="C705" s="52" t="str">
        <f t="shared" si="168"/>
        <v>Poste de Sectionnement n°24 GR2</v>
      </c>
      <c r="D705" s="19">
        <v>36161</v>
      </c>
      <c r="E705" s="19">
        <v>36161</v>
      </c>
      <c r="F705" s="42"/>
      <c r="G705" s="42">
        <v>1</v>
      </c>
      <c r="H705" s="42"/>
      <c r="I705" s="42" t="s">
        <v>422</v>
      </c>
      <c r="J705" s="42" t="s">
        <v>2555</v>
      </c>
      <c r="K705" s="44">
        <v>186</v>
      </c>
      <c r="L705" s="44">
        <f t="shared" si="169"/>
        <v>547.1</v>
      </c>
      <c r="M705" s="42" t="s">
        <v>1006</v>
      </c>
      <c r="N705" s="52" t="str">
        <f t="shared" si="166"/>
        <v>(24,'PS-24-GR2','Poste de Sectionnement n°24 GR2','Friday-01-jj','Friday-01-jj',,1,),</v>
      </c>
    </row>
    <row r="706" spans="1:14" ht="20.100000000000001" customHeight="1" x14ac:dyDescent="0.25">
      <c r="A706" s="39">
        <v>25</v>
      </c>
      <c r="B706" s="40" t="str">
        <f t="shared" si="167"/>
        <v>PS-25-GR2</v>
      </c>
      <c r="C706" s="52" t="str">
        <f t="shared" si="168"/>
        <v>Poste de Sectionnement n°25 GR2</v>
      </c>
      <c r="D706" s="19">
        <v>36161</v>
      </c>
      <c r="E706" s="19">
        <v>36161</v>
      </c>
      <c r="F706" s="42"/>
      <c r="G706" s="42">
        <v>1</v>
      </c>
      <c r="H706" s="42"/>
      <c r="I706" s="42" t="s">
        <v>422</v>
      </c>
      <c r="J706" s="42" t="s">
        <v>2556</v>
      </c>
      <c r="K706" s="44">
        <v>177</v>
      </c>
      <c r="L706" s="44">
        <f t="shared" si="169"/>
        <v>567.79999999999995</v>
      </c>
      <c r="M706" s="42" t="s">
        <v>1006</v>
      </c>
      <c r="N706" s="52" t="str">
        <f t="shared" si="166"/>
        <v>(25,'PS-25-GR2','Poste de Sectionnement n°25 GR2','Friday-01-jj','Friday-01-jj',,1,),</v>
      </c>
    </row>
    <row r="707" spans="1:14" ht="20.100000000000001" customHeight="1" x14ac:dyDescent="0.25">
      <c r="A707" s="39">
        <v>26</v>
      </c>
      <c r="B707" s="40" t="str">
        <f t="shared" si="167"/>
        <v>PS-26-GR2</v>
      </c>
      <c r="C707" s="52" t="str">
        <f t="shared" si="168"/>
        <v>Poste de Sectionnement n°26 GR2</v>
      </c>
      <c r="D707" s="19">
        <v>36161</v>
      </c>
      <c r="E707" s="19">
        <v>36161</v>
      </c>
      <c r="F707" s="42"/>
      <c r="G707" s="42">
        <v>1</v>
      </c>
      <c r="H707" s="42"/>
      <c r="I707" s="42" t="s">
        <v>422</v>
      </c>
      <c r="J707" s="42" t="s">
        <v>2557</v>
      </c>
      <c r="K707" s="44">
        <v>158</v>
      </c>
      <c r="L707" s="44">
        <f t="shared" si="169"/>
        <v>607</v>
      </c>
      <c r="M707" s="42" t="s">
        <v>1006</v>
      </c>
      <c r="N707" s="52" t="str">
        <f t="shared" si="166"/>
        <v>(26,'PS-26-GR2','Poste de Sectionnement n°26 GR2','Friday-01-jj','Friday-01-jj',,1,),</v>
      </c>
    </row>
    <row r="708" spans="1:14" ht="20.100000000000001" customHeight="1" x14ac:dyDescent="0.25">
      <c r="A708" s="39">
        <v>27</v>
      </c>
      <c r="B708" s="40" t="str">
        <f t="shared" si="167"/>
        <v>PS-27-GR2</v>
      </c>
      <c r="C708" s="52" t="str">
        <f t="shared" si="168"/>
        <v>Poste de Sectionnement n°27 GR2</v>
      </c>
      <c r="D708" s="19">
        <v>36161</v>
      </c>
      <c r="E708" s="19">
        <v>36161</v>
      </c>
      <c r="F708" s="42"/>
      <c r="G708" s="42">
        <v>1</v>
      </c>
      <c r="H708" s="42"/>
      <c r="I708" s="42" t="s">
        <v>422</v>
      </c>
      <c r="J708" s="42" t="s">
        <v>2558</v>
      </c>
      <c r="K708" s="44">
        <v>150</v>
      </c>
      <c r="L708" s="44">
        <f t="shared" si="169"/>
        <v>625.79999999999995</v>
      </c>
      <c r="M708" s="42" t="s">
        <v>1006</v>
      </c>
      <c r="N708" s="52" t="str">
        <f t="shared" si="166"/>
        <v>(27,'PS-27-GR2','Poste de Sectionnement n°27 GR2','Friday-01-jj','Friday-01-jj',,1,),</v>
      </c>
    </row>
    <row r="709" spans="1:14" ht="20.100000000000001" customHeight="1" x14ac:dyDescent="0.25">
      <c r="A709" s="39">
        <v>28</v>
      </c>
      <c r="B709" s="40" t="str">
        <f t="shared" si="167"/>
        <v>PS-28-GR2</v>
      </c>
      <c r="C709" s="52" t="str">
        <f t="shared" si="168"/>
        <v>Poste de Sectionnement n°28 GR2</v>
      </c>
      <c r="D709" s="19">
        <v>36161</v>
      </c>
      <c r="E709" s="19">
        <v>36161</v>
      </c>
      <c r="F709" s="42"/>
      <c r="G709" s="42">
        <v>1</v>
      </c>
      <c r="H709" s="42"/>
      <c r="I709" s="42" t="s">
        <v>422</v>
      </c>
      <c r="J709" s="42" t="s">
        <v>2559</v>
      </c>
      <c r="K709" s="44">
        <v>148</v>
      </c>
      <c r="L709" s="44">
        <f t="shared" si="169"/>
        <v>640.9</v>
      </c>
      <c r="M709" s="42" t="s">
        <v>1006</v>
      </c>
      <c r="N709" s="52" t="str">
        <f t="shared" si="166"/>
        <v>(28,'PS-28-GR2','Poste de Sectionnement n°28 GR2','Friday-01-jj','Friday-01-jj',,1,),</v>
      </c>
    </row>
    <row r="710" spans="1:14" ht="20.100000000000001" customHeight="1" x14ac:dyDescent="0.25">
      <c r="A710" s="39">
        <v>29</v>
      </c>
      <c r="B710" s="40" t="str">
        <f t="shared" si="167"/>
        <v>PS-29-GR2</v>
      </c>
      <c r="C710" s="52" t="str">
        <f t="shared" si="168"/>
        <v>Poste de Sectionnement n°29 GR2</v>
      </c>
      <c r="D710" s="19">
        <v>36161</v>
      </c>
      <c r="E710" s="19">
        <v>36161</v>
      </c>
      <c r="F710" s="42"/>
      <c r="G710" s="42">
        <v>1</v>
      </c>
      <c r="H710" s="42"/>
      <c r="I710" s="42" t="s">
        <v>422</v>
      </c>
      <c r="J710" s="42" t="s">
        <v>2560</v>
      </c>
      <c r="K710" s="44">
        <v>156</v>
      </c>
      <c r="L710" s="44">
        <f t="shared" si="169"/>
        <v>675.81899999999996</v>
      </c>
      <c r="M710" s="42" t="s">
        <v>2552</v>
      </c>
      <c r="N710" s="52" t="str">
        <f t="shared" si="166"/>
        <v>(29,'PS-29-GR2','Poste de Sectionnement n°29 GR2','Friday-01-jj','Friday-01-jj',,1,),</v>
      </c>
    </row>
    <row r="711" spans="1:14" ht="20.100000000000001" customHeight="1" x14ac:dyDescent="0.25">
      <c r="A711" s="39">
        <v>30</v>
      </c>
      <c r="B711" s="40" t="str">
        <f t="shared" si="167"/>
        <v>PS-30-GR2</v>
      </c>
      <c r="C711" s="52" t="str">
        <f t="shared" si="168"/>
        <v>Poste de Sectionnement n°30 GR2</v>
      </c>
      <c r="D711" s="19">
        <v>36161</v>
      </c>
      <c r="E711" s="19">
        <v>36161</v>
      </c>
      <c r="F711" s="42"/>
      <c r="G711" s="42">
        <v>1</v>
      </c>
      <c r="H711" s="42"/>
      <c r="I711" s="42" t="s">
        <v>422</v>
      </c>
      <c r="J711" s="42" t="s">
        <v>2561</v>
      </c>
      <c r="K711" s="44">
        <v>174</v>
      </c>
      <c r="L711" s="44">
        <f t="shared" si="169"/>
        <v>695.59900000000005</v>
      </c>
      <c r="M711" s="42" t="s">
        <v>2552</v>
      </c>
      <c r="N711" s="52" t="str">
        <f t="shared" si="166"/>
        <v>(30,'PS-30-GR2','Poste de Sectionnement n°30 GR2','Friday-01-jj','Friday-01-jj',,1,),</v>
      </c>
    </row>
    <row r="712" spans="1:14" ht="20.100000000000001" customHeight="1" x14ac:dyDescent="0.25">
      <c r="A712" s="39">
        <v>31</v>
      </c>
      <c r="B712" s="40" t="str">
        <f t="shared" si="167"/>
        <v>PS-31-GR2</v>
      </c>
      <c r="C712" s="52" t="str">
        <f t="shared" si="168"/>
        <v>Poste de Sectionnement n°31 GR2</v>
      </c>
      <c r="D712" s="19">
        <v>36161</v>
      </c>
      <c r="E712" s="19">
        <v>36161</v>
      </c>
      <c r="F712" s="42"/>
      <c r="G712" s="42">
        <v>1</v>
      </c>
      <c r="H712" s="42"/>
      <c r="I712" s="42" t="s">
        <v>422</v>
      </c>
      <c r="J712" s="42" t="s">
        <v>2562</v>
      </c>
      <c r="K712" s="44">
        <v>149</v>
      </c>
      <c r="L712" s="44">
        <f t="shared" si="169"/>
        <v>714.96100000000001</v>
      </c>
      <c r="M712" s="42" t="s">
        <v>2552</v>
      </c>
      <c r="N712" s="52" t="str">
        <f t="shared" si="166"/>
        <v>(31,'PS-31-GR2','Poste de Sectionnement n°31 GR2','Friday-01-jj','Friday-01-jj',,1,),</v>
      </c>
    </row>
    <row r="713" spans="1:14" ht="20.100000000000001" customHeight="1" x14ac:dyDescent="0.25">
      <c r="A713" s="39">
        <v>32</v>
      </c>
      <c r="B713" s="40" t="str">
        <f t="shared" si="167"/>
        <v>PS-32-GR2</v>
      </c>
      <c r="C713" s="52" t="str">
        <f t="shared" si="168"/>
        <v>Poste de Sectionnement n°32 GR2</v>
      </c>
      <c r="D713" s="19">
        <v>36161</v>
      </c>
      <c r="E713" s="19">
        <v>36161</v>
      </c>
      <c r="F713" s="42"/>
      <c r="G713" s="42">
        <v>1</v>
      </c>
      <c r="H713" s="42"/>
      <c r="I713" s="42" t="s">
        <v>422</v>
      </c>
      <c r="J713" s="42" t="s">
        <v>2563</v>
      </c>
      <c r="K713" s="44">
        <v>135</v>
      </c>
      <c r="L713" s="44">
        <f t="shared" si="169"/>
        <v>733.50900000000001</v>
      </c>
      <c r="M713" s="42" t="s">
        <v>2553</v>
      </c>
      <c r="N713" s="52" t="str">
        <f t="shared" si="166"/>
        <v>(32,'PS-32-GR2','Poste de Sectionnement n°32 GR2','Friday-01-jj','Friday-01-jj',,1,),</v>
      </c>
    </row>
    <row r="714" spans="1:14" ht="20.100000000000001" customHeight="1" x14ac:dyDescent="0.25">
      <c r="A714" s="39">
        <v>33</v>
      </c>
      <c r="B714" s="40" t="str">
        <f t="shared" si="167"/>
        <v>PS-33-GR2</v>
      </c>
      <c r="C714" s="52" t="str">
        <f t="shared" si="168"/>
        <v>Poste de Sectionnement n°33 GR2</v>
      </c>
      <c r="D714" s="19">
        <v>36161</v>
      </c>
      <c r="E714" s="19">
        <v>36161</v>
      </c>
      <c r="F714" s="42"/>
      <c r="G714" s="42">
        <v>1</v>
      </c>
      <c r="H714" s="42"/>
      <c r="I714" s="42" t="s">
        <v>422</v>
      </c>
      <c r="J714" s="42" t="s">
        <v>2564</v>
      </c>
      <c r="K714" s="44">
        <v>189</v>
      </c>
      <c r="L714" s="44">
        <f t="shared" si="169"/>
        <v>749.38599999999997</v>
      </c>
      <c r="M714" s="42" t="s">
        <v>752</v>
      </c>
      <c r="N714" s="52" t="str">
        <f t="shared" si="166"/>
        <v>(33,'PS-33-GR2','Poste de Sectionnement n°33 GR2','Friday-01-jj','Friday-01-jj',,1,),</v>
      </c>
    </row>
    <row r="715" spans="1:14" ht="20.100000000000001" customHeight="1" x14ac:dyDescent="0.25">
      <c r="A715" s="39">
        <v>34</v>
      </c>
      <c r="B715" s="40" t="str">
        <f t="shared" si="167"/>
        <v>PS-34-GR2</v>
      </c>
      <c r="C715" s="52" t="str">
        <f t="shared" si="168"/>
        <v>Poste de Sectionnement n°34 GR2</v>
      </c>
      <c r="D715" s="19">
        <v>36161</v>
      </c>
      <c r="E715" s="19">
        <v>36161</v>
      </c>
      <c r="F715" s="42"/>
      <c r="G715" s="42">
        <v>1</v>
      </c>
      <c r="H715" s="42"/>
      <c r="I715" s="42" t="s">
        <v>422</v>
      </c>
      <c r="J715" s="42" t="s">
        <v>2565</v>
      </c>
      <c r="K715" s="44">
        <v>246</v>
      </c>
      <c r="L715" s="44">
        <f t="shared" si="169"/>
        <v>789.98599999999999</v>
      </c>
      <c r="M715" s="42" t="s">
        <v>752</v>
      </c>
      <c r="N715" s="52" t="str">
        <f t="shared" si="166"/>
        <v>(34,'PS-34-GR2','Poste de Sectionnement n°34 GR2','Friday-01-jj','Friday-01-jj',,1,),</v>
      </c>
    </row>
    <row r="716" spans="1:14" ht="20.100000000000001" customHeight="1" x14ac:dyDescent="0.25">
      <c r="A716" s="39">
        <v>35</v>
      </c>
      <c r="B716" s="40" t="str">
        <f t="shared" si="167"/>
        <v>PS-35-GR2</v>
      </c>
      <c r="C716" s="52" t="str">
        <f t="shared" si="168"/>
        <v>Poste de Sectionnement n°35 GR2</v>
      </c>
      <c r="D716" s="19">
        <v>36161</v>
      </c>
      <c r="E716" s="19">
        <v>36161</v>
      </c>
      <c r="F716" s="42"/>
      <c r="G716" s="42">
        <v>1</v>
      </c>
      <c r="H716" s="42"/>
      <c r="I716" s="42" t="s">
        <v>422</v>
      </c>
      <c r="J716" s="42" t="s">
        <v>2566</v>
      </c>
      <c r="K716" s="44">
        <v>276</v>
      </c>
      <c r="L716" s="44">
        <f t="shared" si="169"/>
        <v>810.49800000000005</v>
      </c>
      <c r="M716" s="42" t="s">
        <v>752</v>
      </c>
      <c r="N716" s="52" t="str">
        <f t="shared" si="166"/>
        <v>(35,'PS-35-GR2','Poste de Sectionnement n°35 GR2','Friday-01-jj','Friday-01-jj',,1,),</v>
      </c>
    </row>
    <row r="717" spans="1:14" ht="20.100000000000001" customHeight="1" x14ac:dyDescent="0.25">
      <c r="A717" s="39">
        <v>36</v>
      </c>
      <c r="B717" s="40" t="str">
        <f t="shared" si="167"/>
        <v>PS-36-GR2</v>
      </c>
      <c r="C717" s="52" t="str">
        <f t="shared" si="168"/>
        <v>Poste de Sectionnement n°36 GR2</v>
      </c>
      <c r="D717" s="19">
        <v>36161</v>
      </c>
      <c r="E717" s="19">
        <v>36161</v>
      </c>
      <c r="F717" s="42"/>
      <c r="G717" s="42">
        <v>1</v>
      </c>
      <c r="H717" s="42"/>
      <c r="I717" s="42" t="s">
        <v>422</v>
      </c>
      <c r="J717" s="42" t="s">
        <v>2567</v>
      </c>
      <c r="K717" s="44">
        <v>316</v>
      </c>
      <c r="L717" s="44">
        <f t="shared" si="169"/>
        <v>829.98800000000006</v>
      </c>
      <c r="M717" s="42" t="s">
        <v>753</v>
      </c>
      <c r="N717" s="52" t="str">
        <f t="shared" si="166"/>
        <v>(36,'PS-36-GR2','Poste de Sectionnement n°36 GR2','Friday-01-jj','Friday-01-jj',,1,),</v>
      </c>
    </row>
    <row r="718" spans="1:14" ht="20.100000000000001" customHeight="1" x14ac:dyDescent="0.25">
      <c r="A718" s="39">
        <v>37</v>
      </c>
      <c r="B718" s="40" t="str">
        <f t="shared" si="167"/>
        <v>PS-37-GR2</v>
      </c>
      <c r="C718" s="52" t="str">
        <f t="shared" si="168"/>
        <v>Poste de Sectionnement n°37 GR2</v>
      </c>
      <c r="D718" s="19">
        <v>36161</v>
      </c>
      <c r="E718" s="19">
        <v>36161</v>
      </c>
      <c r="F718" s="42"/>
      <c r="G718" s="42">
        <v>1</v>
      </c>
      <c r="H718" s="42"/>
      <c r="I718" s="42" t="s">
        <v>422</v>
      </c>
      <c r="J718" s="42" t="s">
        <v>2568</v>
      </c>
      <c r="K718" s="44">
        <v>346</v>
      </c>
      <c r="L718" s="44">
        <f t="shared" si="169"/>
        <v>850.62199999999996</v>
      </c>
      <c r="M718" s="42" t="s">
        <v>753</v>
      </c>
      <c r="N718" s="52" t="str">
        <f t="shared" si="166"/>
        <v>(37,'PS-37-GR2','Poste de Sectionnement n°37 GR2','Friday-01-jj','Friday-01-jj',,1,),</v>
      </c>
    </row>
    <row r="719" spans="1:14" ht="20.100000000000001" customHeight="1" x14ac:dyDescent="0.25">
      <c r="A719" s="39">
        <v>38</v>
      </c>
      <c r="B719" s="40" t="str">
        <f t="shared" si="167"/>
        <v>PS-38-GR2</v>
      </c>
      <c r="C719" s="52" t="str">
        <f t="shared" si="168"/>
        <v>Poste de Sectionnement n°38 GR2</v>
      </c>
      <c r="D719" s="19">
        <v>36161</v>
      </c>
      <c r="E719" s="19">
        <v>36161</v>
      </c>
      <c r="F719" s="42"/>
      <c r="G719" s="42">
        <v>1</v>
      </c>
      <c r="H719" s="42"/>
      <c r="I719" s="42" t="s">
        <v>422</v>
      </c>
      <c r="J719" s="42" t="s">
        <v>2569</v>
      </c>
      <c r="K719" s="44">
        <v>478</v>
      </c>
      <c r="L719" s="44">
        <f t="shared" si="169"/>
        <v>891.08900000000006</v>
      </c>
      <c r="M719" s="42" t="s">
        <v>1835</v>
      </c>
      <c r="N719" s="52" t="str">
        <f t="shared" si="166"/>
        <v>(38,'PS-38-GR2','Poste de Sectionnement n°38 GR2','Friday-01-jj','Friday-01-jj',,1,),</v>
      </c>
    </row>
    <row r="720" spans="1:14" ht="20.100000000000001" customHeight="1" x14ac:dyDescent="0.25">
      <c r="A720" s="39">
        <v>39</v>
      </c>
      <c r="B720" s="40" t="str">
        <f t="shared" si="167"/>
        <v>PS-39-GR2</v>
      </c>
      <c r="C720" s="52" t="str">
        <f t="shared" si="168"/>
        <v>Poste de Sectionnement n°39 GR2</v>
      </c>
      <c r="D720" s="19">
        <v>36161</v>
      </c>
      <c r="E720" s="19">
        <v>36161</v>
      </c>
      <c r="F720" s="42"/>
      <c r="G720" s="42">
        <v>1</v>
      </c>
      <c r="H720" s="42"/>
      <c r="I720" s="42" t="s">
        <v>422</v>
      </c>
      <c r="J720" s="42" t="s">
        <v>2570</v>
      </c>
      <c r="K720" s="44">
        <v>582</v>
      </c>
      <c r="L720" s="44">
        <f t="shared" si="169"/>
        <v>911.18600000000004</v>
      </c>
      <c r="M720" s="42" t="s">
        <v>1836</v>
      </c>
      <c r="N720" s="52" t="str">
        <f t="shared" si="166"/>
        <v>(39,'PS-39-GR2','Poste de Sectionnement n°39 GR2','Friday-01-jj','Friday-01-jj',,1,),</v>
      </c>
    </row>
    <row r="721" spans="1:14" ht="20.100000000000001" customHeight="1" x14ac:dyDescent="0.25">
      <c r="A721" s="39">
        <v>40</v>
      </c>
      <c r="B721" s="40" t="str">
        <f t="shared" si="167"/>
        <v>PS-40-GR2</v>
      </c>
      <c r="C721" s="52" t="str">
        <f t="shared" si="168"/>
        <v>Poste de Sectionnement n°40 GR2</v>
      </c>
      <c r="D721" s="19">
        <v>36161</v>
      </c>
      <c r="E721" s="19">
        <v>36161</v>
      </c>
      <c r="F721" s="42"/>
      <c r="G721" s="42">
        <v>1</v>
      </c>
      <c r="H721" s="42"/>
      <c r="I721" s="42" t="s">
        <v>422</v>
      </c>
      <c r="J721" s="42" t="s">
        <v>2571</v>
      </c>
      <c r="K721" s="44">
        <v>626</v>
      </c>
      <c r="L721" s="44">
        <f t="shared" si="169"/>
        <v>928.96400000000006</v>
      </c>
      <c r="M721" s="42" t="s">
        <v>2554</v>
      </c>
      <c r="N721" s="52" t="str">
        <f t="shared" si="166"/>
        <v>(40,'PS-40-GR2','Poste de Sectionnement n°40 GR2','Friday-01-jj','Friday-01-jj',,1,),</v>
      </c>
    </row>
    <row r="722" spans="1:14" ht="20.100000000000001" customHeight="1" x14ac:dyDescent="0.25">
      <c r="A722" s="39">
        <v>41</v>
      </c>
      <c r="B722" s="40" t="str">
        <f t="shared" si="167"/>
        <v>PS-41-GR2</v>
      </c>
      <c r="C722" s="52" t="str">
        <f t="shared" si="168"/>
        <v>Poste de Sectionnement n°41 GR2</v>
      </c>
      <c r="D722" s="19">
        <v>36161</v>
      </c>
      <c r="E722" s="19">
        <v>36161</v>
      </c>
      <c r="F722" s="42"/>
      <c r="G722" s="42">
        <v>1</v>
      </c>
      <c r="H722" s="42"/>
      <c r="I722" s="42" t="s">
        <v>422</v>
      </c>
      <c r="J722" s="42" t="s">
        <v>2572</v>
      </c>
      <c r="K722" s="44">
        <v>713</v>
      </c>
      <c r="L722" s="44">
        <f t="shared" si="169"/>
        <v>946.72199999999998</v>
      </c>
      <c r="M722" s="42" t="s">
        <v>798</v>
      </c>
      <c r="N722" s="52" t="str">
        <f t="shared" si="166"/>
        <v>(41,'PS-41-GR2','Poste de Sectionnement n°41 GR2','Friday-01-jj','Friday-01-jj',,1,),</v>
      </c>
    </row>
    <row r="723" spans="1:14" ht="20.100000000000001" customHeight="1" x14ac:dyDescent="0.25">
      <c r="A723" s="39">
        <v>1</v>
      </c>
      <c r="B723" s="40" t="str">
        <f t="shared" si="167"/>
        <v>PS-01-GR4</v>
      </c>
      <c r="C723" s="52" t="str">
        <f t="shared" si="168"/>
        <v>Poste de Sectionnement n°01 GR4</v>
      </c>
      <c r="D723" s="19">
        <v>41640</v>
      </c>
      <c r="E723" s="19">
        <v>41640</v>
      </c>
      <c r="F723" s="42"/>
      <c r="G723" s="42">
        <v>1</v>
      </c>
      <c r="H723" s="42"/>
      <c r="I723" s="42" t="s">
        <v>427</v>
      </c>
      <c r="J723" s="42" t="s">
        <v>2595</v>
      </c>
      <c r="K723" s="44">
        <v>0</v>
      </c>
      <c r="L723" s="44">
        <f t="shared" si="169"/>
        <v>18.399999999999999</v>
      </c>
      <c r="M723" s="42" t="s">
        <v>1812</v>
      </c>
      <c r="N723" s="52" t="str">
        <f t="shared" si="166"/>
        <v>(1,'PS-01-GR4','Poste de Sectionnement n°01 GR4','Wednesday-01-jj','Wednesday-01-jj',,1,),</v>
      </c>
    </row>
    <row r="724" spans="1:14" ht="20.100000000000001" customHeight="1" x14ac:dyDescent="0.25">
      <c r="A724" s="39">
        <v>2</v>
      </c>
      <c r="B724" s="40" t="str">
        <f t="shared" si="167"/>
        <v>PS-02-GR4</v>
      </c>
      <c r="C724" s="52" t="str">
        <f t="shared" si="168"/>
        <v>Poste de Sectionnement n°02 GR4</v>
      </c>
      <c r="D724" s="19">
        <v>41640</v>
      </c>
      <c r="E724" s="19">
        <v>41640</v>
      </c>
      <c r="F724" s="42"/>
      <c r="G724" s="42">
        <v>1</v>
      </c>
      <c r="H724" s="42"/>
      <c r="I724" s="42" t="s">
        <v>427</v>
      </c>
      <c r="J724" s="42" t="s">
        <v>2596</v>
      </c>
      <c r="K724" s="44">
        <v>0</v>
      </c>
      <c r="L724" s="44">
        <f t="shared" si="169"/>
        <v>36.4</v>
      </c>
      <c r="M724" s="42" t="s">
        <v>1006</v>
      </c>
      <c r="N724" s="52" t="str">
        <f t="shared" si="166"/>
        <v>(2,'PS-02-GR4','Poste de Sectionnement n°02 GR4','Wednesday-01-jj','Wednesday-01-jj',,1,),</v>
      </c>
    </row>
    <row r="725" spans="1:14" ht="20.100000000000001" customHeight="1" x14ac:dyDescent="0.25">
      <c r="A725" s="39">
        <v>3</v>
      </c>
      <c r="B725" s="40" t="str">
        <f t="shared" ref="B725:B744" si="170">CONCATENATE("PS-",TEXT(A725,"00"),"-",I725)</f>
        <v>PS-03-GR4</v>
      </c>
      <c r="C725" s="52" t="str">
        <f t="shared" ref="C725:C744" si="171">CONCATENATE("Poste de Sectionnement n°",TEXT(A725,"00")," ",I725)</f>
        <v>Poste de Sectionnement n°03 GR4</v>
      </c>
      <c r="D725" s="19">
        <v>41640</v>
      </c>
      <c r="E725" s="19">
        <v>41640</v>
      </c>
      <c r="F725" s="42"/>
      <c r="G725" s="42">
        <v>1</v>
      </c>
      <c r="H725" s="42"/>
      <c r="I725" s="42" t="s">
        <v>427</v>
      </c>
      <c r="J725" s="42" t="s">
        <v>2597</v>
      </c>
      <c r="K725" s="44">
        <v>0</v>
      </c>
      <c r="L725" s="44">
        <f t="shared" si="169"/>
        <v>54.4</v>
      </c>
      <c r="M725" s="42" t="s">
        <v>1006</v>
      </c>
      <c r="N725" s="52" t="str">
        <f t="shared" si="166"/>
        <v>(3,'PS-03-GR4','Poste de Sectionnement n°03 GR4','Wednesday-01-jj','Wednesday-01-jj',,1,),</v>
      </c>
    </row>
    <row r="726" spans="1:14" ht="20.100000000000001" customHeight="1" x14ac:dyDescent="0.25">
      <c r="A726" s="39">
        <v>4</v>
      </c>
      <c r="B726" s="40" t="str">
        <f t="shared" si="170"/>
        <v>PS-04-GR4</v>
      </c>
      <c r="C726" s="52" t="str">
        <f t="shared" si="171"/>
        <v>Poste de Sectionnement n°04 GR4</v>
      </c>
      <c r="D726" s="19">
        <v>41640</v>
      </c>
      <c r="E726" s="19">
        <v>41640</v>
      </c>
      <c r="F726" s="42"/>
      <c r="G726" s="42">
        <v>1</v>
      </c>
      <c r="H726" s="42"/>
      <c r="I726" s="42" t="s">
        <v>427</v>
      </c>
      <c r="J726" s="42" t="s">
        <v>2598</v>
      </c>
      <c r="K726" s="44">
        <v>0</v>
      </c>
      <c r="L726" s="44">
        <f t="shared" si="169"/>
        <v>93.89</v>
      </c>
      <c r="M726" s="42" t="s">
        <v>1006</v>
      </c>
      <c r="N726" s="52" t="str">
        <f t="shared" ref="N726:N789" si="172">CONCATENATE("(",A726,",'",B726,"','",C726,"','",TEXT(D726,"aaaa-mm-jj"),"','",TEXT(E726,"aaaa-mm-jj"),"',",F726,",",G726,",",H726,"),")</f>
        <v>(4,'PS-04-GR4','Poste de Sectionnement n°04 GR4','Wednesday-01-jj','Wednesday-01-jj',,1,),</v>
      </c>
    </row>
    <row r="727" spans="1:14" ht="20.100000000000001" customHeight="1" x14ac:dyDescent="0.25">
      <c r="A727" s="39">
        <v>5</v>
      </c>
      <c r="B727" s="40" t="str">
        <f t="shared" si="170"/>
        <v>PS-05-GR4</v>
      </c>
      <c r="C727" s="52" t="str">
        <f t="shared" si="171"/>
        <v>Poste de Sectionnement n°05 GR4</v>
      </c>
      <c r="D727" s="19">
        <v>41640</v>
      </c>
      <c r="E727" s="19">
        <v>41640</v>
      </c>
      <c r="F727" s="42"/>
      <c r="G727" s="42">
        <v>1</v>
      </c>
      <c r="H727" s="42"/>
      <c r="I727" s="42" t="s">
        <v>427</v>
      </c>
      <c r="J727" s="42" t="s">
        <v>2599</v>
      </c>
      <c r="K727" s="44">
        <v>0</v>
      </c>
      <c r="L727" s="44">
        <f t="shared" si="169"/>
        <v>114.55</v>
      </c>
      <c r="M727" s="42" t="s">
        <v>1006</v>
      </c>
      <c r="N727" s="52" t="str">
        <f t="shared" si="172"/>
        <v>(5,'PS-05-GR4','Poste de Sectionnement n°05 GR4','Wednesday-01-jj','Wednesday-01-jj',,1,),</v>
      </c>
    </row>
    <row r="728" spans="1:14" ht="20.100000000000001" customHeight="1" x14ac:dyDescent="0.25">
      <c r="A728" s="39">
        <v>6</v>
      </c>
      <c r="B728" s="40" t="str">
        <f t="shared" si="170"/>
        <v>PS-06-GR4</v>
      </c>
      <c r="C728" s="52" t="str">
        <f t="shared" si="171"/>
        <v>Poste de Sectionnement n°06 GR4</v>
      </c>
      <c r="D728" s="19">
        <v>41640</v>
      </c>
      <c r="E728" s="19">
        <v>41640</v>
      </c>
      <c r="F728" s="42"/>
      <c r="G728" s="42">
        <v>1</v>
      </c>
      <c r="H728" s="42"/>
      <c r="I728" s="42" t="s">
        <v>427</v>
      </c>
      <c r="J728" s="42" t="s">
        <v>2600</v>
      </c>
      <c r="K728" s="44">
        <v>0</v>
      </c>
      <c r="L728" s="44">
        <f t="shared" si="169"/>
        <v>135.19999999999999</v>
      </c>
      <c r="M728" s="42" t="s">
        <v>1006</v>
      </c>
      <c r="N728" s="52" t="str">
        <f t="shared" si="172"/>
        <v>(6,'PS-06-GR4','Poste de Sectionnement n°06 GR4','Wednesday-01-jj','Wednesday-01-jj',,1,),</v>
      </c>
    </row>
    <row r="729" spans="1:14" ht="20.100000000000001" customHeight="1" x14ac:dyDescent="0.25">
      <c r="A729" s="39">
        <v>7</v>
      </c>
      <c r="B729" s="40" t="str">
        <f t="shared" si="170"/>
        <v>PS-07-GR4</v>
      </c>
      <c r="C729" s="52" t="str">
        <f t="shared" si="171"/>
        <v>Poste de Sectionnement n°07 GR4</v>
      </c>
      <c r="D729" s="19">
        <v>41640</v>
      </c>
      <c r="E729" s="19">
        <v>41640</v>
      </c>
      <c r="F729" s="42"/>
      <c r="G729" s="42">
        <v>1</v>
      </c>
      <c r="H729" s="42"/>
      <c r="I729" s="42" t="s">
        <v>427</v>
      </c>
      <c r="J729" s="42" t="s">
        <v>2601</v>
      </c>
      <c r="K729" s="44">
        <v>0</v>
      </c>
      <c r="L729" s="44">
        <f t="shared" si="169"/>
        <v>174.5</v>
      </c>
      <c r="M729" s="42" t="s">
        <v>1006</v>
      </c>
      <c r="N729" s="52" t="str">
        <f t="shared" si="172"/>
        <v>(7,'PS-07-GR4','Poste de Sectionnement n°07 GR4','Wednesday-01-jj','Wednesday-01-jj',,1,),</v>
      </c>
    </row>
    <row r="730" spans="1:14" ht="20.100000000000001" customHeight="1" x14ac:dyDescent="0.25">
      <c r="A730" s="39">
        <v>8</v>
      </c>
      <c r="B730" s="40" t="str">
        <f t="shared" si="170"/>
        <v>PS-08-GR4</v>
      </c>
      <c r="C730" s="52" t="str">
        <f t="shared" si="171"/>
        <v>Poste de Sectionnement n°08 GR4</v>
      </c>
      <c r="D730" s="19">
        <v>41640</v>
      </c>
      <c r="E730" s="19">
        <v>41640</v>
      </c>
      <c r="F730" s="42"/>
      <c r="G730" s="42">
        <v>1</v>
      </c>
      <c r="H730" s="42"/>
      <c r="I730" s="42" t="s">
        <v>427</v>
      </c>
      <c r="J730" s="42" t="s">
        <v>2602</v>
      </c>
      <c r="K730" s="44">
        <v>0</v>
      </c>
      <c r="L730" s="44">
        <f t="shared" si="169"/>
        <v>195.16399999999999</v>
      </c>
      <c r="M730" s="42" t="s">
        <v>1006</v>
      </c>
      <c r="N730" s="52" t="str">
        <f t="shared" si="172"/>
        <v>(8,'PS-08-GR4','Poste de Sectionnement n°08 GR4','Wednesday-01-jj','Wednesday-01-jj',,1,),</v>
      </c>
    </row>
    <row r="731" spans="1:14" ht="20.100000000000001" customHeight="1" x14ac:dyDescent="0.25">
      <c r="A731" s="39">
        <v>9</v>
      </c>
      <c r="B731" s="40" t="str">
        <f t="shared" si="170"/>
        <v>PS-09-GR4</v>
      </c>
      <c r="C731" s="52" t="str">
        <f t="shared" si="171"/>
        <v>Poste de Sectionnement n°09 GR4</v>
      </c>
      <c r="D731" s="19">
        <v>41640</v>
      </c>
      <c r="E731" s="19">
        <v>41640</v>
      </c>
      <c r="F731" s="42"/>
      <c r="G731" s="42">
        <v>1</v>
      </c>
      <c r="H731" s="42"/>
      <c r="I731" s="42" t="s">
        <v>427</v>
      </c>
      <c r="J731" s="42" t="s">
        <v>2603</v>
      </c>
      <c r="K731" s="44">
        <v>0</v>
      </c>
      <c r="L731" s="44">
        <f t="shared" si="169"/>
        <v>208.3</v>
      </c>
      <c r="M731" s="42" t="s">
        <v>1006</v>
      </c>
      <c r="N731" s="52" t="str">
        <f t="shared" si="172"/>
        <v>(9,'PS-09-GR4','Poste de Sectionnement n°09 GR4','Wednesday-01-jj','Wednesday-01-jj',,1,),</v>
      </c>
    </row>
    <row r="732" spans="1:14" ht="20.100000000000001" customHeight="1" x14ac:dyDescent="0.25">
      <c r="A732" s="39">
        <v>10</v>
      </c>
      <c r="B732" s="40" t="str">
        <f t="shared" si="170"/>
        <v>PS-10-GR4</v>
      </c>
      <c r="C732" s="52" t="str">
        <f t="shared" si="171"/>
        <v>Poste de Sectionnement n°10 GR4</v>
      </c>
      <c r="D732" s="19">
        <v>41640</v>
      </c>
      <c r="E732" s="19">
        <v>41640</v>
      </c>
      <c r="F732" s="42"/>
      <c r="G732" s="42">
        <v>1</v>
      </c>
      <c r="H732" s="42"/>
      <c r="I732" s="42" t="s">
        <v>427</v>
      </c>
      <c r="J732" s="42" t="s">
        <v>2604</v>
      </c>
      <c r="K732" s="44">
        <v>0</v>
      </c>
      <c r="L732" s="44">
        <f t="shared" si="169"/>
        <v>242.238</v>
      </c>
      <c r="M732" s="42" t="s">
        <v>2552</v>
      </c>
      <c r="N732" s="52" t="str">
        <f t="shared" si="172"/>
        <v>(10,'PS-10-GR4','Poste de Sectionnement n°10 GR4','Wednesday-01-jj','Wednesday-01-jj',,1,),</v>
      </c>
    </row>
    <row r="733" spans="1:14" ht="20.100000000000001" customHeight="1" x14ac:dyDescent="0.25">
      <c r="A733" s="39">
        <v>11</v>
      </c>
      <c r="B733" s="40" t="str">
        <f t="shared" si="170"/>
        <v>PS-11-GR4</v>
      </c>
      <c r="C733" s="52" t="str">
        <f t="shared" si="171"/>
        <v>Poste de Sectionnement n°11 GR4</v>
      </c>
      <c r="D733" s="19">
        <v>41640</v>
      </c>
      <c r="E733" s="19">
        <v>41640</v>
      </c>
      <c r="F733" s="42"/>
      <c r="G733" s="42">
        <v>1</v>
      </c>
      <c r="H733" s="42"/>
      <c r="I733" s="42" t="s">
        <v>427</v>
      </c>
      <c r="J733" s="42" t="s">
        <v>2605</v>
      </c>
      <c r="K733" s="44">
        <v>0</v>
      </c>
      <c r="L733" s="44">
        <f t="shared" si="169"/>
        <v>262.27100000000002</v>
      </c>
      <c r="M733" s="42" t="s">
        <v>2552</v>
      </c>
      <c r="N733" s="52" t="str">
        <f t="shared" si="172"/>
        <v>(11,'PS-11-GR4','Poste de Sectionnement n°11 GR4','Wednesday-01-jj','Wednesday-01-jj',,1,),</v>
      </c>
    </row>
    <row r="734" spans="1:14" ht="20.100000000000001" customHeight="1" x14ac:dyDescent="0.25">
      <c r="A734" s="39">
        <v>12</v>
      </c>
      <c r="B734" s="40" t="str">
        <f t="shared" si="170"/>
        <v>PS-12-GR4</v>
      </c>
      <c r="C734" s="52" t="str">
        <f t="shared" si="171"/>
        <v>Poste de Sectionnement n°12 GR4</v>
      </c>
      <c r="D734" s="19">
        <v>41640</v>
      </c>
      <c r="E734" s="19">
        <v>41640</v>
      </c>
      <c r="F734" s="42"/>
      <c r="G734" s="42">
        <v>1</v>
      </c>
      <c r="H734" s="42"/>
      <c r="I734" s="42" t="s">
        <v>427</v>
      </c>
      <c r="J734" s="42" t="s">
        <v>2606</v>
      </c>
      <c r="K734" s="44">
        <v>0</v>
      </c>
      <c r="L734" s="44">
        <f t="shared" si="169"/>
        <v>281.827</v>
      </c>
      <c r="M734" s="42" t="s">
        <v>2552</v>
      </c>
      <c r="N734" s="52" t="str">
        <f t="shared" si="172"/>
        <v>(12,'PS-12-GR4','Poste de Sectionnement n°12 GR4','Wednesday-01-jj','Wednesday-01-jj',,1,),</v>
      </c>
    </row>
    <row r="735" spans="1:14" ht="20.100000000000001" customHeight="1" x14ac:dyDescent="0.25">
      <c r="A735" s="39">
        <v>13</v>
      </c>
      <c r="B735" s="40" t="str">
        <f t="shared" si="170"/>
        <v>PS-13-GR4</v>
      </c>
      <c r="C735" s="52" t="str">
        <f t="shared" si="171"/>
        <v>Poste de Sectionnement n°13 GR4</v>
      </c>
      <c r="D735" s="19">
        <v>41640</v>
      </c>
      <c r="E735" s="19">
        <v>41640</v>
      </c>
      <c r="F735" s="42"/>
      <c r="G735" s="42">
        <v>1</v>
      </c>
      <c r="H735" s="42"/>
      <c r="I735" s="42" t="s">
        <v>427</v>
      </c>
      <c r="J735" s="42" t="s">
        <v>2607</v>
      </c>
      <c r="K735" s="44">
        <v>0</v>
      </c>
      <c r="L735" s="44">
        <f t="shared" si="169"/>
        <v>300.32499999999999</v>
      </c>
      <c r="M735" s="42" t="s">
        <v>2553</v>
      </c>
      <c r="N735" s="52" t="str">
        <f t="shared" si="172"/>
        <v>(13,'PS-13-GR4','Poste de Sectionnement n°13 GR4','Wednesday-01-jj','Wednesday-01-jj',,1,),</v>
      </c>
    </row>
    <row r="736" spans="1:14" ht="20.100000000000001" customHeight="1" x14ac:dyDescent="0.25">
      <c r="A736" s="39">
        <v>14</v>
      </c>
      <c r="B736" s="40" t="str">
        <f t="shared" si="170"/>
        <v>PS-14-GR4</v>
      </c>
      <c r="C736" s="52" t="str">
        <f t="shared" si="171"/>
        <v>Poste de Sectionnement n°14 GR4</v>
      </c>
      <c r="D736" s="19">
        <v>41640</v>
      </c>
      <c r="E736" s="19">
        <v>41640</v>
      </c>
      <c r="F736" s="42"/>
      <c r="G736" s="42">
        <v>1</v>
      </c>
      <c r="H736" s="42"/>
      <c r="I736" s="42" t="s">
        <v>427</v>
      </c>
      <c r="J736" s="42" t="s">
        <v>2608</v>
      </c>
      <c r="K736" s="44">
        <v>0</v>
      </c>
      <c r="L736" s="44">
        <f t="shared" si="169"/>
        <v>316.56599999999997</v>
      </c>
      <c r="M736" s="42" t="s">
        <v>752</v>
      </c>
      <c r="N736" s="52" t="str">
        <f t="shared" si="172"/>
        <v>(14,'PS-14-GR4','Poste de Sectionnement n°14 GR4','Wednesday-01-jj','Wednesday-01-jj',,1,),</v>
      </c>
    </row>
    <row r="737" spans="1:14" ht="20.100000000000001" customHeight="1" x14ac:dyDescent="0.25">
      <c r="A737" s="39">
        <v>15</v>
      </c>
      <c r="B737" s="40" t="str">
        <f t="shared" si="170"/>
        <v>PS-15-GR4</v>
      </c>
      <c r="C737" s="52" t="str">
        <f t="shared" si="171"/>
        <v>Poste de Sectionnement n°15 GR4</v>
      </c>
      <c r="D737" s="19">
        <v>41640</v>
      </c>
      <c r="E737" s="19">
        <v>41640</v>
      </c>
      <c r="F737" s="42"/>
      <c r="G737" s="42">
        <v>1</v>
      </c>
      <c r="H737" s="42"/>
      <c r="I737" s="42" t="s">
        <v>427</v>
      </c>
      <c r="J737" s="42" t="s">
        <v>2609</v>
      </c>
      <c r="K737" s="44">
        <v>0</v>
      </c>
      <c r="L737" s="44">
        <f t="shared" si="169"/>
        <v>356.19900000000001</v>
      </c>
      <c r="M737" s="42" t="s">
        <v>752</v>
      </c>
      <c r="N737" s="52" t="str">
        <f t="shared" si="172"/>
        <v>(15,'PS-15-GR4','Poste de Sectionnement n°15 GR4','Wednesday-01-jj','Wednesday-01-jj',,1,),</v>
      </c>
    </row>
    <row r="738" spans="1:14" ht="20.100000000000001" customHeight="1" x14ac:dyDescent="0.25">
      <c r="A738" s="39">
        <v>16</v>
      </c>
      <c r="B738" s="40" t="str">
        <f t="shared" si="170"/>
        <v>PS-16-GR4</v>
      </c>
      <c r="C738" s="52" t="str">
        <f t="shared" si="171"/>
        <v>Poste de Sectionnement n°16 GR4</v>
      </c>
      <c r="D738" s="19">
        <v>41640</v>
      </c>
      <c r="E738" s="19">
        <v>41640</v>
      </c>
      <c r="F738" s="42"/>
      <c r="G738" s="42">
        <v>1</v>
      </c>
      <c r="H738" s="42"/>
      <c r="I738" s="42" t="s">
        <v>427</v>
      </c>
      <c r="J738" s="42" t="s">
        <v>2610</v>
      </c>
      <c r="K738" s="44">
        <v>0</v>
      </c>
      <c r="L738" s="44">
        <f t="shared" si="169"/>
        <v>376.91</v>
      </c>
      <c r="M738" s="42" t="s">
        <v>753</v>
      </c>
      <c r="N738" s="52" t="str">
        <f t="shared" si="172"/>
        <v>(16,'PS-16-GR4','Poste de Sectionnement n°16 GR4','Wednesday-01-jj','Wednesday-01-jj',,1,),</v>
      </c>
    </row>
    <row r="739" spans="1:14" ht="20.100000000000001" customHeight="1" x14ac:dyDescent="0.25">
      <c r="A739" s="39">
        <v>17</v>
      </c>
      <c r="B739" s="40" t="str">
        <f t="shared" si="170"/>
        <v>PS-17-GR4</v>
      </c>
      <c r="C739" s="52" t="str">
        <f t="shared" si="171"/>
        <v>Poste de Sectionnement n°17 GR4</v>
      </c>
      <c r="D739" s="19">
        <v>41640</v>
      </c>
      <c r="E739" s="19">
        <v>41640</v>
      </c>
      <c r="F739" s="42"/>
      <c r="G739" s="42">
        <v>1</v>
      </c>
      <c r="H739" s="42"/>
      <c r="I739" s="42" t="s">
        <v>427</v>
      </c>
      <c r="J739" s="42" t="s">
        <v>2611</v>
      </c>
      <c r="K739" s="44">
        <v>0</v>
      </c>
      <c r="L739" s="44">
        <f t="shared" si="169"/>
        <v>396.65100000000001</v>
      </c>
      <c r="M739" s="42" t="s">
        <v>753</v>
      </c>
      <c r="N739" s="52" t="str">
        <f t="shared" si="172"/>
        <v>(17,'PS-17-GR4','Poste de Sectionnement n°17 GR4','Wednesday-01-jj','Wednesday-01-jj',,1,),</v>
      </c>
    </row>
    <row r="740" spans="1:14" ht="20.100000000000001" customHeight="1" x14ac:dyDescent="0.25">
      <c r="A740" s="39">
        <v>18</v>
      </c>
      <c r="B740" s="40" t="str">
        <f t="shared" si="170"/>
        <v>PS-18-GR4</v>
      </c>
      <c r="C740" s="52" t="str">
        <f t="shared" si="171"/>
        <v>Poste de Sectionnement n°18 GR4</v>
      </c>
      <c r="D740" s="19">
        <v>41640</v>
      </c>
      <c r="E740" s="19">
        <v>41640</v>
      </c>
      <c r="F740" s="42"/>
      <c r="G740" s="42">
        <v>1</v>
      </c>
      <c r="H740" s="42"/>
      <c r="I740" s="42" t="s">
        <v>427</v>
      </c>
      <c r="J740" s="42" t="s">
        <v>2612</v>
      </c>
      <c r="K740" s="44">
        <v>0</v>
      </c>
      <c r="L740" s="44">
        <f t="shared" si="169"/>
        <v>417.52600000000001</v>
      </c>
      <c r="M740" s="42" t="s">
        <v>753</v>
      </c>
      <c r="N740" s="52" t="str">
        <f t="shared" si="172"/>
        <v>(18,'PS-18-GR4','Poste de Sectionnement n°18 GR4','Wednesday-01-jj','Wednesday-01-jj',,1,),</v>
      </c>
    </row>
    <row r="741" spans="1:14" ht="20.100000000000001" customHeight="1" x14ac:dyDescent="0.25">
      <c r="A741" s="39">
        <v>19</v>
      </c>
      <c r="B741" s="40" t="str">
        <f t="shared" si="170"/>
        <v>PS-19-GR4</v>
      </c>
      <c r="C741" s="52" t="str">
        <f t="shared" si="171"/>
        <v>Poste de Sectionnement n°19 GR4</v>
      </c>
      <c r="D741" s="19">
        <v>41640</v>
      </c>
      <c r="E741" s="19">
        <v>41640</v>
      </c>
      <c r="F741" s="42"/>
      <c r="G741" s="42">
        <v>1</v>
      </c>
      <c r="H741" s="42"/>
      <c r="I741" s="42" t="s">
        <v>427</v>
      </c>
      <c r="J741" s="42" t="s">
        <v>2613</v>
      </c>
      <c r="K741" s="44">
        <v>0</v>
      </c>
      <c r="L741" s="44">
        <f t="shared" si="169"/>
        <v>458.00700000000001</v>
      </c>
      <c r="M741" s="42" t="s">
        <v>1836</v>
      </c>
      <c r="N741" s="52" t="str">
        <f t="shared" si="172"/>
        <v>(19,'PS-19-GR4','Poste de Sectionnement n°19 GR4','Wednesday-01-jj','Wednesday-01-jj',,1,),</v>
      </c>
    </row>
    <row r="742" spans="1:14" ht="20.100000000000001" customHeight="1" x14ac:dyDescent="0.25">
      <c r="A742" s="39">
        <v>20</v>
      </c>
      <c r="B742" s="40" t="str">
        <f t="shared" si="170"/>
        <v>PS-20-GR4</v>
      </c>
      <c r="C742" s="52" t="str">
        <f t="shared" si="171"/>
        <v>Poste de Sectionnement n°20 GR4</v>
      </c>
      <c r="D742" s="19">
        <v>41640</v>
      </c>
      <c r="E742" s="19">
        <v>41640</v>
      </c>
      <c r="F742" s="42"/>
      <c r="G742" s="42">
        <v>1</v>
      </c>
      <c r="H742" s="42"/>
      <c r="I742" s="42" t="s">
        <v>427</v>
      </c>
      <c r="J742" s="42" t="s">
        <v>2614</v>
      </c>
      <c r="K742" s="44">
        <v>0</v>
      </c>
      <c r="L742" s="44">
        <f t="shared" si="169"/>
        <v>477.74299999999999</v>
      </c>
      <c r="M742" s="42" t="s">
        <v>1836</v>
      </c>
      <c r="N742" s="52" t="str">
        <f t="shared" si="172"/>
        <v>(20,'PS-20-GR4','Poste de Sectionnement n°20 GR4','Wednesday-01-jj','Wednesday-01-jj',,1,),</v>
      </c>
    </row>
    <row r="743" spans="1:14" ht="20.100000000000001" customHeight="1" x14ac:dyDescent="0.25">
      <c r="A743" s="39">
        <v>21</v>
      </c>
      <c r="B743" s="40" t="str">
        <f t="shared" si="170"/>
        <v>PS-21-GR4</v>
      </c>
      <c r="C743" s="52" t="str">
        <f t="shared" si="171"/>
        <v>Poste de Sectionnement n°21 GR4</v>
      </c>
      <c r="D743" s="19">
        <v>41640</v>
      </c>
      <c r="E743" s="19">
        <v>41640</v>
      </c>
      <c r="F743" s="42"/>
      <c r="G743" s="42">
        <v>1</v>
      </c>
      <c r="H743" s="42"/>
      <c r="I743" s="42" t="s">
        <v>427</v>
      </c>
      <c r="J743" s="42" t="s">
        <v>2615</v>
      </c>
      <c r="K743" s="44">
        <v>0</v>
      </c>
      <c r="L743" s="44">
        <f t="shared" si="169"/>
        <v>494.21199999999999</v>
      </c>
      <c r="M743" s="42" t="s">
        <v>2554</v>
      </c>
      <c r="N743" s="52" t="str">
        <f t="shared" si="172"/>
        <v>(21,'PS-21-GR4','Poste de Sectionnement n°21 GR4','Wednesday-01-jj','Wednesday-01-jj',,1,),</v>
      </c>
    </row>
    <row r="744" spans="1:14" ht="20.100000000000001" customHeight="1" x14ac:dyDescent="0.25">
      <c r="A744" s="39">
        <v>22</v>
      </c>
      <c r="B744" s="40" t="str">
        <f t="shared" si="170"/>
        <v>PS-22-GR4</v>
      </c>
      <c r="C744" s="52" t="str">
        <f t="shared" si="171"/>
        <v>Poste de Sectionnement n°22 GR4</v>
      </c>
      <c r="D744" s="19">
        <v>41640</v>
      </c>
      <c r="E744" s="19">
        <v>41640</v>
      </c>
      <c r="F744" s="42"/>
      <c r="G744" s="42">
        <v>1</v>
      </c>
      <c r="H744" s="42"/>
      <c r="I744" s="42" t="s">
        <v>427</v>
      </c>
      <c r="J744" s="42" t="s">
        <v>2616</v>
      </c>
      <c r="K744" s="44">
        <v>0</v>
      </c>
      <c r="L744" s="44">
        <f t="shared" si="169"/>
        <v>510.04399999999998</v>
      </c>
      <c r="M744" s="42" t="s">
        <v>2554</v>
      </c>
      <c r="N744" s="52" t="str">
        <f t="shared" si="172"/>
        <v>(22,'PS-22-GR4','Poste de Sectionnement n°22 GR4','Wednesday-01-jj','Wednesday-01-jj',,1,),</v>
      </c>
    </row>
    <row r="745" spans="1:14" ht="20.100000000000001" customHeight="1" x14ac:dyDescent="0.25">
      <c r="A745" s="39">
        <v>1</v>
      </c>
      <c r="B745" s="40" t="str">
        <f t="shared" ref="B745:B768" si="173">CONCATENATE("PS-",TEXT(A745,"00"),"-",I745)</f>
        <v>PS-01-GR6</v>
      </c>
      <c r="C745" s="52" t="str">
        <f t="shared" ref="C745:C768" si="174">CONCATENATE("Poste de Sectionnement n°",TEXT(A745,"00")," ",I745)</f>
        <v>Poste de Sectionnement n°01 GR6</v>
      </c>
      <c r="D745" s="19">
        <v>42736</v>
      </c>
      <c r="E745" s="19">
        <v>42736</v>
      </c>
      <c r="F745" s="42"/>
      <c r="G745" s="42">
        <v>1</v>
      </c>
      <c r="H745" s="42"/>
      <c r="I745" s="42" t="s">
        <v>432</v>
      </c>
      <c r="J745" s="42" t="s">
        <v>2617</v>
      </c>
      <c r="K745" s="44">
        <v>0</v>
      </c>
      <c r="L745" s="44">
        <f t="shared" si="169"/>
        <v>16.8</v>
      </c>
      <c r="M745" s="42" t="s">
        <v>1812</v>
      </c>
      <c r="N745" s="52" t="str">
        <f t="shared" si="172"/>
        <v>(1,'PS-01-GR6','Poste de Sectionnement n°01 GR6','Sunday-01-jj','Sunday-01-jj',,1,),</v>
      </c>
    </row>
    <row r="746" spans="1:14" ht="20.100000000000001" customHeight="1" x14ac:dyDescent="0.25">
      <c r="A746" s="39">
        <v>2</v>
      </c>
      <c r="B746" s="40" t="str">
        <f t="shared" si="173"/>
        <v>PS-02-GR6</v>
      </c>
      <c r="C746" s="52" t="str">
        <f t="shared" si="174"/>
        <v>Poste de Sectionnement n°02 GR6</v>
      </c>
      <c r="D746" s="19">
        <v>42736</v>
      </c>
      <c r="E746" s="19">
        <v>42736</v>
      </c>
      <c r="F746" s="42"/>
      <c r="G746" s="42">
        <v>1</v>
      </c>
      <c r="H746" s="42"/>
      <c r="I746" s="42" t="s">
        <v>432</v>
      </c>
      <c r="J746" s="42" t="s">
        <v>2618</v>
      </c>
      <c r="K746" s="44">
        <v>0</v>
      </c>
      <c r="L746" s="44">
        <f t="shared" si="169"/>
        <v>34.801000000000002</v>
      </c>
      <c r="M746" s="42" t="s">
        <v>1006</v>
      </c>
      <c r="N746" s="52" t="str">
        <f t="shared" si="172"/>
        <v>(2,'PS-02-GR6','Poste de Sectionnement n°02 GR6','Sunday-01-jj','Sunday-01-jj',,1,),</v>
      </c>
    </row>
    <row r="747" spans="1:14" ht="20.100000000000001" customHeight="1" x14ac:dyDescent="0.25">
      <c r="A747" s="39">
        <v>3</v>
      </c>
      <c r="B747" s="40" t="str">
        <f t="shared" si="173"/>
        <v>PS-03-GR6</v>
      </c>
      <c r="C747" s="52" t="str">
        <f t="shared" si="174"/>
        <v>Poste de Sectionnement n°03 GR6</v>
      </c>
      <c r="D747" s="19">
        <v>42736</v>
      </c>
      <c r="E747" s="19">
        <v>42736</v>
      </c>
      <c r="F747" s="42"/>
      <c r="G747" s="42">
        <v>1</v>
      </c>
      <c r="H747" s="42"/>
      <c r="I747" s="42" t="s">
        <v>432</v>
      </c>
      <c r="J747" s="42" t="s">
        <v>2619</v>
      </c>
      <c r="K747" s="44">
        <v>0</v>
      </c>
      <c r="L747" s="44">
        <f t="shared" ref="L747:L806" si="175">VALUE(SUBSTITUTE(J747,"+",","))</f>
        <v>52.466000000000001</v>
      </c>
      <c r="M747" s="42" t="s">
        <v>1006</v>
      </c>
      <c r="N747" s="52" t="str">
        <f t="shared" si="172"/>
        <v>(3,'PS-03-GR6','Poste de Sectionnement n°03 GR6','Sunday-01-jj','Sunday-01-jj',,1,),</v>
      </c>
    </row>
    <row r="748" spans="1:14" ht="20.100000000000001" customHeight="1" x14ac:dyDescent="0.25">
      <c r="A748" s="39">
        <v>4</v>
      </c>
      <c r="B748" s="40" t="str">
        <f t="shared" si="173"/>
        <v>PS-04-GR6</v>
      </c>
      <c r="C748" s="52" t="str">
        <f t="shared" si="174"/>
        <v>Poste de Sectionnement n°04 GR6</v>
      </c>
      <c r="D748" s="19">
        <v>42736</v>
      </c>
      <c r="E748" s="19">
        <v>42736</v>
      </c>
      <c r="F748" s="42"/>
      <c r="G748" s="42">
        <v>1</v>
      </c>
      <c r="H748" s="42"/>
      <c r="I748" s="42" t="s">
        <v>432</v>
      </c>
      <c r="J748" s="42" t="s">
        <v>2620</v>
      </c>
      <c r="K748" s="44">
        <v>0</v>
      </c>
      <c r="L748" s="44">
        <f t="shared" si="175"/>
        <v>92.289000000000001</v>
      </c>
      <c r="M748" s="42" t="s">
        <v>1006</v>
      </c>
      <c r="N748" s="52" t="str">
        <f t="shared" si="172"/>
        <v>(4,'PS-04-GR6','Poste de Sectionnement n°04 GR6','Sunday-01-jj','Sunday-01-jj',,1,),</v>
      </c>
    </row>
    <row r="749" spans="1:14" ht="20.100000000000001" customHeight="1" x14ac:dyDescent="0.25">
      <c r="A749" s="39">
        <v>5</v>
      </c>
      <c r="B749" s="40" t="str">
        <f t="shared" si="173"/>
        <v>PS-05-GR6</v>
      </c>
      <c r="C749" s="52" t="str">
        <f t="shared" si="174"/>
        <v>Poste de Sectionnement n°05 GR6</v>
      </c>
      <c r="D749" s="19">
        <v>42736</v>
      </c>
      <c r="E749" s="19">
        <v>42736</v>
      </c>
      <c r="F749" s="42"/>
      <c r="G749" s="42">
        <v>1</v>
      </c>
      <c r="H749" s="42"/>
      <c r="I749" s="42" t="s">
        <v>432</v>
      </c>
      <c r="J749" s="42" t="s">
        <v>2621</v>
      </c>
      <c r="K749" s="44">
        <v>0</v>
      </c>
      <c r="L749" s="44">
        <f t="shared" si="175"/>
        <v>112.923</v>
      </c>
      <c r="M749" s="42" t="s">
        <v>1006</v>
      </c>
      <c r="N749" s="52" t="str">
        <f t="shared" si="172"/>
        <v>(5,'PS-05-GR6','Poste de Sectionnement n°05 GR6','Sunday-01-jj','Sunday-01-jj',,1,),</v>
      </c>
    </row>
    <row r="750" spans="1:14" ht="20.100000000000001" customHeight="1" x14ac:dyDescent="0.25">
      <c r="A750" s="39">
        <v>6</v>
      </c>
      <c r="B750" s="40" t="str">
        <f t="shared" si="173"/>
        <v>PS-06-GR6</v>
      </c>
      <c r="C750" s="52" t="str">
        <f t="shared" si="174"/>
        <v>Poste de Sectionnement n°06 GR6</v>
      </c>
      <c r="D750" s="19">
        <v>42736</v>
      </c>
      <c r="E750" s="19">
        <v>42736</v>
      </c>
      <c r="F750" s="42"/>
      <c r="G750" s="42">
        <v>1</v>
      </c>
      <c r="H750" s="42"/>
      <c r="I750" s="42" t="s">
        <v>432</v>
      </c>
      <c r="J750" s="42" t="s">
        <v>2622</v>
      </c>
      <c r="K750" s="44">
        <v>0</v>
      </c>
      <c r="L750" s="44">
        <f t="shared" si="175"/>
        <v>133.62899999999999</v>
      </c>
      <c r="M750" s="42" t="s">
        <v>1006</v>
      </c>
      <c r="N750" s="52" t="str">
        <f t="shared" si="172"/>
        <v>(6,'PS-06-GR6','Poste de Sectionnement n°06 GR6','Sunday-01-jj','Sunday-01-jj',,1,),</v>
      </c>
    </row>
    <row r="751" spans="1:14" ht="20.100000000000001" customHeight="1" x14ac:dyDescent="0.25">
      <c r="A751" s="39">
        <v>7</v>
      </c>
      <c r="B751" s="40" t="str">
        <f t="shared" si="173"/>
        <v>PS-07-GR6</v>
      </c>
      <c r="C751" s="52" t="str">
        <f t="shared" si="174"/>
        <v>Poste de Sectionnement n°07 GR6</v>
      </c>
      <c r="D751" s="19">
        <v>42736</v>
      </c>
      <c r="E751" s="19">
        <v>42736</v>
      </c>
      <c r="F751" s="42"/>
      <c r="G751" s="42">
        <v>1</v>
      </c>
      <c r="H751" s="42"/>
      <c r="I751" s="42" t="s">
        <v>432</v>
      </c>
      <c r="J751" s="42" t="s">
        <v>2623</v>
      </c>
      <c r="K751" s="44">
        <v>0</v>
      </c>
      <c r="L751" s="44">
        <f t="shared" si="175"/>
        <v>173.071</v>
      </c>
      <c r="M751" s="42" t="s">
        <v>1006</v>
      </c>
      <c r="N751" s="52" t="str">
        <f t="shared" si="172"/>
        <v>(7,'PS-07-GR6','Poste de Sectionnement n°07 GR6','Sunday-01-jj','Sunday-01-jj',,1,),</v>
      </c>
    </row>
    <row r="752" spans="1:14" ht="20.100000000000001" customHeight="1" x14ac:dyDescent="0.25">
      <c r="A752" s="39">
        <v>8</v>
      </c>
      <c r="B752" s="40" t="str">
        <f t="shared" si="173"/>
        <v>PS-08-GR6</v>
      </c>
      <c r="C752" s="52" t="str">
        <f t="shared" si="174"/>
        <v>Poste de Sectionnement n°08 GR6</v>
      </c>
      <c r="D752" s="19">
        <v>42736</v>
      </c>
      <c r="E752" s="19">
        <v>42736</v>
      </c>
      <c r="F752" s="42"/>
      <c r="G752" s="42">
        <v>1</v>
      </c>
      <c r="H752" s="42"/>
      <c r="I752" s="42" t="s">
        <v>432</v>
      </c>
      <c r="J752" s="42" t="s">
        <v>2624</v>
      </c>
      <c r="K752" s="44">
        <v>0</v>
      </c>
      <c r="L752" s="44">
        <f t="shared" si="175"/>
        <v>191.87</v>
      </c>
      <c r="M752" s="42" t="s">
        <v>1006</v>
      </c>
      <c r="N752" s="52" t="str">
        <f t="shared" si="172"/>
        <v>(8,'PS-08-GR6','Poste de Sectionnement n°08 GR6','Sunday-01-jj','Sunday-01-jj',,1,),</v>
      </c>
    </row>
    <row r="753" spans="1:14" ht="20.100000000000001" customHeight="1" x14ac:dyDescent="0.25">
      <c r="A753" s="39">
        <v>9</v>
      </c>
      <c r="B753" s="40" t="str">
        <f t="shared" si="173"/>
        <v>PS-09-GR6</v>
      </c>
      <c r="C753" s="52" t="str">
        <f t="shared" si="174"/>
        <v>Poste de Sectionnement n°09 GR6</v>
      </c>
      <c r="D753" s="19">
        <v>42736</v>
      </c>
      <c r="E753" s="19">
        <v>42736</v>
      </c>
      <c r="F753" s="42"/>
      <c r="G753" s="42">
        <v>1</v>
      </c>
      <c r="H753" s="42"/>
      <c r="I753" s="42" t="s">
        <v>432</v>
      </c>
      <c r="J753" s="42" t="s">
        <v>2625</v>
      </c>
      <c r="K753" s="44">
        <v>0</v>
      </c>
      <c r="L753" s="44">
        <f t="shared" si="175"/>
        <v>206.785</v>
      </c>
      <c r="M753" s="42" t="s">
        <v>1006</v>
      </c>
      <c r="N753" s="52" t="str">
        <f t="shared" si="172"/>
        <v>(9,'PS-09-GR6','Poste de Sectionnement n°09 GR6','Sunday-01-jj','Sunday-01-jj',,1,),</v>
      </c>
    </row>
    <row r="754" spans="1:14" ht="20.100000000000001" customHeight="1" x14ac:dyDescent="0.25">
      <c r="A754" s="39">
        <v>10</v>
      </c>
      <c r="B754" s="40" t="str">
        <f t="shared" si="173"/>
        <v>PS-10-GR6</v>
      </c>
      <c r="C754" s="52" t="str">
        <f t="shared" si="174"/>
        <v>Poste de Sectionnement n°10 GR6</v>
      </c>
      <c r="D754" s="19">
        <v>42736</v>
      </c>
      <c r="E754" s="19">
        <v>42736</v>
      </c>
      <c r="F754" s="42"/>
      <c r="G754" s="42">
        <v>1</v>
      </c>
      <c r="H754" s="42"/>
      <c r="I754" s="42" t="s">
        <v>432</v>
      </c>
      <c r="J754" s="42" t="s">
        <v>2626</v>
      </c>
      <c r="K754" s="44">
        <v>0</v>
      </c>
      <c r="L754" s="44">
        <f t="shared" si="175"/>
        <v>239.81299999999999</v>
      </c>
      <c r="M754" s="42" t="s">
        <v>2552</v>
      </c>
      <c r="N754" s="52" t="str">
        <f t="shared" si="172"/>
        <v>(10,'PS-10-GR6','Poste de Sectionnement n°10 GR6','Sunday-01-jj','Sunday-01-jj',,1,),</v>
      </c>
    </row>
    <row r="755" spans="1:14" ht="20.100000000000001" customHeight="1" x14ac:dyDescent="0.25">
      <c r="A755" s="39">
        <v>11</v>
      </c>
      <c r="B755" s="40" t="str">
        <f t="shared" si="173"/>
        <v>PS-11-GR6</v>
      </c>
      <c r="C755" s="52" t="str">
        <f t="shared" si="174"/>
        <v>Poste de Sectionnement n°11 GR6</v>
      </c>
      <c r="D755" s="19">
        <v>42736</v>
      </c>
      <c r="E755" s="19">
        <v>42736</v>
      </c>
      <c r="F755" s="42"/>
      <c r="G755" s="42">
        <v>1</v>
      </c>
      <c r="H755" s="42"/>
      <c r="I755" s="42" t="s">
        <v>432</v>
      </c>
      <c r="J755" s="42" t="s">
        <v>2627</v>
      </c>
      <c r="K755" s="44">
        <v>0</v>
      </c>
      <c r="L755" s="44">
        <f t="shared" si="175"/>
        <v>258.66300000000001</v>
      </c>
      <c r="M755" s="42" t="s">
        <v>2552</v>
      </c>
      <c r="N755" s="52" t="str">
        <f t="shared" si="172"/>
        <v>(11,'PS-11-GR6','Poste de Sectionnement n°11 GR6','Sunday-01-jj','Sunday-01-jj',,1,),</v>
      </c>
    </row>
    <row r="756" spans="1:14" ht="20.100000000000001" customHeight="1" x14ac:dyDescent="0.25">
      <c r="A756" s="39">
        <v>12</v>
      </c>
      <c r="B756" s="40" t="str">
        <f t="shared" si="173"/>
        <v>PS-12-GR6</v>
      </c>
      <c r="C756" s="52" t="str">
        <f t="shared" si="174"/>
        <v>Poste de Sectionnement n°12 GR6</v>
      </c>
      <c r="D756" s="19">
        <v>42736</v>
      </c>
      <c r="E756" s="19">
        <v>42736</v>
      </c>
      <c r="F756" s="42"/>
      <c r="G756" s="42">
        <v>1</v>
      </c>
      <c r="H756" s="42"/>
      <c r="I756" s="42" t="s">
        <v>432</v>
      </c>
      <c r="J756" s="42" t="s">
        <v>2628</v>
      </c>
      <c r="K756" s="44">
        <v>0</v>
      </c>
      <c r="L756" s="44">
        <f t="shared" si="175"/>
        <v>277.178</v>
      </c>
      <c r="M756" s="42" t="s">
        <v>2552</v>
      </c>
      <c r="N756" s="52" t="str">
        <f t="shared" si="172"/>
        <v>(12,'PS-12-GR6','Poste de Sectionnement n°12 GR6','Sunday-01-jj','Sunday-01-jj',,1,),</v>
      </c>
    </row>
    <row r="757" spans="1:14" ht="20.100000000000001" customHeight="1" x14ac:dyDescent="0.25">
      <c r="A757" s="39">
        <v>13</v>
      </c>
      <c r="B757" s="40" t="str">
        <f t="shared" si="173"/>
        <v>PS-13-GR6</v>
      </c>
      <c r="C757" s="52" t="str">
        <f t="shared" si="174"/>
        <v>Poste de Sectionnement n°13 GR6</v>
      </c>
      <c r="D757" s="19">
        <v>42736</v>
      </c>
      <c r="E757" s="19">
        <v>42736</v>
      </c>
      <c r="F757" s="42"/>
      <c r="G757" s="42">
        <v>1</v>
      </c>
      <c r="H757" s="42"/>
      <c r="I757" s="42" t="s">
        <v>432</v>
      </c>
      <c r="J757" s="42" t="s">
        <v>2629</v>
      </c>
      <c r="K757" s="44">
        <v>0</v>
      </c>
      <c r="L757" s="44">
        <f t="shared" si="175"/>
        <v>295.88799999999998</v>
      </c>
      <c r="M757" s="42" t="s">
        <v>2553</v>
      </c>
      <c r="N757" s="52" t="str">
        <f t="shared" si="172"/>
        <v>(13,'PS-13-GR6','Poste de Sectionnement n°13 GR6','Sunday-01-jj','Sunday-01-jj',,1,),</v>
      </c>
    </row>
    <row r="758" spans="1:14" ht="20.100000000000001" customHeight="1" x14ac:dyDescent="0.25">
      <c r="A758" s="39">
        <v>14</v>
      </c>
      <c r="B758" s="40" t="str">
        <f t="shared" si="173"/>
        <v>PS-14-GR6</v>
      </c>
      <c r="C758" s="52" t="str">
        <f t="shared" si="174"/>
        <v>Poste de Sectionnement n°14 GR6</v>
      </c>
      <c r="D758" s="19">
        <v>42736</v>
      </c>
      <c r="E758" s="19">
        <v>42736</v>
      </c>
      <c r="F758" s="42"/>
      <c r="G758" s="42">
        <v>1</v>
      </c>
      <c r="H758" s="42"/>
      <c r="I758" s="42" t="s">
        <v>432</v>
      </c>
      <c r="J758" s="42" t="s">
        <v>2630</v>
      </c>
      <c r="K758" s="44">
        <v>0</v>
      </c>
      <c r="L758" s="44">
        <f t="shared" si="175"/>
        <v>314.834</v>
      </c>
      <c r="M758" s="42" t="s">
        <v>752</v>
      </c>
      <c r="N758" s="52" t="str">
        <f t="shared" si="172"/>
        <v>(14,'PS-14-GR6','Poste de Sectionnement n°14 GR6','Sunday-01-jj','Sunday-01-jj',,1,),</v>
      </c>
    </row>
    <row r="759" spans="1:14" ht="20.100000000000001" customHeight="1" x14ac:dyDescent="0.25">
      <c r="A759" s="39">
        <v>15</v>
      </c>
      <c r="B759" s="40" t="str">
        <f t="shared" si="173"/>
        <v>PS-15-GR6</v>
      </c>
      <c r="C759" s="52" t="str">
        <f t="shared" si="174"/>
        <v>Poste de Sectionnement n°15 GR6</v>
      </c>
      <c r="D759" s="19">
        <v>42736</v>
      </c>
      <c r="E759" s="19">
        <v>42736</v>
      </c>
      <c r="F759" s="42"/>
      <c r="G759" s="42">
        <v>1</v>
      </c>
      <c r="H759" s="42"/>
      <c r="I759" s="42" t="s">
        <v>432</v>
      </c>
      <c r="J759" s="42" t="s">
        <v>2631</v>
      </c>
      <c r="K759" s="44">
        <v>0</v>
      </c>
      <c r="L759" s="44">
        <f t="shared" si="175"/>
        <v>351.36</v>
      </c>
      <c r="M759" s="42" t="s">
        <v>752</v>
      </c>
      <c r="N759" s="52" t="str">
        <f t="shared" si="172"/>
        <v>(15,'PS-15-GR6','Poste de Sectionnement n°15 GR6','Sunday-01-jj','Sunday-01-jj',,1,),</v>
      </c>
    </row>
    <row r="760" spans="1:14" ht="20.100000000000001" customHeight="1" x14ac:dyDescent="0.25">
      <c r="A760" s="39">
        <v>16</v>
      </c>
      <c r="B760" s="40" t="str">
        <f t="shared" si="173"/>
        <v>PS-16-GR6</v>
      </c>
      <c r="C760" s="52" t="str">
        <f t="shared" si="174"/>
        <v>Poste de Sectionnement n°16 GR6</v>
      </c>
      <c r="D760" s="19">
        <v>42736</v>
      </c>
      <c r="E760" s="19">
        <v>42736</v>
      </c>
      <c r="F760" s="42"/>
      <c r="G760" s="42">
        <v>1</v>
      </c>
      <c r="H760" s="42"/>
      <c r="I760" s="42" t="s">
        <v>432</v>
      </c>
      <c r="J760" s="42" t="s">
        <v>2632</v>
      </c>
      <c r="K760" s="44">
        <v>0</v>
      </c>
      <c r="L760" s="44">
        <f t="shared" si="175"/>
        <v>371.90300000000002</v>
      </c>
      <c r="M760" s="42" t="s">
        <v>753</v>
      </c>
      <c r="N760" s="52" t="str">
        <f t="shared" si="172"/>
        <v>(16,'PS-16-GR6','Poste de Sectionnement n°16 GR6','Sunday-01-jj','Sunday-01-jj',,1,),</v>
      </c>
    </row>
    <row r="761" spans="1:14" ht="20.100000000000001" customHeight="1" x14ac:dyDescent="0.25">
      <c r="A761" s="39">
        <v>17</v>
      </c>
      <c r="B761" s="40" t="str">
        <f t="shared" si="173"/>
        <v>PS-17-GR6</v>
      </c>
      <c r="C761" s="52" t="str">
        <f t="shared" si="174"/>
        <v>Poste de Sectionnement n°17 GR6</v>
      </c>
      <c r="D761" s="19">
        <v>42736</v>
      </c>
      <c r="E761" s="19">
        <v>42736</v>
      </c>
      <c r="F761" s="42"/>
      <c r="G761" s="42">
        <v>1</v>
      </c>
      <c r="H761" s="42"/>
      <c r="I761" s="42" t="s">
        <v>432</v>
      </c>
      <c r="J761" s="42" t="s">
        <v>2633</v>
      </c>
      <c r="K761" s="44">
        <v>0</v>
      </c>
      <c r="L761" s="44">
        <f t="shared" si="175"/>
        <v>391.69200000000001</v>
      </c>
      <c r="M761" s="42" t="s">
        <v>753</v>
      </c>
      <c r="N761" s="52" t="str">
        <f t="shared" si="172"/>
        <v>(17,'PS-17-GR6','Poste de Sectionnement n°17 GR6','Sunday-01-jj','Sunday-01-jj',,1,),</v>
      </c>
    </row>
    <row r="762" spans="1:14" ht="20.100000000000001" customHeight="1" x14ac:dyDescent="0.25">
      <c r="A762" s="39">
        <v>18</v>
      </c>
      <c r="B762" s="40" t="str">
        <f t="shared" si="173"/>
        <v>PS-18-GR6</v>
      </c>
      <c r="C762" s="52" t="str">
        <f t="shared" si="174"/>
        <v>Poste de Sectionnement n°18 GR6</v>
      </c>
      <c r="D762" s="19">
        <v>42736</v>
      </c>
      <c r="E762" s="19">
        <v>42736</v>
      </c>
      <c r="F762" s="42"/>
      <c r="G762" s="42">
        <v>1</v>
      </c>
      <c r="H762" s="42"/>
      <c r="I762" s="42" t="s">
        <v>432</v>
      </c>
      <c r="J762" s="42" t="s">
        <v>2634</v>
      </c>
      <c r="K762" s="44">
        <v>0</v>
      </c>
      <c r="L762" s="44">
        <f t="shared" si="175"/>
        <v>412.70400000000001</v>
      </c>
      <c r="M762" s="42" t="s">
        <v>753</v>
      </c>
      <c r="N762" s="52" t="str">
        <f t="shared" si="172"/>
        <v>(18,'PS-18-GR6','Poste de Sectionnement n°18 GR6','Sunday-01-jj','Sunday-01-jj',,1,),</v>
      </c>
    </row>
    <row r="763" spans="1:14" ht="20.100000000000001" customHeight="1" x14ac:dyDescent="0.25">
      <c r="A763" s="39">
        <v>19</v>
      </c>
      <c r="B763" s="40" t="str">
        <f t="shared" si="173"/>
        <v>PS-19-GR6</v>
      </c>
      <c r="C763" s="52" t="str">
        <f t="shared" si="174"/>
        <v>Poste de Sectionnement n°19 GR6</v>
      </c>
      <c r="D763" s="19">
        <v>42736</v>
      </c>
      <c r="E763" s="19">
        <v>42736</v>
      </c>
      <c r="F763" s="42"/>
      <c r="G763" s="42">
        <v>1</v>
      </c>
      <c r="H763" s="42"/>
      <c r="I763" s="42" t="s">
        <v>432</v>
      </c>
      <c r="J763" s="42" t="s">
        <v>2635</v>
      </c>
      <c r="K763" s="44">
        <v>0</v>
      </c>
      <c r="L763" s="44">
        <f t="shared" si="175"/>
        <v>454.63200000000001</v>
      </c>
      <c r="M763" s="42" t="s">
        <v>1836</v>
      </c>
      <c r="N763" s="52" t="str">
        <f t="shared" si="172"/>
        <v>(19,'PS-19-GR6','Poste de Sectionnement n°19 GR6','Sunday-01-jj','Sunday-01-jj',,1,),</v>
      </c>
    </row>
    <row r="764" spans="1:14" ht="20.100000000000001" customHeight="1" x14ac:dyDescent="0.25">
      <c r="A764" s="39">
        <v>20</v>
      </c>
      <c r="B764" s="40" t="str">
        <f t="shared" si="173"/>
        <v>PS-20-GR6</v>
      </c>
      <c r="C764" s="52" t="str">
        <f t="shared" si="174"/>
        <v>Poste de Sectionnement n°20 GR6</v>
      </c>
      <c r="D764" s="19">
        <v>42736</v>
      </c>
      <c r="E764" s="19">
        <v>42736</v>
      </c>
      <c r="F764" s="42"/>
      <c r="G764" s="42">
        <v>1</v>
      </c>
      <c r="H764" s="42"/>
      <c r="I764" s="42" t="s">
        <v>432</v>
      </c>
      <c r="J764" s="42" t="s">
        <v>2636</v>
      </c>
      <c r="K764" s="44">
        <v>0</v>
      </c>
      <c r="L764" s="44">
        <f t="shared" si="175"/>
        <v>474.78300000000002</v>
      </c>
      <c r="M764" s="42" t="s">
        <v>1836</v>
      </c>
      <c r="N764" s="52" t="str">
        <f t="shared" si="172"/>
        <v>(20,'PS-20-GR6','Poste de Sectionnement n°20 GR6','Sunday-01-jj','Sunday-01-jj',,1,),</v>
      </c>
    </row>
    <row r="765" spans="1:14" ht="20.100000000000001" customHeight="1" x14ac:dyDescent="0.25">
      <c r="A765" s="39">
        <v>21</v>
      </c>
      <c r="B765" s="40" t="str">
        <f t="shared" si="173"/>
        <v>PS-21-GR6</v>
      </c>
      <c r="C765" s="52" t="str">
        <f t="shared" si="174"/>
        <v>Poste de Sectionnement n°21 GR6</v>
      </c>
      <c r="D765" s="19">
        <v>42736</v>
      </c>
      <c r="E765" s="19">
        <v>42736</v>
      </c>
      <c r="F765" s="42"/>
      <c r="G765" s="42">
        <v>1</v>
      </c>
      <c r="H765" s="42"/>
      <c r="I765" s="42" t="s">
        <v>432</v>
      </c>
      <c r="J765" s="42" t="s">
        <v>2637</v>
      </c>
      <c r="K765" s="44">
        <v>0</v>
      </c>
      <c r="L765" s="44">
        <f t="shared" si="175"/>
        <v>490.99200000000002</v>
      </c>
      <c r="M765" s="42" t="s">
        <v>2554</v>
      </c>
      <c r="N765" s="52" t="str">
        <f t="shared" si="172"/>
        <v>(21,'PS-21-GR6','Poste de Sectionnement n°21 GR6','Sunday-01-jj','Sunday-01-jj',,1,),</v>
      </c>
    </row>
    <row r="766" spans="1:14" ht="20.100000000000001" customHeight="1" x14ac:dyDescent="0.25">
      <c r="A766" s="39">
        <v>22</v>
      </c>
      <c r="B766" s="40" t="str">
        <f t="shared" si="173"/>
        <v>PS-22-GR6</v>
      </c>
      <c r="C766" s="52" t="str">
        <f t="shared" si="174"/>
        <v>Poste de Sectionnement n°22 GR6</v>
      </c>
      <c r="D766" s="19">
        <v>42736</v>
      </c>
      <c r="E766" s="19">
        <v>42736</v>
      </c>
      <c r="F766" s="42"/>
      <c r="G766" s="42">
        <v>1</v>
      </c>
      <c r="H766" s="42"/>
      <c r="I766" s="42" t="s">
        <v>432</v>
      </c>
      <c r="J766" s="42" t="s">
        <v>2638</v>
      </c>
      <c r="K766" s="44">
        <v>0</v>
      </c>
      <c r="L766" s="44">
        <f t="shared" si="175"/>
        <v>506.928</v>
      </c>
      <c r="M766" s="42" t="s">
        <v>2554</v>
      </c>
      <c r="N766" s="52" t="str">
        <f t="shared" si="172"/>
        <v>(22,'PS-22-GR6','Poste de Sectionnement n°22 GR6','Sunday-01-jj','Sunday-01-jj',,1,),</v>
      </c>
    </row>
    <row r="767" spans="1:14" ht="20.100000000000001" customHeight="1" x14ac:dyDescent="0.25">
      <c r="A767" s="39">
        <v>1</v>
      </c>
      <c r="B767" s="40" t="str">
        <f t="shared" si="173"/>
        <v>PS-01-GR5</v>
      </c>
      <c r="C767" s="52" t="str">
        <f t="shared" si="174"/>
        <v>Poste de Sectionnement n°01 GR5</v>
      </c>
      <c r="D767" s="19">
        <v>42887</v>
      </c>
      <c r="E767" s="19">
        <v>42887</v>
      </c>
      <c r="F767" s="42"/>
      <c r="G767" s="42">
        <v>1</v>
      </c>
      <c r="H767" s="42"/>
      <c r="I767" s="42" t="s">
        <v>429</v>
      </c>
      <c r="J767" s="42">
        <v>20</v>
      </c>
      <c r="K767" s="44">
        <v>337.3</v>
      </c>
      <c r="L767" s="44">
        <f t="shared" si="175"/>
        <v>20</v>
      </c>
      <c r="M767" s="42" t="s">
        <v>2781</v>
      </c>
      <c r="N767" s="52" t="str">
        <f t="shared" si="172"/>
        <v>(1,'PS-01-GR5','Poste de Sectionnement n°01 GR5','Thursday-06-jj','Thursday-06-jj',,1,),</v>
      </c>
    </row>
    <row r="768" spans="1:14" ht="20.100000000000001" customHeight="1" x14ac:dyDescent="0.25">
      <c r="A768" s="39">
        <v>2</v>
      </c>
      <c r="B768" s="40" t="str">
        <f t="shared" si="173"/>
        <v>PS-02-GR5</v>
      </c>
      <c r="C768" s="52" t="str">
        <f t="shared" si="174"/>
        <v>Poste de Sectionnement n°02 GR5</v>
      </c>
      <c r="D768" s="19">
        <v>42887</v>
      </c>
      <c r="E768" s="19">
        <v>42887</v>
      </c>
      <c r="F768" s="42"/>
      <c r="G768" s="42">
        <v>1</v>
      </c>
      <c r="H768" s="42"/>
      <c r="I768" s="42" t="s">
        <v>429</v>
      </c>
      <c r="J768" s="42">
        <v>40</v>
      </c>
      <c r="K768" s="44">
        <v>335</v>
      </c>
      <c r="L768" s="44">
        <f t="shared" si="175"/>
        <v>40</v>
      </c>
      <c r="M768" s="42" t="s">
        <v>2781</v>
      </c>
      <c r="N768" s="52" t="str">
        <f t="shared" si="172"/>
        <v>(2,'PS-02-GR5','Poste de Sectionnement n°02 GR5','Thursday-06-jj','Thursday-06-jj',,1,),</v>
      </c>
    </row>
    <row r="769" spans="1:14" ht="20.100000000000001" customHeight="1" x14ac:dyDescent="0.25">
      <c r="A769" s="39">
        <v>3</v>
      </c>
      <c r="B769" s="40" t="str">
        <f t="shared" ref="B769:B796" si="176">CONCATENATE("PS-",TEXT(A769,"00"),"-",I769)</f>
        <v>PS-03-GR5</v>
      </c>
      <c r="C769" s="52" t="str">
        <f t="shared" ref="C769:C796" si="177">CONCATENATE("Poste de Sectionnement n°",TEXT(A769,"00")," ",I769)</f>
        <v>Poste de Sectionnement n°03 GR5</v>
      </c>
      <c r="D769" s="19">
        <v>42887</v>
      </c>
      <c r="E769" s="19">
        <v>42887</v>
      </c>
      <c r="F769" s="42"/>
      <c r="G769" s="42">
        <v>1</v>
      </c>
      <c r="H769" s="42"/>
      <c r="I769" s="42" t="s">
        <v>429</v>
      </c>
      <c r="J769" s="42">
        <v>58</v>
      </c>
      <c r="K769" s="44">
        <v>352</v>
      </c>
      <c r="L769" s="44">
        <f t="shared" si="175"/>
        <v>58</v>
      </c>
      <c r="M769" s="42" t="s">
        <v>2781</v>
      </c>
      <c r="N769" s="52" t="str">
        <f t="shared" si="172"/>
        <v>(3,'PS-03-GR5','Poste de Sectionnement n°03 GR5','Thursday-06-jj','Thursday-06-jj',,1,),</v>
      </c>
    </row>
    <row r="770" spans="1:14" ht="20.100000000000001" customHeight="1" x14ac:dyDescent="0.25">
      <c r="A770" s="39">
        <v>4</v>
      </c>
      <c r="B770" s="40" t="str">
        <f t="shared" si="176"/>
        <v>PS-04-GR5</v>
      </c>
      <c r="C770" s="52" t="str">
        <f t="shared" si="177"/>
        <v>Poste de Sectionnement n°04 GR5</v>
      </c>
      <c r="D770" s="19">
        <v>42887</v>
      </c>
      <c r="E770" s="19">
        <v>42887</v>
      </c>
      <c r="F770" s="42"/>
      <c r="G770" s="42">
        <v>1</v>
      </c>
      <c r="H770" s="42"/>
      <c r="I770" s="42" t="s">
        <v>429</v>
      </c>
      <c r="J770" s="42">
        <v>95</v>
      </c>
      <c r="K770" s="44">
        <v>405</v>
      </c>
      <c r="L770" s="44">
        <f t="shared" si="175"/>
        <v>95</v>
      </c>
      <c r="M770" s="42" t="s">
        <v>2759</v>
      </c>
      <c r="N770" s="52" t="str">
        <f t="shared" si="172"/>
        <v>(4,'PS-04-GR5','Poste de Sectionnement n°04 GR5','Thursday-06-jj','Thursday-06-jj',,1,),</v>
      </c>
    </row>
    <row r="771" spans="1:14" ht="20.100000000000001" customHeight="1" x14ac:dyDescent="0.25">
      <c r="A771" s="39">
        <v>5</v>
      </c>
      <c r="B771" s="40" t="str">
        <f t="shared" si="176"/>
        <v>PS-05-GR5</v>
      </c>
      <c r="C771" s="52" t="str">
        <f t="shared" si="177"/>
        <v>Poste de Sectionnement n°05 GR5</v>
      </c>
      <c r="D771" s="19">
        <v>42887</v>
      </c>
      <c r="E771" s="19">
        <v>42887</v>
      </c>
      <c r="F771" s="42"/>
      <c r="G771" s="42">
        <v>1</v>
      </c>
      <c r="H771" s="42"/>
      <c r="I771" s="42" t="s">
        <v>429</v>
      </c>
      <c r="J771" s="42">
        <v>115</v>
      </c>
      <c r="K771" s="44">
        <v>406</v>
      </c>
      <c r="L771" s="44">
        <f t="shared" si="175"/>
        <v>115</v>
      </c>
      <c r="M771" s="42" t="s">
        <v>2759</v>
      </c>
      <c r="N771" s="52" t="str">
        <f t="shared" si="172"/>
        <v>(5,'PS-05-GR5','Poste de Sectionnement n°05 GR5','Thursday-06-jj','Thursday-06-jj',,1,),</v>
      </c>
    </row>
    <row r="772" spans="1:14" ht="20.100000000000001" customHeight="1" x14ac:dyDescent="0.25">
      <c r="A772" s="39">
        <v>6</v>
      </c>
      <c r="B772" s="40" t="str">
        <f t="shared" si="176"/>
        <v>PS-06-GR5</v>
      </c>
      <c r="C772" s="52" t="str">
        <f t="shared" si="177"/>
        <v>Poste de Sectionnement n°06 GR5</v>
      </c>
      <c r="D772" s="19">
        <v>42887</v>
      </c>
      <c r="E772" s="19">
        <v>42887</v>
      </c>
      <c r="F772" s="42"/>
      <c r="G772" s="42">
        <v>1</v>
      </c>
      <c r="H772" s="42"/>
      <c r="I772" s="42" t="s">
        <v>429</v>
      </c>
      <c r="J772" s="42">
        <v>135</v>
      </c>
      <c r="K772" s="44">
        <v>413</v>
      </c>
      <c r="L772" s="44">
        <f t="shared" si="175"/>
        <v>135</v>
      </c>
      <c r="M772" s="42" t="s">
        <v>2759</v>
      </c>
      <c r="N772" s="52" t="str">
        <f t="shared" si="172"/>
        <v>(6,'PS-06-GR5','Poste de Sectionnement n°06 GR5','Thursday-06-jj','Thursday-06-jj',,1,),</v>
      </c>
    </row>
    <row r="773" spans="1:14" ht="20.100000000000001" customHeight="1" x14ac:dyDescent="0.25">
      <c r="A773" s="39">
        <v>7</v>
      </c>
      <c r="B773" s="40" t="str">
        <f t="shared" si="176"/>
        <v>PS-07-GR5</v>
      </c>
      <c r="C773" s="52" t="str">
        <f t="shared" si="177"/>
        <v>Poste de Sectionnement n°07 GR5</v>
      </c>
      <c r="D773" s="19">
        <v>42887</v>
      </c>
      <c r="E773" s="19">
        <v>42887</v>
      </c>
      <c r="F773" s="42"/>
      <c r="G773" s="42">
        <v>1</v>
      </c>
      <c r="H773" s="42"/>
      <c r="I773" s="42" t="s">
        <v>429</v>
      </c>
      <c r="J773" s="42">
        <v>156</v>
      </c>
      <c r="K773" s="44">
        <v>424</v>
      </c>
      <c r="L773" s="44">
        <f t="shared" si="175"/>
        <v>156</v>
      </c>
      <c r="M773" s="42" t="s">
        <v>2760</v>
      </c>
      <c r="N773" s="52" t="str">
        <f t="shared" si="172"/>
        <v>(7,'PS-07-GR5','Poste de Sectionnement n°07 GR5','Thursday-06-jj','Thursday-06-jj',,1,),</v>
      </c>
    </row>
    <row r="774" spans="1:14" ht="20.100000000000001" customHeight="1" x14ac:dyDescent="0.25">
      <c r="A774" s="39">
        <v>8</v>
      </c>
      <c r="B774" s="40" t="str">
        <f t="shared" si="176"/>
        <v>PS-08-GR5</v>
      </c>
      <c r="C774" s="52" t="str">
        <f t="shared" si="177"/>
        <v>Poste de Sectionnement n°08 GR5</v>
      </c>
      <c r="D774" s="19">
        <v>42887</v>
      </c>
      <c r="E774" s="19">
        <v>42887</v>
      </c>
      <c r="F774" s="42"/>
      <c r="G774" s="42">
        <v>1</v>
      </c>
      <c r="H774" s="42"/>
      <c r="I774" s="42" t="s">
        <v>429</v>
      </c>
      <c r="J774" s="42">
        <v>198</v>
      </c>
      <c r="K774" s="44">
        <v>411</v>
      </c>
      <c r="L774" s="44">
        <f t="shared" si="175"/>
        <v>198</v>
      </c>
      <c r="M774" s="42" t="s">
        <v>2760</v>
      </c>
      <c r="N774" s="52" t="str">
        <f t="shared" si="172"/>
        <v>(8,'PS-08-GR5','Poste de Sectionnement n°08 GR5','Thursday-06-jj','Thursday-06-jj',,1,),</v>
      </c>
    </row>
    <row r="775" spans="1:14" ht="20.100000000000001" customHeight="1" x14ac:dyDescent="0.25">
      <c r="A775" s="39">
        <v>9</v>
      </c>
      <c r="B775" s="40" t="str">
        <f t="shared" si="176"/>
        <v>PS-09-GR5</v>
      </c>
      <c r="C775" s="52" t="str">
        <f t="shared" si="177"/>
        <v>Poste de Sectionnement n°09 GR5</v>
      </c>
      <c r="D775" s="19">
        <v>42887</v>
      </c>
      <c r="E775" s="19">
        <v>42887</v>
      </c>
      <c r="F775" s="42"/>
      <c r="G775" s="42">
        <v>1</v>
      </c>
      <c r="H775" s="42"/>
      <c r="I775" s="42" t="s">
        <v>429</v>
      </c>
      <c r="J775" s="42">
        <v>220</v>
      </c>
      <c r="K775" s="44">
        <v>443</v>
      </c>
      <c r="L775" s="44">
        <f t="shared" si="175"/>
        <v>220</v>
      </c>
      <c r="M775" s="42" t="s">
        <v>2760</v>
      </c>
      <c r="N775" s="52" t="str">
        <f t="shared" si="172"/>
        <v>(9,'PS-09-GR5','Poste de Sectionnement n°09 GR5','Thursday-06-jj','Thursday-06-jj',,1,),</v>
      </c>
    </row>
    <row r="776" spans="1:14" ht="20.100000000000001" customHeight="1" x14ac:dyDescent="0.25">
      <c r="A776" s="39">
        <v>10</v>
      </c>
      <c r="B776" s="40" t="str">
        <f t="shared" si="176"/>
        <v>PS-10-GR5</v>
      </c>
      <c r="C776" s="52" t="str">
        <f t="shared" si="177"/>
        <v>Poste de Sectionnement n°10 GR5</v>
      </c>
      <c r="D776" s="19">
        <v>42887</v>
      </c>
      <c r="E776" s="19">
        <v>42887</v>
      </c>
      <c r="F776" s="42"/>
      <c r="G776" s="42">
        <v>1</v>
      </c>
      <c r="H776" s="42"/>
      <c r="I776" s="42" t="s">
        <v>429</v>
      </c>
      <c r="J776" s="42">
        <v>242</v>
      </c>
      <c r="K776" s="44">
        <v>444</v>
      </c>
      <c r="L776" s="44">
        <f t="shared" si="175"/>
        <v>242</v>
      </c>
      <c r="M776" s="42" t="s">
        <v>2760</v>
      </c>
      <c r="N776" s="52" t="str">
        <f t="shared" si="172"/>
        <v>(10,'PS-10-GR5','Poste de Sectionnement n°10 GR5','Thursday-06-jj','Thursday-06-jj',,1,),</v>
      </c>
    </row>
    <row r="777" spans="1:14" ht="20.100000000000001" customHeight="1" x14ac:dyDescent="0.25">
      <c r="A777" s="39">
        <v>11</v>
      </c>
      <c r="B777" s="40" t="str">
        <f t="shared" si="176"/>
        <v>PS-11-GR5</v>
      </c>
      <c r="C777" s="52" t="str">
        <f t="shared" si="177"/>
        <v>Poste de Sectionnement n°11 GR5</v>
      </c>
      <c r="D777" s="19">
        <v>42887</v>
      </c>
      <c r="E777" s="19">
        <v>42887</v>
      </c>
      <c r="F777" s="42"/>
      <c r="G777" s="42">
        <v>1</v>
      </c>
      <c r="H777" s="42"/>
      <c r="I777" s="42" t="s">
        <v>429</v>
      </c>
      <c r="J777" s="42">
        <v>264</v>
      </c>
      <c r="K777" s="44">
        <v>426</v>
      </c>
      <c r="L777" s="44">
        <f t="shared" si="175"/>
        <v>264</v>
      </c>
      <c r="M777" s="42" t="s">
        <v>2760</v>
      </c>
      <c r="N777" s="52" t="str">
        <f t="shared" si="172"/>
        <v>(11,'PS-11-GR5','Poste de Sectionnement n°11 GR5','Thursday-06-jj','Thursday-06-jj',,1,),</v>
      </c>
    </row>
    <row r="778" spans="1:14" ht="20.100000000000001" customHeight="1" x14ac:dyDescent="0.25">
      <c r="A778" s="39">
        <v>12</v>
      </c>
      <c r="B778" s="40" t="str">
        <f t="shared" si="176"/>
        <v>PS-12-GR5</v>
      </c>
      <c r="C778" s="52" t="str">
        <f t="shared" si="177"/>
        <v>Poste de Sectionnement n°12 GR5</v>
      </c>
      <c r="D778" s="19">
        <v>42887</v>
      </c>
      <c r="E778" s="19">
        <v>42887</v>
      </c>
      <c r="F778" s="42"/>
      <c r="G778" s="42">
        <v>1</v>
      </c>
      <c r="H778" s="42"/>
      <c r="I778" s="42" t="s">
        <v>429</v>
      </c>
      <c r="J778" s="42">
        <v>287</v>
      </c>
      <c r="K778" s="44">
        <v>444</v>
      </c>
      <c r="L778" s="44">
        <f t="shared" si="175"/>
        <v>287</v>
      </c>
      <c r="M778" s="42" t="s">
        <v>2760</v>
      </c>
      <c r="N778" s="52" t="str">
        <f t="shared" si="172"/>
        <v>(12,'PS-12-GR5','Poste de Sectionnement n°12 GR5','Thursday-06-jj','Thursday-06-jj',,1,),</v>
      </c>
    </row>
    <row r="779" spans="1:14" ht="20.100000000000001" customHeight="1" x14ac:dyDescent="0.25">
      <c r="A779" s="39">
        <v>13</v>
      </c>
      <c r="B779" s="40" t="str">
        <f t="shared" si="176"/>
        <v>PS-13-GR5</v>
      </c>
      <c r="C779" s="52" t="str">
        <f t="shared" si="177"/>
        <v>Poste de Sectionnement n°13 GR5</v>
      </c>
      <c r="D779" s="19">
        <v>42887</v>
      </c>
      <c r="E779" s="19">
        <v>42887</v>
      </c>
      <c r="F779" s="42"/>
      <c r="G779" s="42">
        <v>1</v>
      </c>
      <c r="H779" s="42"/>
      <c r="I779" s="42" t="s">
        <v>429</v>
      </c>
      <c r="J779" s="42">
        <v>331</v>
      </c>
      <c r="K779" s="44">
        <v>444</v>
      </c>
      <c r="L779" s="44">
        <f t="shared" si="175"/>
        <v>331</v>
      </c>
      <c r="M779" s="42" t="s">
        <v>683</v>
      </c>
      <c r="N779" s="52" t="str">
        <f t="shared" si="172"/>
        <v>(13,'PS-13-GR5','Poste de Sectionnement n°13 GR5','Thursday-06-jj','Thursday-06-jj',,1,),</v>
      </c>
    </row>
    <row r="780" spans="1:14" ht="20.100000000000001" customHeight="1" x14ac:dyDescent="0.25">
      <c r="A780" s="39">
        <v>14</v>
      </c>
      <c r="B780" s="40" t="str">
        <f t="shared" si="176"/>
        <v>PS-14-GR5</v>
      </c>
      <c r="C780" s="52" t="str">
        <f t="shared" si="177"/>
        <v>Poste de Sectionnement n°14 GR5</v>
      </c>
      <c r="D780" s="19">
        <v>42887</v>
      </c>
      <c r="E780" s="19">
        <v>42887</v>
      </c>
      <c r="F780" s="42"/>
      <c r="G780" s="42">
        <v>1</v>
      </c>
      <c r="H780" s="42"/>
      <c r="I780" s="42" t="s">
        <v>429</v>
      </c>
      <c r="J780" s="42">
        <v>353</v>
      </c>
      <c r="K780" s="44">
        <v>430</v>
      </c>
      <c r="L780" s="44">
        <f t="shared" si="175"/>
        <v>353</v>
      </c>
      <c r="M780" s="42" t="s">
        <v>683</v>
      </c>
      <c r="N780" s="52" t="str">
        <f t="shared" si="172"/>
        <v>(14,'PS-14-GR5','Poste de Sectionnement n°14 GR5','Thursday-06-jj','Thursday-06-jj',,1,),</v>
      </c>
    </row>
    <row r="781" spans="1:14" ht="20.100000000000001" customHeight="1" x14ac:dyDescent="0.25">
      <c r="A781" s="39">
        <v>15</v>
      </c>
      <c r="B781" s="40" t="str">
        <f t="shared" si="176"/>
        <v>PS-15-GR5</v>
      </c>
      <c r="C781" s="52" t="str">
        <f t="shared" si="177"/>
        <v>Poste de Sectionnement n°15 GR5</v>
      </c>
      <c r="D781" s="19">
        <v>42887</v>
      </c>
      <c r="E781" s="19">
        <v>42887</v>
      </c>
      <c r="F781" s="42"/>
      <c r="G781" s="42">
        <v>1</v>
      </c>
      <c r="H781" s="42"/>
      <c r="I781" s="42" t="s">
        <v>429</v>
      </c>
      <c r="J781" s="42">
        <v>375</v>
      </c>
      <c r="K781" s="44">
        <v>465</v>
      </c>
      <c r="L781" s="44">
        <f t="shared" si="175"/>
        <v>375</v>
      </c>
      <c r="M781" s="42" t="s">
        <v>683</v>
      </c>
      <c r="N781" s="52" t="str">
        <f t="shared" si="172"/>
        <v>(15,'PS-15-GR5','Poste de Sectionnement n°15 GR5','Thursday-06-jj','Thursday-06-jj',,1,),</v>
      </c>
    </row>
    <row r="782" spans="1:14" ht="20.100000000000001" customHeight="1" x14ac:dyDescent="0.25">
      <c r="A782" s="39">
        <v>16</v>
      </c>
      <c r="B782" s="40" t="str">
        <f t="shared" si="176"/>
        <v>PS-16-GR5</v>
      </c>
      <c r="C782" s="52" t="str">
        <f t="shared" si="177"/>
        <v>Poste de Sectionnement n°16 GR5</v>
      </c>
      <c r="D782" s="19">
        <v>42887</v>
      </c>
      <c r="E782" s="19">
        <v>42887</v>
      </c>
      <c r="F782" s="42"/>
      <c r="G782" s="42">
        <v>1</v>
      </c>
      <c r="H782" s="42"/>
      <c r="I782" s="42" t="s">
        <v>429</v>
      </c>
      <c r="J782" s="42">
        <v>397</v>
      </c>
      <c r="K782" s="44">
        <v>460</v>
      </c>
      <c r="L782" s="44">
        <f t="shared" si="175"/>
        <v>397</v>
      </c>
      <c r="M782" s="42" t="s">
        <v>683</v>
      </c>
      <c r="N782" s="52" t="str">
        <f t="shared" si="172"/>
        <v>(16,'PS-16-GR5','Poste de Sectionnement n°16 GR5','Thursday-06-jj','Thursday-06-jj',,1,),</v>
      </c>
    </row>
    <row r="783" spans="1:14" ht="20.100000000000001" customHeight="1" x14ac:dyDescent="0.25">
      <c r="A783" s="39">
        <v>17</v>
      </c>
      <c r="B783" s="40" t="str">
        <f t="shared" si="176"/>
        <v>PS-17-GR5</v>
      </c>
      <c r="C783" s="52" t="str">
        <f t="shared" si="177"/>
        <v>Poste de Sectionnement n°17 GR5</v>
      </c>
      <c r="D783" s="19">
        <v>42887</v>
      </c>
      <c r="E783" s="19">
        <v>42887</v>
      </c>
      <c r="F783" s="42"/>
      <c r="G783" s="42">
        <v>1</v>
      </c>
      <c r="H783" s="42"/>
      <c r="I783" s="42" t="s">
        <v>429</v>
      </c>
      <c r="J783" s="42">
        <v>441</v>
      </c>
      <c r="K783" s="44">
        <v>423</v>
      </c>
      <c r="L783" s="44">
        <f t="shared" si="175"/>
        <v>441</v>
      </c>
      <c r="M783" s="42" t="s">
        <v>683</v>
      </c>
      <c r="N783" s="52" t="str">
        <f t="shared" si="172"/>
        <v>(17,'PS-17-GR5','Poste de Sectionnement n°17 GR5','Thursday-06-jj','Thursday-06-jj',,1,),</v>
      </c>
    </row>
    <row r="784" spans="1:14" ht="20.100000000000001" customHeight="1" x14ac:dyDescent="0.25">
      <c r="A784" s="39">
        <v>18</v>
      </c>
      <c r="B784" s="40" t="str">
        <f t="shared" si="176"/>
        <v>PS-18-GR5</v>
      </c>
      <c r="C784" s="52" t="str">
        <f t="shared" si="177"/>
        <v>Poste de Sectionnement n°18 GR5</v>
      </c>
      <c r="D784" s="19">
        <v>42887</v>
      </c>
      <c r="E784" s="19">
        <v>42887</v>
      </c>
      <c r="F784" s="42"/>
      <c r="G784" s="42">
        <v>1</v>
      </c>
      <c r="H784" s="42"/>
      <c r="I784" s="42" t="s">
        <v>429</v>
      </c>
      <c r="J784" s="42">
        <v>464</v>
      </c>
      <c r="K784" s="44">
        <v>387</v>
      </c>
      <c r="L784" s="44">
        <f t="shared" si="175"/>
        <v>464</v>
      </c>
      <c r="M784" s="42" t="s">
        <v>683</v>
      </c>
      <c r="N784" s="52" t="str">
        <f t="shared" si="172"/>
        <v>(18,'PS-18-GR5','Poste de Sectionnement n°18 GR5','Thursday-06-jj','Thursday-06-jj',,1,),</v>
      </c>
    </row>
    <row r="785" spans="1:14" ht="20.100000000000001" customHeight="1" x14ac:dyDescent="0.25">
      <c r="A785" s="39">
        <v>19</v>
      </c>
      <c r="B785" s="40" t="str">
        <f t="shared" si="176"/>
        <v>PS-19-GR5</v>
      </c>
      <c r="C785" s="52" t="str">
        <f t="shared" si="177"/>
        <v>Poste de Sectionnement n°19 GR5</v>
      </c>
      <c r="D785" s="19">
        <v>42887</v>
      </c>
      <c r="E785" s="19">
        <v>42887</v>
      </c>
      <c r="F785" s="42"/>
      <c r="G785" s="42">
        <v>1</v>
      </c>
      <c r="H785" s="42"/>
      <c r="I785" s="42" t="s">
        <v>429</v>
      </c>
      <c r="J785" s="42">
        <v>487</v>
      </c>
      <c r="K785" s="44">
        <v>409</v>
      </c>
      <c r="L785" s="44">
        <f t="shared" si="175"/>
        <v>487</v>
      </c>
      <c r="M785" s="42" t="s">
        <v>683</v>
      </c>
      <c r="N785" s="52" t="str">
        <f t="shared" si="172"/>
        <v>(19,'PS-19-GR5','Poste de Sectionnement n°19 GR5','Thursday-06-jj','Thursday-06-jj',,1,),</v>
      </c>
    </row>
    <row r="786" spans="1:14" ht="20.100000000000001" customHeight="1" x14ac:dyDescent="0.25">
      <c r="A786" s="39">
        <v>20</v>
      </c>
      <c r="B786" s="40" t="str">
        <f t="shared" si="176"/>
        <v>PS-20-GR5</v>
      </c>
      <c r="C786" s="52" t="str">
        <f t="shared" si="177"/>
        <v>Poste de Sectionnement n°20 GR5</v>
      </c>
      <c r="D786" s="19">
        <v>42887</v>
      </c>
      <c r="E786" s="19">
        <v>42887</v>
      </c>
      <c r="F786" s="42"/>
      <c r="G786" s="42">
        <v>1</v>
      </c>
      <c r="H786" s="42"/>
      <c r="I786" s="42" t="s">
        <v>429</v>
      </c>
      <c r="J786" s="42">
        <v>510</v>
      </c>
      <c r="K786" s="44">
        <v>453</v>
      </c>
      <c r="L786" s="44">
        <f t="shared" si="175"/>
        <v>510</v>
      </c>
      <c r="M786" s="42" t="s">
        <v>2761</v>
      </c>
      <c r="N786" s="52" t="str">
        <f t="shared" si="172"/>
        <v>(20,'PS-20-GR5','Poste de Sectionnement n°20 GR5','Thursday-06-jj','Thursday-06-jj',,1,),</v>
      </c>
    </row>
    <row r="787" spans="1:14" ht="20.100000000000001" customHeight="1" x14ac:dyDescent="0.25">
      <c r="A787" s="39">
        <v>21</v>
      </c>
      <c r="B787" s="40" t="str">
        <f t="shared" si="176"/>
        <v>PS-21-GR5</v>
      </c>
      <c r="C787" s="52" t="str">
        <f t="shared" si="177"/>
        <v>Poste de Sectionnement n°21 GR5</v>
      </c>
      <c r="D787" s="19">
        <v>42887</v>
      </c>
      <c r="E787" s="19">
        <v>42887</v>
      </c>
      <c r="F787" s="42"/>
      <c r="G787" s="42">
        <v>1</v>
      </c>
      <c r="H787" s="42"/>
      <c r="I787" s="42" t="s">
        <v>429</v>
      </c>
      <c r="J787" s="42" t="s">
        <v>2773</v>
      </c>
      <c r="K787" s="44">
        <v>520</v>
      </c>
      <c r="L787" s="44">
        <f t="shared" si="175"/>
        <v>556.61</v>
      </c>
      <c r="M787" s="42" t="s">
        <v>2761</v>
      </c>
      <c r="N787" s="52" t="str">
        <f t="shared" si="172"/>
        <v>(21,'PS-21-GR5','Poste de Sectionnement n°21 GR5','Thursday-06-jj','Thursday-06-jj',,1,),</v>
      </c>
    </row>
    <row r="788" spans="1:14" ht="20.100000000000001" customHeight="1" x14ac:dyDescent="0.25">
      <c r="A788" s="39">
        <v>22</v>
      </c>
      <c r="B788" s="40" t="str">
        <f t="shared" si="176"/>
        <v>PS-22-GR5</v>
      </c>
      <c r="C788" s="52" t="str">
        <f t="shared" si="177"/>
        <v>Poste de Sectionnement n°22 GR5</v>
      </c>
      <c r="D788" s="19">
        <v>42887</v>
      </c>
      <c r="E788" s="19">
        <v>42887</v>
      </c>
      <c r="F788" s="42"/>
      <c r="G788" s="42">
        <v>1</v>
      </c>
      <c r="H788" s="42"/>
      <c r="I788" s="42" t="s">
        <v>429</v>
      </c>
      <c r="J788" s="42" t="s">
        <v>2774</v>
      </c>
      <c r="K788" s="44">
        <v>540</v>
      </c>
      <c r="L788" s="44">
        <f t="shared" si="175"/>
        <v>578.47900000000004</v>
      </c>
      <c r="M788" s="42" t="s">
        <v>2761</v>
      </c>
      <c r="N788" s="52" t="str">
        <f t="shared" si="172"/>
        <v>(22,'PS-22-GR5','Poste de Sectionnement n°22 GR5','Thursday-06-jj','Thursday-06-jj',,1,),</v>
      </c>
    </row>
    <row r="789" spans="1:14" ht="20.100000000000001" customHeight="1" x14ac:dyDescent="0.25">
      <c r="A789" s="39">
        <v>23</v>
      </c>
      <c r="B789" s="40" t="str">
        <f t="shared" si="176"/>
        <v>PS-23-GR5</v>
      </c>
      <c r="C789" s="52" t="str">
        <f t="shared" si="177"/>
        <v>Poste de Sectionnement n°23 GR5</v>
      </c>
      <c r="D789" s="19">
        <v>42887</v>
      </c>
      <c r="E789" s="19">
        <v>42887</v>
      </c>
      <c r="F789" s="42"/>
      <c r="G789" s="42">
        <v>1</v>
      </c>
      <c r="H789" s="42"/>
      <c r="I789" s="42" t="s">
        <v>429</v>
      </c>
      <c r="J789" s="42" t="s">
        <v>2775</v>
      </c>
      <c r="K789" s="44">
        <v>492</v>
      </c>
      <c r="L789" s="44">
        <f t="shared" si="175"/>
        <v>602.67499999999995</v>
      </c>
      <c r="M789" s="42" t="s">
        <v>2761</v>
      </c>
      <c r="N789" s="52" t="str">
        <f t="shared" si="172"/>
        <v>(23,'PS-23-GR5','Poste de Sectionnement n°23 GR5','Thursday-06-jj','Thursday-06-jj',,1,),</v>
      </c>
    </row>
    <row r="790" spans="1:14" ht="20.100000000000001" customHeight="1" x14ac:dyDescent="0.25">
      <c r="A790" s="39">
        <v>24</v>
      </c>
      <c r="B790" s="40" t="str">
        <f t="shared" si="176"/>
        <v>PS-24-GR5</v>
      </c>
      <c r="C790" s="52" t="str">
        <f t="shared" si="177"/>
        <v>Poste de Sectionnement n°24 GR5</v>
      </c>
      <c r="D790" s="19">
        <v>42887</v>
      </c>
      <c r="E790" s="19">
        <v>42887</v>
      </c>
      <c r="F790" s="42"/>
      <c r="G790" s="42">
        <v>1</v>
      </c>
      <c r="H790" s="42"/>
      <c r="I790" s="42" t="s">
        <v>429</v>
      </c>
      <c r="J790" s="42" t="s">
        <v>2776</v>
      </c>
      <c r="K790" s="44">
        <v>511</v>
      </c>
      <c r="L790" s="44">
        <f t="shared" si="175"/>
        <v>626.26099999999997</v>
      </c>
      <c r="M790" s="42" t="s">
        <v>2764</v>
      </c>
      <c r="N790" s="52" t="str">
        <f t="shared" ref="N790:N815" si="178">CONCATENATE("(",A790,",'",B790,"','",C790,"','",TEXT(D790,"aaaa-mm-jj"),"','",TEXT(E790,"aaaa-mm-jj"),"',",F790,",",G790,",",H790,"),")</f>
        <v>(24,'PS-24-GR5','Poste de Sectionnement n°24 GR5','Thursday-06-jj','Thursday-06-jj',,1,),</v>
      </c>
    </row>
    <row r="791" spans="1:14" ht="20.100000000000001" customHeight="1" x14ac:dyDescent="0.25">
      <c r="A791" s="39">
        <v>25</v>
      </c>
      <c r="B791" s="40" t="str">
        <f t="shared" si="176"/>
        <v>PS-25-GR5</v>
      </c>
      <c r="C791" s="52" t="str">
        <f t="shared" si="177"/>
        <v>Poste de Sectionnement n°25 GR5</v>
      </c>
      <c r="D791" s="19">
        <v>42887</v>
      </c>
      <c r="E791" s="19">
        <v>42887</v>
      </c>
      <c r="F791" s="42"/>
      <c r="G791" s="42">
        <v>1</v>
      </c>
      <c r="H791" s="42"/>
      <c r="I791" s="42" t="s">
        <v>429</v>
      </c>
      <c r="J791" s="42" t="s">
        <v>2777</v>
      </c>
      <c r="K791" s="44">
        <v>676</v>
      </c>
      <c r="L791" s="44">
        <f t="shared" si="175"/>
        <v>672.21500000000003</v>
      </c>
      <c r="M791" s="42" t="s">
        <v>2782</v>
      </c>
      <c r="N791" s="52" t="str">
        <f t="shared" si="178"/>
        <v>(25,'PS-25-GR5','Poste de Sectionnement n°25 GR5','Thursday-06-jj','Thursday-06-jj',,1,),</v>
      </c>
    </row>
    <row r="792" spans="1:14" ht="20.100000000000001" customHeight="1" x14ac:dyDescent="0.25">
      <c r="A792" s="39">
        <v>26</v>
      </c>
      <c r="B792" s="40" t="str">
        <f t="shared" si="176"/>
        <v>PS-26-GR5</v>
      </c>
      <c r="C792" s="52" t="str">
        <f t="shared" si="177"/>
        <v>Poste de Sectionnement n°26 GR5</v>
      </c>
      <c r="D792" s="19">
        <v>42887</v>
      </c>
      <c r="E792" s="19">
        <v>42887</v>
      </c>
      <c r="F792" s="42"/>
      <c r="G792" s="42">
        <v>1</v>
      </c>
      <c r="H792" s="42"/>
      <c r="I792" s="42" t="s">
        <v>429</v>
      </c>
      <c r="J792" s="42" t="s">
        <v>2778</v>
      </c>
      <c r="K792" s="44">
        <v>679</v>
      </c>
      <c r="L792" s="44">
        <f t="shared" si="175"/>
        <v>695.274</v>
      </c>
      <c r="M792" s="42" t="s">
        <v>2783</v>
      </c>
      <c r="N792" s="52" t="str">
        <f t="shared" si="178"/>
        <v>(26,'PS-26-GR5','Poste de Sectionnement n°26 GR5','Thursday-06-jj','Thursday-06-jj',,1,),</v>
      </c>
    </row>
    <row r="793" spans="1:14" ht="20.100000000000001" customHeight="1" x14ac:dyDescent="0.25">
      <c r="A793" s="39">
        <v>27</v>
      </c>
      <c r="B793" s="40" t="str">
        <f t="shared" si="176"/>
        <v>PS-27-GR5</v>
      </c>
      <c r="C793" s="52" t="str">
        <f t="shared" si="177"/>
        <v>Poste de Sectionnement n°27 GR5</v>
      </c>
      <c r="D793" s="19">
        <v>42887</v>
      </c>
      <c r="E793" s="19">
        <v>42887</v>
      </c>
      <c r="F793" s="42"/>
      <c r="G793" s="42">
        <v>1</v>
      </c>
      <c r="H793" s="42"/>
      <c r="I793" s="42" t="s">
        <v>429</v>
      </c>
      <c r="J793" s="42" t="s">
        <v>2779</v>
      </c>
      <c r="K793" s="44">
        <v>720</v>
      </c>
      <c r="L793" s="44">
        <f t="shared" si="175"/>
        <v>718.18399999999997</v>
      </c>
      <c r="M793" s="42" t="s">
        <v>2784</v>
      </c>
      <c r="N793" s="52" t="str">
        <f t="shared" si="178"/>
        <v>(27,'PS-27-GR5','Poste de Sectionnement n°27 GR5','Thursday-06-jj','Thursday-06-jj',,1,),</v>
      </c>
    </row>
    <row r="794" spans="1:14" ht="20.100000000000001" customHeight="1" x14ac:dyDescent="0.25">
      <c r="A794" s="39">
        <v>28</v>
      </c>
      <c r="B794" s="40" t="str">
        <f t="shared" si="176"/>
        <v>PS-28-GR5</v>
      </c>
      <c r="C794" s="52" t="str">
        <f t="shared" si="177"/>
        <v>Poste de Sectionnement n°28 GR5</v>
      </c>
      <c r="D794" s="19">
        <v>42887</v>
      </c>
      <c r="E794" s="19">
        <v>42887</v>
      </c>
      <c r="F794" s="42"/>
      <c r="G794" s="42">
        <v>1</v>
      </c>
      <c r="H794" s="42"/>
      <c r="I794" s="42" t="s">
        <v>429</v>
      </c>
      <c r="J794" s="42" t="s">
        <v>2780</v>
      </c>
      <c r="K794" s="44">
        <v>750</v>
      </c>
      <c r="L794" s="44">
        <f t="shared" si="175"/>
        <v>741.23</v>
      </c>
      <c r="M794" s="42" t="s">
        <v>2784</v>
      </c>
      <c r="N794" s="52" t="str">
        <f t="shared" si="178"/>
        <v>(28,'PS-28-GR5','Poste de Sectionnement n°28 GR5','Thursday-06-jj','Thursday-06-jj',,1,),</v>
      </c>
    </row>
    <row r="795" spans="1:14" ht="20.100000000000001" customHeight="1" x14ac:dyDescent="0.25">
      <c r="A795" s="39">
        <v>1</v>
      </c>
      <c r="B795" s="40" t="str">
        <f t="shared" si="176"/>
        <v>PS-01-GR7</v>
      </c>
      <c r="C795" s="52" t="str">
        <f t="shared" si="177"/>
        <v>Poste de Sectionnement n°01 GR7</v>
      </c>
      <c r="D795" s="19">
        <v>43830</v>
      </c>
      <c r="E795" s="19">
        <v>43830</v>
      </c>
      <c r="F795" s="42"/>
      <c r="G795" s="42">
        <v>1</v>
      </c>
      <c r="H795" s="42"/>
      <c r="I795" s="42" t="s">
        <v>435</v>
      </c>
      <c r="J795" s="42">
        <v>22</v>
      </c>
      <c r="K795" s="44">
        <v>414</v>
      </c>
      <c r="L795" s="44">
        <f t="shared" si="175"/>
        <v>22</v>
      </c>
      <c r="M795" s="42" t="s">
        <v>2785</v>
      </c>
      <c r="N795" s="52" t="str">
        <f t="shared" si="178"/>
        <v>(1,'PS-01-GR7','Poste de Sectionnement n°01 GR7','Tuesday-12-jj','Tuesday-12-jj',,1,),</v>
      </c>
    </row>
    <row r="796" spans="1:14" ht="20.100000000000001" customHeight="1" x14ac:dyDescent="0.25">
      <c r="A796" s="39">
        <v>2</v>
      </c>
      <c r="B796" s="40" t="str">
        <f t="shared" si="176"/>
        <v>PS-02-GR7</v>
      </c>
      <c r="C796" s="52" t="str">
        <f t="shared" si="177"/>
        <v>Poste de Sectionnement n°02 GR7</v>
      </c>
      <c r="D796" s="19">
        <v>43830</v>
      </c>
      <c r="E796" s="19">
        <v>43830</v>
      </c>
      <c r="F796" s="42"/>
      <c r="G796" s="42">
        <v>1</v>
      </c>
      <c r="H796" s="42"/>
      <c r="I796" s="42" t="s">
        <v>435</v>
      </c>
      <c r="J796" s="42">
        <v>46</v>
      </c>
      <c r="K796" s="44">
        <v>383</v>
      </c>
      <c r="L796" s="44">
        <f t="shared" si="175"/>
        <v>46</v>
      </c>
      <c r="M796" s="42" t="s">
        <v>2785</v>
      </c>
      <c r="N796" s="52" t="str">
        <f t="shared" si="178"/>
        <v>(2,'PS-02-GR7','Poste de Sectionnement n°02 GR7','Tuesday-12-jj','Tuesday-12-jj',,1,),</v>
      </c>
    </row>
    <row r="797" spans="1:14" ht="20.100000000000001" customHeight="1" x14ac:dyDescent="0.25">
      <c r="A797" s="39">
        <v>3</v>
      </c>
      <c r="B797" s="40" t="str">
        <f t="shared" ref="B797:B807" si="179">CONCATENATE("PS-",TEXT(A797,"00"),"-",I797)</f>
        <v>PS-03-GR7</v>
      </c>
      <c r="C797" s="52" t="str">
        <f t="shared" ref="C797:C807" si="180">CONCATENATE("Poste de Sectionnement n°",TEXT(A797,"00")," ",I797)</f>
        <v>Poste de Sectionnement n°03 GR7</v>
      </c>
      <c r="D797" s="19">
        <v>43830</v>
      </c>
      <c r="E797" s="19">
        <v>43830</v>
      </c>
      <c r="F797" s="42"/>
      <c r="G797" s="42">
        <v>1</v>
      </c>
      <c r="H797" s="42"/>
      <c r="I797" s="42" t="s">
        <v>435</v>
      </c>
      <c r="J797" s="42">
        <v>69</v>
      </c>
      <c r="K797" s="44">
        <v>404</v>
      </c>
      <c r="L797" s="44">
        <f t="shared" si="175"/>
        <v>69</v>
      </c>
      <c r="M797" s="42" t="s">
        <v>2785</v>
      </c>
      <c r="N797" s="52" t="str">
        <f t="shared" si="178"/>
        <v>(3,'PS-03-GR7','Poste de Sectionnement n°03 GR7','Tuesday-12-jj','Tuesday-12-jj',,1,),</v>
      </c>
    </row>
    <row r="798" spans="1:14" ht="20.100000000000001" customHeight="1" x14ac:dyDescent="0.25">
      <c r="A798" s="39">
        <v>4</v>
      </c>
      <c r="B798" s="40" t="str">
        <f t="shared" si="179"/>
        <v>PS-04-GR7</v>
      </c>
      <c r="C798" s="52" t="str">
        <f t="shared" si="180"/>
        <v>Poste de Sectionnement n°04 GR7</v>
      </c>
      <c r="D798" s="19">
        <v>43830</v>
      </c>
      <c r="E798" s="19">
        <v>43830</v>
      </c>
      <c r="F798" s="42"/>
      <c r="G798" s="42">
        <v>1</v>
      </c>
      <c r="H798" s="42"/>
      <c r="I798" s="42" t="s">
        <v>435</v>
      </c>
      <c r="J798" s="42">
        <v>91</v>
      </c>
      <c r="K798" s="44">
        <v>457</v>
      </c>
      <c r="L798" s="44">
        <f t="shared" si="175"/>
        <v>91</v>
      </c>
      <c r="M798" s="42" t="s">
        <v>2786</v>
      </c>
      <c r="N798" s="52" t="str">
        <f t="shared" si="178"/>
        <v>(4,'PS-04-GR7','Poste de Sectionnement n°04 GR7','Tuesday-12-jj','Tuesday-12-jj',,1,),</v>
      </c>
    </row>
    <row r="799" spans="1:14" ht="20.100000000000001" customHeight="1" x14ac:dyDescent="0.25">
      <c r="A799" s="39">
        <v>5</v>
      </c>
      <c r="B799" s="40" t="str">
        <f t="shared" si="179"/>
        <v>PS-05-GR7</v>
      </c>
      <c r="C799" s="52" t="str">
        <f t="shared" si="180"/>
        <v>Poste de Sectionnement n°05 GR7</v>
      </c>
      <c r="D799" s="19">
        <v>43830</v>
      </c>
      <c r="E799" s="19">
        <v>43830</v>
      </c>
      <c r="F799" s="42"/>
      <c r="G799" s="42">
        <v>1</v>
      </c>
      <c r="H799" s="42"/>
      <c r="I799" s="42" t="s">
        <v>435</v>
      </c>
      <c r="J799" s="42">
        <v>139</v>
      </c>
      <c r="K799" s="44">
        <v>497</v>
      </c>
      <c r="L799" s="44">
        <f t="shared" si="175"/>
        <v>139</v>
      </c>
      <c r="M799" s="42" t="s">
        <v>2786</v>
      </c>
      <c r="N799" s="52" t="str">
        <f t="shared" si="178"/>
        <v>(5,'PS-05-GR7','Poste de Sectionnement n°05 GR7','Tuesday-12-jj','Tuesday-12-jj',,1,),</v>
      </c>
    </row>
    <row r="800" spans="1:14" ht="20.100000000000001" customHeight="1" x14ac:dyDescent="0.25">
      <c r="A800" s="39">
        <v>6</v>
      </c>
      <c r="B800" s="40" t="str">
        <f t="shared" si="179"/>
        <v>PS-06-GR7</v>
      </c>
      <c r="C800" s="52" t="str">
        <f t="shared" si="180"/>
        <v>Poste de Sectionnement n°06 GR7</v>
      </c>
      <c r="D800" s="19">
        <v>43830</v>
      </c>
      <c r="E800" s="19">
        <v>43830</v>
      </c>
      <c r="F800" s="42"/>
      <c r="G800" s="42">
        <v>1</v>
      </c>
      <c r="H800" s="42"/>
      <c r="I800" s="42" t="s">
        <v>435</v>
      </c>
      <c r="J800" s="42">
        <v>161</v>
      </c>
      <c r="K800" s="44">
        <v>507</v>
      </c>
      <c r="L800" s="44">
        <f t="shared" si="175"/>
        <v>161</v>
      </c>
      <c r="M800" s="42" t="s">
        <v>2786</v>
      </c>
      <c r="N800" s="52" t="str">
        <f t="shared" si="178"/>
        <v>(6,'PS-06-GR7','Poste de Sectionnement n°06 GR7','Tuesday-12-jj','Tuesday-12-jj',,1,),</v>
      </c>
    </row>
    <row r="801" spans="1:14" ht="20.100000000000001" customHeight="1" x14ac:dyDescent="0.25">
      <c r="A801" s="39">
        <v>7</v>
      </c>
      <c r="B801" s="40" t="str">
        <f t="shared" si="179"/>
        <v>PS-07-GR7</v>
      </c>
      <c r="C801" s="52" t="str">
        <f t="shared" si="180"/>
        <v>Poste de Sectionnement n°07 GR7</v>
      </c>
      <c r="D801" s="19">
        <v>43830</v>
      </c>
      <c r="E801" s="19">
        <v>43830</v>
      </c>
      <c r="F801" s="42"/>
      <c r="G801" s="42">
        <v>1</v>
      </c>
      <c r="H801" s="42"/>
      <c r="I801" s="42" t="s">
        <v>435</v>
      </c>
      <c r="J801" s="42">
        <v>185</v>
      </c>
      <c r="K801" s="44">
        <v>492</v>
      </c>
      <c r="L801" s="44">
        <f t="shared" si="175"/>
        <v>185</v>
      </c>
      <c r="M801" s="42" t="s">
        <v>2786</v>
      </c>
      <c r="N801" s="52" t="str">
        <f t="shared" si="178"/>
        <v>(7,'PS-07-GR7','Poste de Sectionnement n°07 GR7','Tuesday-12-jj','Tuesday-12-jj',,1,),</v>
      </c>
    </row>
    <row r="802" spans="1:14" ht="20.100000000000001" customHeight="1" x14ac:dyDescent="0.25">
      <c r="A802" s="39">
        <v>8</v>
      </c>
      <c r="B802" s="40" t="str">
        <f t="shared" si="179"/>
        <v>PS-08-GR7</v>
      </c>
      <c r="C802" s="52" t="str">
        <f t="shared" si="180"/>
        <v>Poste de Sectionnement n°08 GR7</v>
      </c>
      <c r="D802" s="19">
        <v>43830</v>
      </c>
      <c r="E802" s="19">
        <v>43830</v>
      </c>
      <c r="F802" s="42"/>
      <c r="G802" s="42">
        <v>1</v>
      </c>
      <c r="H802" s="42"/>
      <c r="I802" s="42" t="s">
        <v>435</v>
      </c>
      <c r="J802" s="42">
        <v>207</v>
      </c>
      <c r="K802" s="44">
        <v>511</v>
      </c>
      <c r="L802" s="44">
        <f t="shared" si="175"/>
        <v>207</v>
      </c>
      <c r="M802" s="42" t="s">
        <v>2786</v>
      </c>
      <c r="N802" s="52" t="str">
        <f t="shared" si="178"/>
        <v>(8,'PS-08-GR7','Poste de Sectionnement n°08 GR7','Tuesday-12-jj','Tuesday-12-jj',,1,),</v>
      </c>
    </row>
    <row r="803" spans="1:14" ht="20.100000000000001" customHeight="1" x14ac:dyDescent="0.25">
      <c r="A803" s="39">
        <v>9</v>
      </c>
      <c r="B803" s="40" t="str">
        <f t="shared" si="179"/>
        <v>PS-09-GR7</v>
      </c>
      <c r="C803" s="52" t="str">
        <f t="shared" si="180"/>
        <v>Poste de Sectionnement n°09 GR7</v>
      </c>
      <c r="D803" s="19">
        <v>43830</v>
      </c>
      <c r="E803" s="19">
        <v>43830</v>
      </c>
      <c r="F803" s="42"/>
      <c r="G803" s="42">
        <v>1</v>
      </c>
      <c r="H803" s="42"/>
      <c r="I803" s="42" t="s">
        <v>435</v>
      </c>
      <c r="J803" s="42">
        <v>253</v>
      </c>
      <c r="K803" s="44">
        <v>676</v>
      </c>
      <c r="L803" s="44">
        <f t="shared" si="175"/>
        <v>253</v>
      </c>
      <c r="M803" s="42" t="s">
        <v>2787</v>
      </c>
      <c r="N803" s="52" t="str">
        <f t="shared" si="178"/>
        <v>(9,'PS-09-GR7','Poste de Sectionnement n°09 GR7','Tuesday-12-jj','Tuesday-12-jj',,1,),</v>
      </c>
    </row>
    <row r="804" spans="1:14" ht="20.100000000000001" customHeight="1" x14ac:dyDescent="0.25">
      <c r="A804" s="39">
        <v>10</v>
      </c>
      <c r="B804" s="40" t="str">
        <f t="shared" si="179"/>
        <v>PS-10-GR7</v>
      </c>
      <c r="C804" s="52" t="str">
        <f t="shared" si="180"/>
        <v>Poste de Sectionnement n°10 GR7</v>
      </c>
      <c r="D804" s="19">
        <v>43830</v>
      </c>
      <c r="E804" s="19">
        <v>43830</v>
      </c>
      <c r="F804" s="42"/>
      <c r="G804" s="42">
        <v>1</v>
      </c>
      <c r="H804" s="42"/>
      <c r="I804" s="42" t="s">
        <v>435</v>
      </c>
      <c r="J804" s="42">
        <v>275</v>
      </c>
      <c r="K804" s="44">
        <v>679</v>
      </c>
      <c r="L804" s="44">
        <f t="shared" si="175"/>
        <v>275</v>
      </c>
      <c r="M804" s="42" t="s">
        <v>2788</v>
      </c>
      <c r="N804" s="52" t="str">
        <f t="shared" si="178"/>
        <v>(10,'PS-10-GR7','Poste de Sectionnement n°10 GR7','Tuesday-12-jj','Tuesday-12-jj',,1,),</v>
      </c>
    </row>
    <row r="805" spans="1:14" ht="20.100000000000001" customHeight="1" x14ac:dyDescent="0.25">
      <c r="A805" s="39">
        <v>11</v>
      </c>
      <c r="B805" s="40" t="str">
        <f t="shared" si="179"/>
        <v>PS-11-GR7</v>
      </c>
      <c r="C805" s="52" t="str">
        <f t="shared" si="180"/>
        <v>Poste de Sectionnement n°11 GR7</v>
      </c>
      <c r="D805" s="19">
        <v>43830</v>
      </c>
      <c r="E805" s="19">
        <v>43830</v>
      </c>
      <c r="F805" s="42"/>
      <c r="G805" s="42">
        <v>1</v>
      </c>
      <c r="H805" s="42"/>
      <c r="I805" s="42" t="s">
        <v>435</v>
      </c>
      <c r="J805" s="42">
        <v>299</v>
      </c>
      <c r="K805" s="44">
        <v>720</v>
      </c>
      <c r="L805" s="44">
        <f t="shared" si="175"/>
        <v>299</v>
      </c>
      <c r="M805" s="42" t="s">
        <v>2789</v>
      </c>
      <c r="N805" s="52" t="str">
        <f t="shared" si="178"/>
        <v>(11,'PS-11-GR7','Poste de Sectionnement n°11 GR7','Tuesday-12-jj','Tuesday-12-jj',,1,),</v>
      </c>
    </row>
    <row r="806" spans="1:14" ht="20.100000000000001" customHeight="1" x14ac:dyDescent="0.25">
      <c r="A806" s="39">
        <v>12</v>
      </c>
      <c r="B806" s="40" t="str">
        <f t="shared" si="179"/>
        <v>PS-12-GR7</v>
      </c>
      <c r="C806" s="52" t="str">
        <f t="shared" si="180"/>
        <v>Poste de Sectionnement n°12 GR7</v>
      </c>
      <c r="D806" s="19">
        <v>43830</v>
      </c>
      <c r="E806" s="19">
        <v>43830</v>
      </c>
      <c r="F806" s="42"/>
      <c r="G806" s="42">
        <v>1</v>
      </c>
      <c r="H806" s="42"/>
      <c r="I806" s="42" t="s">
        <v>435</v>
      </c>
      <c r="J806" s="42">
        <v>322</v>
      </c>
      <c r="K806" s="44">
        <v>750</v>
      </c>
      <c r="L806" s="44">
        <f t="shared" si="175"/>
        <v>322</v>
      </c>
      <c r="M806" s="42" t="s">
        <v>2790</v>
      </c>
      <c r="N806" s="52" t="str">
        <f t="shared" si="178"/>
        <v>(12,'PS-12-GR7','Poste de Sectionnement n°12 GR7','Tuesday-12-jj','Tuesday-12-jj',,1,),</v>
      </c>
    </row>
    <row r="807" spans="1:14" ht="20.100000000000001" customHeight="1" x14ac:dyDescent="0.25">
      <c r="A807" s="39">
        <v>1</v>
      </c>
      <c r="B807" s="40" t="str">
        <f t="shared" si="179"/>
        <v>PS-01-OH1</v>
      </c>
      <c r="C807" s="52" t="str">
        <f t="shared" si="180"/>
        <v>Poste de Sectionnement n°01 OH1</v>
      </c>
      <c r="D807" s="19">
        <v>29952</v>
      </c>
      <c r="E807" s="19">
        <v>29952</v>
      </c>
      <c r="F807" s="42"/>
      <c r="G807" s="42">
        <v>1</v>
      </c>
      <c r="H807" s="42"/>
      <c r="I807" s="42" t="s">
        <v>323</v>
      </c>
      <c r="J807" s="42" t="s">
        <v>980</v>
      </c>
      <c r="K807" s="44">
        <f t="shared" ref="K807" si="181">VALUE(RIGHT(J807,LEN(J807)-SEARCH("/",J807)))</f>
        <v>544</v>
      </c>
      <c r="L807" s="44">
        <f t="shared" ref="L807" si="182">VALUE(SUBSTITUTE(LEFT(J807,SEARCH("/",J807)-1),"+",","))</f>
        <v>54.1</v>
      </c>
      <c r="M807" s="42" t="s">
        <v>3307</v>
      </c>
      <c r="N807" s="52" t="str">
        <f t="shared" si="178"/>
        <v>(1,'PS-01-OH1','Poste de Sectionnement n°01 OH1','Friday-01-jj','Friday-01-jj',,1,),</v>
      </c>
    </row>
    <row r="808" spans="1:14" ht="20.100000000000001" customHeight="1" x14ac:dyDescent="0.25">
      <c r="A808" s="39">
        <v>2</v>
      </c>
      <c r="B808" s="40" t="str">
        <f t="shared" ref="B808:B815" si="183">CONCATENATE("PS-",TEXT(A808,"00"),"-",I808)</f>
        <v>PS-02-OH1</v>
      </c>
      <c r="C808" s="52" t="str">
        <f t="shared" ref="C808:C815" si="184">CONCATENATE("Poste de Sectionnement n°",TEXT(A808,"00")," ",I808)</f>
        <v>Poste de Sectionnement n°02 OH1</v>
      </c>
      <c r="D808" s="19">
        <v>29952</v>
      </c>
      <c r="E808" s="19">
        <v>29952</v>
      </c>
      <c r="F808" s="42"/>
      <c r="G808" s="42">
        <v>1</v>
      </c>
      <c r="H808" s="42"/>
      <c r="I808" s="42" t="s">
        <v>323</v>
      </c>
      <c r="J808" s="42" t="s">
        <v>1117</v>
      </c>
      <c r="K808" s="44">
        <f t="shared" ref="K808:K815" si="185">VALUE(RIGHT(J808,LEN(J808)-SEARCH("/",J808)))</f>
        <v>700</v>
      </c>
      <c r="L808" s="44">
        <f t="shared" ref="L808:L815" si="186">VALUE(SUBSTITUTE(LEFT(J808,SEARCH("/",J808)-1),"+",","))</f>
        <v>66</v>
      </c>
      <c r="M808" s="42" t="s">
        <v>3307</v>
      </c>
      <c r="N808" s="52" t="str">
        <f t="shared" si="178"/>
        <v>(2,'PS-02-OH1','Poste de Sectionnement n°02 OH1','Friday-01-jj','Friday-01-jj',,1,),</v>
      </c>
    </row>
    <row r="809" spans="1:14" ht="20.100000000000001" customHeight="1" x14ac:dyDescent="0.25">
      <c r="A809" s="39">
        <v>3</v>
      </c>
      <c r="B809" s="40" t="str">
        <f t="shared" si="183"/>
        <v>PS-03-OH1</v>
      </c>
      <c r="C809" s="52" t="str">
        <f t="shared" si="184"/>
        <v>Poste de Sectionnement n°03 OH1</v>
      </c>
      <c r="D809" s="19">
        <v>29952</v>
      </c>
      <c r="E809" s="19">
        <v>29952</v>
      </c>
      <c r="F809" s="42"/>
      <c r="G809" s="42">
        <v>1</v>
      </c>
      <c r="H809" s="42"/>
      <c r="I809" s="42" t="s">
        <v>323</v>
      </c>
      <c r="J809" s="42" t="s">
        <v>3300</v>
      </c>
      <c r="K809" s="44">
        <f t="shared" si="185"/>
        <v>515</v>
      </c>
      <c r="L809" s="44">
        <f t="shared" si="186"/>
        <v>152.5</v>
      </c>
      <c r="M809" s="42" t="s">
        <v>1729</v>
      </c>
      <c r="N809" s="52" t="str">
        <f t="shared" si="178"/>
        <v>(3,'PS-03-OH1','Poste de Sectionnement n°03 OH1','Friday-01-jj','Friday-01-jj',,1,),</v>
      </c>
    </row>
    <row r="810" spans="1:14" ht="20.100000000000001" customHeight="1" x14ac:dyDescent="0.25">
      <c r="A810" s="39">
        <v>4</v>
      </c>
      <c r="B810" s="40" t="str">
        <f t="shared" si="183"/>
        <v>PS-04-OH1</v>
      </c>
      <c r="C810" s="52" t="str">
        <f t="shared" si="184"/>
        <v>Poste de Sectionnement n°04 OH1</v>
      </c>
      <c r="D810" s="19">
        <v>29952</v>
      </c>
      <c r="E810" s="19">
        <v>29952</v>
      </c>
      <c r="F810" s="42"/>
      <c r="G810" s="42">
        <v>1</v>
      </c>
      <c r="H810" s="42"/>
      <c r="I810" s="42" t="s">
        <v>323</v>
      </c>
      <c r="J810" s="42" t="s">
        <v>3301</v>
      </c>
      <c r="K810" s="44">
        <f t="shared" si="185"/>
        <v>438</v>
      </c>
      <c r="L810" s="44">
        <f t="shared" si="186"/>
        <v>190.4</v>
      </c>
      <c r="M810" s="42" t="s">
        <v>1730</v>
      </c>
      <c r="N810" s="52" t="str">
        <f t="shared" si="178"/>
        <v>(4,'PS-04-OH1','Poste de Sectionnement n°04 OH1','Friday-01-jj','Friday-01-jj',,1,),</v>
      </c>
    </row>
    <row r="811" spans="1:14" ht="20.100000000000001" customHeight="1" x14ac:dyDescent="0.25">
      <c r="A811" s="39">
        <v>5</v>
      </c>
      <c r="B811" s="40" t="str">
        <f t="shared" si="183"/>
        <v>PS-05-OH1</v>
      </c>
      <c r="C811" s="52" t="str">
        <f t="shared" si="184"/>
        <v>Poste de Sectionnement n°05 OH1</v>
      </c>
      <c r="D811" s="19">
        <v>29952</v>
      </c>
      <c r="E811" s="19">
        <v>29952</v>
      </c>
      <c r="F811" s="42"/>
      <c r="G811" s="42">
        <v>1</v>
      </c>
      <c r="H811" s="42"/>
      <c r="I811" s="42" t="s">
        <v>323</v>
      </c>
      <c r="J811" s="42" t="s">
        <v>3302</v>
      </c>
      <c r="K811" s="44">
        <f t="shared" si="185"/>
        <v>373</v>
      </c>
      <c r="L811" s="44">
        <f t="shared" si="186"/>
        <v>230.4</v>
      </c>
      <c r="M811" s="42" t="s">
        <v>1730</v>
      </c>
      <c r="N811" s="52" t="str">
        <f t="shared" si="178"/>
        <v>(5,'PS-05-OH1','Poste de Sectionnement n°05 OH1','Friday-01-jj','Friday-01-jj',,1,),</v>
      </c>
    </row>
    <row r="812" spans="1:14" ht="20.100000000000001" customHeight="1" x14ac:dyDescent="0.25">
      <c r="A812" s="39">
        <v>6</v>
      </c>
      <c r="B812" s="40" t="str">
        <f t="shared" si="183"/>
        <v>PS-06-OH1</v>
      </c>
      <c r="C812" s="52" t="str">
        <f t="shared" si="184"/>
        <v>Poste de Sectionnement n°06 OH1</v>
      </c>
      <c r="D812" s="19">
        <v>29952</v>
      </c>
      <c r="E812" s="19">
        <v>29952</v>
      </c>
      <c r="F812" s="42"/>
      <c r="G812" s="42">
        <v>1</v>
      </c>
      <c r="H812" s="42"/>
      <c r="I812" s="42" t="s">
        <v>323</v>
      </c>
      <c r="J812" s="42" t="s">
        <v>3303</v>
      </c>
      <c r="K812" s="44">
        <f t="shared" si="185"/>
        <v>263</v>
      </c>
      <c r="L812" s="44">
        <f t="shared" si="186"/>
        <v>314.10000000000002</v>
      </c>
      <c r="M812" s="42" t="s">
        <v>1730</v>
      </c>
      <c r="N812" s="52" t="str">
        <f t="shared" si="178"/>
        <v>(6,'PS-06-OH1','Poste de Sectionnement n°06 OH1','Friday-01-jj','Friday-01-jj',,1,),</v>
      </c>
    </row>
    <row r="813" spans="1:14" ht="20.100000000000001" customHeight="1" x14ac:dyDescent="0.25">
      <c r="A813" s="39">
        <v>7</v>
      </c>
      <c r="B813" s="40" t="str">
        <f t="shared" si="183"/>
        <v>PS-07-OH1</v>
      </c>
      <c r="C813" s="52" t="str">
        <f t="shared" si="184"/>
        <v>Poste de Sectionnement n°07 OH1</v>
      </c>
      <c r="D813" s="19">
        <v>29952</v>
      </c>
      <c r="E813" s="19">
        <v>29952</v>
      </c>
      <c r="F813" s="42"/>
      <c r="G813" s="42">
        <v>1</v>
      </c>
      <c r="H813" s="42"/>
      <c r="I813" s="42" t="s">
        <v>323</v>
      </c>
      <c r="J813" s="42" t="s">
        <v>3304</v>
      </c>
      <c r="K813" s="44">
        <f t="shared" si="185"/>
        <v>226</v>
      </c>
      <c r="L813" s="44">
        <f t="shared" si="186"/>
        <v>406.5</v>
      </c>
      <c r="M813" s="42" t="s">
        <v>1006</v>
      </c>
      <c r="N813" s="52" t="str">
        <f t="shared" si="178"/>
        <v>(7,'PS-07-OH1','Poste de Sectionnement n°07 OH1','Friday-01-jj','Friday-01-jj',,1,),</v>
      </c>
    </row>
    <row r="814" spans="1:14" ht="20.100000000000001" customHeight="1" x14ac:dyDescent="0.25">
      <c r="A814" s="39">
        <v>8</v>
      </c>
      <c r="B814" s="40" t="str">
        <f t="shared" si="183"/>
        <v>PS-08-OH1</v>
      </c>
      <c r="C814" s="52" t="str">
        <f t="shared" si="184"/>
        <v>Poste de Sectionnement n°08 OH1</v>
      </c>
      <c r="D814" s="19">
        <v>29952</v>
      </c>
      <c r="E814" s="19">
        <v>29952</v>
      </c>
      <c r="F814" s="42"/>
      <c r="G814" s="42">
        <v>1</v>
      </c>
      <c r="H814" s="42"/>
      <c r="I814" s="42" t="s">
        <v>323</v>
      </c>
      <c r="J814" s="42" t="s">
        <v>3305</v>
      </c>
      <c r="K814" s="44">
        <f t="shared" si="185"/>
        <v>183</v>
      </c>
      <c r="L814" s="44">
        <f t="shared" si="186"/>
        <v>498.5</v>
      </c>
      <c r="M814" s="42" t="s">
        <v>1006</v>
      </c>
      <c r="N814" s="52" t="str">
        <f t="shared" si="178"/>
        <v>(8,'PS-08-OH1','Poste de Sectionnement n°08 OH1','Friday-01-jj','Friday-01-jj',,1,),</v>
      </c>
    </row>
    <row r="815" spans="1:14" ht="20.100000000000001" customHeight="1" x14ac:dyDescent="0.25">
      <c r="A815" s="39">
        <v>9</v>
      </c>
      <c r="B815" s="40" t="str">
        <f t="shared" si="183"/>
        <v>PS-09-OH1</v>
      </c>
      <c r="C815" s="52" t="str">
        <f t="shared" si="184"/>
        <v>Poste de Sectionnement n°09 OH1</v>
      </c>
      <c r="D815" s="19">
        <v>29952</v>
      </c>
      <c r="E815" s="19">
        <v>29952</v>
      </c>
      <c r="F815" s="42"/>
      <c r="G815" s="42">
        <v>1</v>
      </c>
      <c r="H815" s="42"/>
      <c r="I815" s="42" t="s">
        <v>323</v>
      </c>
      <c r="J815" s="42" t="s">
        <v>3306</v>
      </c>
      <c r="K815" s="44">
        <f t="shared" si="185"/>
        <v>145</v>
      </c>
      <c r="L815" s="44">
        <f t="shared" si="186"/>
        <v>587.9</v>
      </c>
      <c r="M815" s="42" t="s">
        <v>1006</v>
      </c>
      <c r="N815" s="52" t="str">
        <f t="shared" si="178"/>
        <v>(9,'PS-09-OH1','Poste de Sectionnement n°09 OH1','Friday-01-jj','Friday-01-jj',,1,),</v>
      </c>
    </row>
    <row r="816" spans="1:14" ht="20.100000000000001" customHeight="1" x14ac:dyDescent="0.25">
      <c r="A816" s="39"/>
      <c r="B816" s="40"/>
      <c r="C816" s="52"/>
      <c r="D816" s="19"/>
      <c r="E816" s="42"/>
      <c r="F816" s="42"/>
      <c r="G816" s="42"/>
      <c r="H816" s="42"/>
      <c r="I816" s="42"/>
      <c r="J816" s="42"/>
      <c r="K816" s="42"/>
      <c r="L816" s="42"/>
      <c r="M816" s="42"/>
      <c r="N816" s="52"/>
    </row>
    <row r="817" spans="1:14" ht="20.100000000000001" customHeight="1" x14ac:dyDescent="0.25">
      <c r="A817" s="39"/>
      <c r="B817" s="40"/>
      <c r="C817" s="52"/>
      <c r="D817" s="19"/>
      <c r="E817" s="42"/>
      <c r="F817" s="42"/>
      <c r="G817" s="42"/>
      <c r="H817" s="42"/>
      <c r="I817" s="42"/>
      <c r="J817" s="42"/>
      <c r="K817" s="42"/>
      <c r="L817" s="42"/>
      <c r="M817" s="42"/>
      <c r="N817" s="52"/>
    </row>
    <row r="818" spans="1:14" ht="20.100000000000001" customHeight="1" x14ac:dyDescent="0.25">
      <c r="A818" s="39"/>
      <c r="B818" s="40"/>
      <c r="C818" s="52"/>
      <c r="D818" s="19"/>
      <c r="E818" s="42"/>
      <c r="F818" s="42"/>
      <c r="G818" s="42"/>
      <c r="H818" s="42"/>
      <c r="I818" s="42"/>
      <c r="J818" s="42"/>
      <c r="K818" s="42"/>
      <c r="L818" s="42"/>
      <c r="M818" s="42"/>
      <c r="N818" s="52"/>
    </row>
    <row r="819" spans="1:14" ht="20.100000000000001" customHeight="1" x14ac:dyDescent="0.25">
      <c r="A819" s="39"/>
      <c r="B819" s="40"/>
      <c r="C819" s="52"/>
      <c r="D819" s="19"/>
      <c r="E819" s="42"/>
      <c r="F819" s="42"/>
      <c r="G819" s="42"/>
      <c r="H819" s="42"/>
      <c r="I819" s="42"/>
      <c r="J819" s="42"/>
      <c r="K819" s="42"/>
      <c r="L819" s="42"/>
      <c r="M819" s="42"/>
      <c r="N819" s="52"/>
    </row>
    <row r="820" spans="1:14" ht="20.100000000000001" customHeight="1" x14ac:dyDescent="0.25">
      <c r="A820" s="39"/>
      <c r="B820" s="40"/>
      <c r="C820" s="52"/>
      <c r="D820" s="19"/>
      <c r="E820" s="42"/>
      <c r="F820" s="42"/>
      <c r="G820" s="42"/>
      <c r="H820" s="42"/>
      <c r="I820" s="42"/>
      <c r="J820" s="42"/>
      <c r="K820" s="42"/>
      <c r="L820" s="42"/>
      <c r="M820" s="42"/>
      <c r="N820" s="52"/>
    </row>
    <row r="821" spans="1:14" ht="20.100000000000001" customHeight="1" x14ac:dyDescent="0.25">
      <c r="A821" s="39"/>
      <c r="B821" s="40"/>
      <c r="C821" s="52"/>
      <c r="D821" s="19"/>
      <c r="E821" s="42"/>
      <c r="F821" s="42"/>
      <c r="G821" s="42"/>
      <c r="H821" s="42"/>
      <c r="I821" s="42"/>
      <c r="J821" s="42"/>
      <c r="K821" s="42"/>
      <c r="L821" s="42"/>
      <c r="M821" s="42"/>
      <c r="N821" s="52"/>
    </row>
    <row r="822" spans="1:14" ht="20.100000000000001" customHeight="1" x14ac:dyDescent="0.25">
      <c r="A822" s="39"/>
      <c r="B822" s="40"/>
      <c r="C822" s="52"/>
      <c r="D822" s="19"/>
      <c r="E822" s="42"/>
      <c r="F822" s="42"/>
      <c r="G822" s="42"/>
      <c r="H822" s="42"/>
      <c r="I822" s="42"/>
      <c r="J822" s="42"/>
      <c r="K822" s="42"/>
      <c r="L822" s="42"/>
      <c r="M822" s="42"/>
      <c r="N822" s="52"/>
    </row>
    <row r="823" spans="1:14" ht="20.100000000000001" customHeight="1" x14ac:dyDescent="0.25">
      <c r="A823" s="39"/>
      <c r="B823" s="40"/>
      <c r="C823" s="52"/>
      <c r="D823" s="19"/>
      <c r="E823" s="42"/>
      <c r="F823" s="42"/>
      <c r="G823" s="42"/>
      <c r="H823" s="42"/>
      <c r="I823" s="42"/>
      <c r="J823" s="42"/>
      <c r="K823" s="42"/>
      <c r="L823" s="42"/>
      <c r="M823" s="42"/>
      <c r="N823" s="52"/>
    </row>
    <row r="824" spans="1:14" ht="20.100000000000001" customHeight="1" x14ac:dyDescent="0.25">
      <c r="A824" s="39"/>
      <c r="B824" s="40"/>
      <c r="C824" s="52"/>
      <c r="D824" s="19"/>
      <c r="E824" s="42"/>
      <c r="F824" s="42"/>
      <c r="G824" s="42"/>
      <c r="H824" s="42"/>
      <c r="I824" s="42"/>
      <c r="J824" s="42"/>
      <c r="K824" s="42"/>
      <c r="L824" s="42"/>
      <c r="M824" s="42"/>
      <c r="N824" s="52"/>
    </row>
    <row r="825" spans="1:14" ht="20.100000000000001" customHeight="1" x14ac:dyDescent="0.25">
      <c r="A825" s="39"/>
      <c r="B825" s="40"/>
      <c r="C825" s="52"/>
      <c r="D825" s="19"/>
      <c r="E825" s="42"/>
      <c r="F825" s="42"/>
      <c r="G825" s="42"/>
      <c r="H825" s="42"/>
      <c r="I825" s="42"/>
      <c r="J825" s="42"/>
      <c r="K825" s="42"/>
      <c r="L825" s="42"/>
      <c r="M825" s="42"/>
      <c r="N825" s="52"/>
    </row>
    <row r="826" spans="1:14" ht="20.100000000000001" customHeight="1" x14ac:dyDescent="0.25">
      <c r="A826" s="39"/>
      <c r="B826" s="40"/>
      <c r="C826" s="52"/>
      <c r="D826" s="19"/>
      <c r="E826" s="42"/>
      <c r="F826" s="42"/>
      <c r="G826" s="42"/>
      <c r="H826" s="42"/>
      <c r="I826" s="42"/>
      <c r="J826" s="42"/>
      <c r="K826" s="42"/>
      <c r="L826" s="42"/>
      <c r="M826" s="42"/>
      <c r="N826" s="52"/>
    </row>
    <row r="827" spans="1:14" ht="20.100000000000001" customHeight="1" x14ac:dyDescent="0.25">
      <c r="A827" s="39"/>
      <c r="B827" s="40"/>
      <c r="C827" s="52"/>
      <c r="D827" s="19"/>
      <c r="E827" s="42"/>
      <c r="F827" s="42"/>
      <c r="G827" s="42"/>
      <c r="H827" s="42"/>
      <c r="I827" s="42"/>
      <c r="J827" s="42"/>
      <c r="K827" s="42"/>
      <c r="L827" s="42"/>
      <c r="M827" s="42"/>
      <c r="N827" s="52"/>
    </row>
    <row r="828" spans="1:14" ht="20.100000000000001" customHeight="1" x14ac:dyDescent="0.25">
      <c r="A828" s="39"/>
      <c r="B828" s="40"/>
      <c r="C828" s="52"/>
      <c r="D828" s="19"/>
      <c r="E828" s="42"/>
      <c r="F828" s="42"/>
      <c r="G828" s="42"/>
      <c r="H828" s="42"/>
      <c r="I828" s="42"/>
      <c r="J828" s="42"/>
      <c r="K828" s="42"/>
      <c r="L828" s="42"/>
      <c r="M828" s="42"/>
      <c r="N828" s="52"/>
    </row>
    <row r="829" spans="1:14" ht="20.100000000000001" customHeight="1" x14ac:dyDescent="0.25">
      <c r="A829" s="39"/>
      <c r="B829" s="40"/>
      <c r="C829" s="52"/>
      <c r="D829" s="19"/>
      <c r="E829" s="42"/>
      <c r="F829" s="42"/>
      <c r="G829" s="42"/>
      <c r="H829" s="42"/>
      <c r="I829" s="42"/>
      <c r="J829" s="42"/>
      <c r="K829" s="42"/>
      <c r="L829" s="42"/>
      <c r="M829" s="42"/>
      <c r="N829" s="52"/>
    </row>
    <row r="830" spans="1:14" ht="20.100000000000001" customHeight="1" x14ac:dyDescent="0.25">
      <c r="A830" s="39"/>
      <c r="B830" s="40"/>
      <c r="C830" s="52"/>
      <c r="D830" s="19"/>
      <c r="E830" s="42"/>
      <c r="F830" s="42"/>
      <c r="G830" s="42"/>
      <c r="H830" s="42"/>
      <c r="I830" s="42"/>
      <c r="J830" s="42"/>
      <c r="K830" s="42"/>
      <c r="L830" s="42"/>
      <c r="M830" s="42"/>
      <c r="N830" s="52"/>
    </row>
    <row r="831" spans="1:14" ht="20.100000000000001" customHeight="1" x14ac:dyDescent="0.25">
      <c r="A831" s="39"/>
      <c r="B831" s="40"/>
      <c r="C831" s="52"/>
      <c r="D831" s="19"/>
      <c r="E831" s="42"/>
      <c r="F831" s="42"/>
      <c r="G831" s="42"/>
      <c r="H831" s="42"/>
      <c r="I831" s="42"/>
      <c r="J831" s="42"/>
      <c r="K831" s="42"/>
      <c r="L831" s="42"/>
      <c r="M831" s="42"/>
      <c r="N831" s="52"/>
    </row>
    <row r="832" spans="1:14" ht="20.100000000000001" customHeight="1" x14ac:dyDescent="0.25">
      <c r="A832" s="39"/>
      <c r="B832" s="40"/>
      <c r="C832" s="52"/>
      <c r="D832" s="19"/>
      <c r="E832" s="42"/>
      <c r="F832" s="42"/>
      <c r="G832" s="42"/>
      <c r="H832" s="42"/>
      <c r="I832" s="42"/>
      <c r="J832" s="42"/>
      <c r="K832" s="42"/>
      <c r="L832" s="42"/>
      <c r="M832" s="42"/>
      <c r="N832" s="52"/>
    </row>
    <row r="833" spans="1:14" ht="20.100000000000001" customHeight="1" x14ac:dyDescent="0.25">
      <c r="A833" s="39"/>
      <c r="B833" s="40"/>
      <c r="C833" s="52"/>
      <c r="D833" s="19"/>
      <c r="E833" s="42"/>
      <c r="F833" s="42"/>
      <c r="G833" s="42"/>
      <c r="H833" s="42"/>
      <c r="I833" s="42"/>
      <c r="J833" s="42"/>
      <c r="K833" s="42"/>
      <c r="L833" s="42"/>
      <c r="M833" s="42"/>
      <c r="N833" s="52"/>
    </row>
    <row r="834" spans="1:14" ht="20.100000000000001" customHeight="1" x14ac:dyDescent="0.25">
      <c r="A834" s="39"/>
      <c r="B834" s="40"/>
      <c r="C834" s="52"/>
      <c r="D834" s="19"/>
      <c r="E834" s="42"/>
      <c r="F834" s="42"/>
      <c r="G834" s="42"/>
      <c r="H834" s="42"/>
      <c r="I834" s="42"/>
      <c r="J834" s="42"/>
      <c r="K834" s="42"/>
      <c r="L834" s="42"/>
      <c r="M834" s="42"/>
      <c r="N834" s="52" t="str">
        <f t="shared" ref="N834:N836" si="187">CONCATENATE("(",A834,",'",B834,"','",C834,"','",TEXT(D834,"aaaa-mm-jj"),"','",TEXT(E834,"aaaa-mm-jj"),"',",F834,",",G834,",",H834,"),")</f>
        <v>(,'','','1900-01-00','1900-01-00',,,),</v>
      </c>
    </row>
    <row r="835" spans="1:14" ht="20.100000000000001" customHeight="1" x14ac:dyDescent="0.25">
      <c r="A835" s="39"/>
      <c r="B835" s="40"/>
      <c r="C835" s="52"/>
      <c r="D835" s="19"/>
      <c r="E835" s="42"/>
      <c r="F835" s="42"/>
      <c r="G835" s="42"/>
      <c r="H835" s="42"/>
      <c r="I835" s="42"/>
      <c r="J835" s="42"/>
      <c r="K835" s="42"/>
      <c r="L835" s="42"/>
      <c r="M835" s="42"/>
      <c r="N835" s="52" t="str">
        <f t="shared" si="187"/>
        <v>(,'','','1900-01-00','1900-01-00',,,),</v>
      </c>
    </row>
    <row r="836" spans="1:14" ht="20.100000000000001" customHeight="1" x14ac:dyDescent="0.25">
      <c r="A836" s="39"/>
      <c r="B836" s="40"/>
      <c r="C836" s="52"/>
      <c r="D836" s="19"/>
      <c r="E836" s="42"/>
      <c r="F836" s="42"/>
      <c r="G836" s="42"/>
      <c r="H836" s="42"/>
      <c r="I836" s="42"/>
      <c r="J836" s="42"/>
      <c r="K836" s="42"/>
      <c r="L836" s="42"/>
      <c r="M836" s="42"/>
      <c r="N836" s="52" t="str">
        <f t="shared" si="187"/>
        <v>(,'','','1900-01-00','1900-01-00',,,),</v>
      </c>
    </row>
  </sheetData>
  <autoFilter ref="A2:N836"/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37"/>
  <sheetViews>
    <sheetView zoomScaleNormal="100" workbookViewId="0">
      <pane ySplit="2" topLeftCell="A84" activePane="bottomLeft" state="frozen"/>
      <selection activeCell="A2" sqref="A2"/>
      <selection pane="bottomLeft" activeCell="G70" sqref="G3:G70"/>
    </sheetView>
  </sheetViews>
  <sheetFormatPr baseColWidth="10" defaultColWidth="10.85546875" defaultRowHeight="15.75" x14ac:dyDescent="0.25"/>
  <cols>
    <col min="1" max="1" width="6.85546875" style="2" bestFit="1" customWidth="1"/>
    <col min="2" max="2" width="15" style="2" bestFit="1" customWidth="1"/>
    <col min="3" max="3" width="33.85546875" style="2" bestFit="1" customWidth="1"/>
    <col min="4" max="5" width="15.5703125" style="2" customWidth="1"/>
    <col min="6" max="6" width="17.28515625" style="2" customWidth="1"/>
    <col min="7" max="8" width="15.5703125" style="2" customWidth="1"/>
    <col min="9" max="9" width="6.5703125" style="2" customWidth="1"/>
    <col min="10" max="10" width="15.5703125" style="2" customWidth="1"/>
    <col min="11" max="12" width="10.5703125" style="2" customWidth="1"/>
    <col min="13" max="13" width="27.42578125" style="2" bestFit="1" customWidth="1"/>
    <col min="14" max="14" width="89.5703125" style="2" bestFit="1" customWidth="1"/>
    <col min="15" max="16384" width="10.85546875" style="2"/>
  </cols>
  <sheetData>
    <row r="1" spans="1:1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696</v>
      </c>
      <c r="J1" s="1"/>
      <c r="K1" s="1"/>
      <c r="L1" s="1"/>
      <c r="M1" s="1"/>
      <c r="N1" s="1" t="s">
        <v>8</v>
      </c>
    </row>
    <row r="2" spans="1:14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1"/>
      <c r="K2" s="1"/>
      <c r="L2" s="1"/>
      <c r="M2" s="1"/>
      <c r="N2" s="1" t="s">
        <v>17</v>
      </c>
    </row>
    <row r="3" spans="1:14" ht="20.100000000000001" customHeight="1" x14ac:dyDescent="0.25">
      <c r="A3" s="39">
        <v>1</v>
      </c>
      <c r="B3" s="48" t="str">
        <f>CONCATENATE("PC-",TEXT(A3,"00"),"-",I3)</f>
        <v>PC-01-GK3</v>
      </c>
      <c r="C3" s="52" t="str">
        <f>CONCATENATE("Poste de Coupure n°",TEXT(A3,"00")," ",I3)</f>
        <v>Poste de Coupure n°01 GK3</v>
      </c>
      <c r="D3" s="19">
        <v>40909</v>
      </c>
      <c r="E3" s="19">
        <v>40909</v>
      </c>
      <c r="F3" s="42"/>
      <c r="G3" s="42">
        <v>1</v>
      </c>
      <c r="H3" s="42"/>
      <c r="I3" s="42" t="s">
        <v>659</v>
      </c>
      <c r="J3" s="42" t="s">
        <v>2210</v>
      </c>
      <c r="K3" s="53">
        <f>VALUE(RIGHT(J3,LEN(J3)-SEARCH("/",J3)))</f>
        <v>744.7</v>
      </c>
      <c r="L3" s="44">
        <f>VALUE(SUBSTITUTE(LEFT(J3,SEARCH("/",J3)-1),"+",","))</f>
        <v>81.8</v>
      </c>
      <c r="M3" s="42" t="s">
        <v>2078</v>
      </c>
      <c r="N3" s="52" t="str">
        <f t="shared" ref="N3:N66" si="0">CONCATENATE("(",A3,",'",B3,"','",C3,"','",TEXT(D3,"aaaa-mm-jj"),"','",TEXT(E3,"aaaa-mm-jj"),"',",F3,",",G3,",",H3,"),")</f>
        <v>(1,'PC-01-GK3','Poste de Coupure n°01 GK3','Sunday-01-jj','Sunday-01-jj',,1,),</v>
      </c>
    </row>
    <row r="4" spans="1:14" ht="20.100000000000001" customHeight="1" x14ac:dyDescent="0.25">
      <c r="A4" s="39">
        <v>2</v>
      </c>
      <c r="B4" s="48" t="str">
        <f t="shared" ref="B4:B10" si="1">CONCATENATE("PC-",TEXT(A4,"00"),"-",I4)</f>
        <v>PC-02-GK3</v>
      </c>
      <c r="C4" s="52" t="str">
        <f t="shared" ref="C4:C10" si="2">CONCATENATE("Poste de Coupure n°",TEXT(A4,"00")," ",I4)</f>
        <v>Poste de Coupure n°02 GK3</v>
      </c>
      <c r="D4" s="19">
        <v>40909</v>
      </c>
      <c r="E4" s="19">
        <v>40909</v>
      </c>
      <c r="F4" s="42"/>
      <c r="G4" s="42">
        <v>1</v>
      </c>
      <c r="H4" s="42"/>
      <c r="I4" s="42" t="s">
        <v>659</v>
      </c>
      <c r="J4" s="42" t="s">
        <v>2211</v>
      </c>
      <c r="K4" s="53">
        <f t="shared" ref="K4:K67" si="3">VALUE(RIGHT(J4,LEN(J4)-SEARCH("/",J4)))</f>
        <v>398.32</v>
      </c>
      <c r="L4" s="44">
        <f t="shared" ref="L4:L9" si="4">VALUE(SUBSTITUTE(LEFT(J4,SEARCH("/",J4)-1),"+",","))</f>
        <v>178.31800000000001</v>
      </c>
      <c r="M4" s="42" t="s">
        <v>2217</v>
      </c>
      <c r="N4" s="52" t="str">
        <f t="shared" si="0"/>
        <v>(2,'PC-02-GK3','Poste de Coupure n°02 GK3','Sunday-01-jj','Sunday-01-jj',,1,),</v>
      </c>
    </row>
    <row r="5" spans="1:14" ht="20.100000000000001" customHeight="1" x14ac:dyDescent="0.25">
      <c r="A5" s="39">
        <v>3</v>
      </c>
      <c r="B5" s="48" t="str">
        <f t="shared" si="1"/>
        <v>PC-03-GK3</v>
      </c>
      <c r="C5" s="52" t="str">
        <f t="shared" si="2"/>
        <v>Poste de Coupure n°03 GK3</v>
      </c>
      <c r="D5" s="19">
        <v>40909</v>
      </c>
      <c r="E5" s="19">
        <v>40909</v>
      </c>
      <c r="F5" s="42"/>
      <c r="G5" s="42">
        <v>1</v>
      </c>
      <c r="H5" s="42"/>
      <c r="I5" s="42" t="s">
        <v>659</v>
      </c>
      <c r="J5" s="42" t="s">
        <v>2212</v>
      </c>
      <c r="K5" s="53">
        <f t="shared" si="3"/>
        <v>358.13</v>
      </c>
      <c r="L5" s="44">
        <f t="shared" si="4"/>
        <v>269.44400000000002</v>
      </c>
      <c r="M5" s="42" t="s">
        <v>2079</v>
      </c>
      <c r="N5" s="52" t="str">
        <f t="shared" si="0"/>
        <v>(3,'PC-03-GK3','Poste de Coupure n°03 GK3','Sunday-01-jj','Sunday-01-jj',,1,),</v>
      </c>
    </row>
    <row r="6" spans="1:14" ht="20.100000000000001" customHeight="1" x14ac:dyDescent="0.25">
      <c r="A6" s="39">
        <v>4</v>
      </c>
      <c r="B6" s="48" t="str">
        <f t="shared" si="1"/>
        <v>PC-04-GK3</v>
      </c>
      <c r="C6" s="52" t="str">
        <f t="shared" si="2"/>
        <v>Poste de Coupure n°04 GK3</v>
      </c>
      <c r="D6" s="19">
        <v>40909</v>
      </c>
      <c r="E6" s="19">
        <v>40909</v>
      </c>
      <c r="F6" s="42"/>
      <c r="G6" s="42">
        <v>1</v>
      </c>
      <c r="H6" s="42"/>
      <c r="I6" s="42" t="s">
        <v>659</v>
      </c>
      <c r="J6" s="42" t="s">
        <v>2213</v>
      </c>
      <c r="K6" s="53">
        <f t="shared" si="3"/>
        <v>599.75</v>
      </c>
      <c r="L6" s="44">
        <f t="shared" si="4"/>
        <v>354.55200000000002</v>
      </c>
      <c r="M6" s="42" t="s">
        <v>2218</v>
      </c>
      <c r="N6" s="52" t="str">
        <f t="shared" si="0"/>
        <v>(4,'PC-04-GK3','Poste de Coupure n°04 GK3','Sunday-01-jj','Sunday-01-jj',,1,),</v>
      </c>
    </row>
    <row r="7" spans="1:14" ht="20.100000000000001" customHeight="1" x14ac:dyDescent="0.25">
      <c r="A7" s="39">
        <v>5</v>
      </c>
      <c r="B7" s="48" t="str">
        <f t="shared" si="1"/>
        <v>PC-05-GK3</v>
      </c>
      <c r="C7" s="52" t="str">
        <f t="shared" si="2"/>
        <v>Poste de Coupure n°05 GK3</v>
      </c>
      <c r="D7" s="19">
        <v>40909</v>
      </c>
      <c r="E7" s="19">
        <v>40909</v>
      </c>
      <c r="F7" s="42"/>
      <c r="G7" s="42">
        <v>1</v>
      </c>
      <c r="H7" s="42"/>
      <c r="I7" s="42" t="s">
        <v>659</v>
      </c>
      <c r="J7" s="42" t="s">
        <v>2214</v>
      </c>
      <c r="K7" s="53">
        <f t="shared" si="3"/>
        <v>934.86</v>
      </c>
      <c r="L7" s="44">
        <f t="shared" si="4"/>
        <v>431.71899999999999</v>
      </c>
      <c r="M7" s="42" t="s">
        <v>2219</v>
      </c>
      <c r="N7" s="52" t="str">
        <f t="shared" si="0"/>
        <v>(5,'PC-05-GK3','Poste de Coupure n°05 GK3','Sunday-01-jj','Sunday-01-jj',,1,),</v>
      </c>
    </row>
    <row r="8" spans="1:14" ht="20.100000000000001" customHeight="1" x14ac:dyDescent="0.25">
      <c r="A8" s="39">
        <v>6</v>
      </c>
      <c r="B8" s="48" t="str">
        <f t="shared" si="1"/>
        <v>PC-06-GK3</v>
      </c>
      <c r="C8" s="52" t="str">
        <f t="shared" si="2"/>
        <v>Poste de Coupure n°06 GK3</v>
      </c>
      <c r="D8" s="19">
        <v>40909</v>
      </c>
      <c r="E8" s="19">
        <v>40909</v>
      </c>
      <c r="F8" s="42"/>
      <c r="G8" s="42">
        <v>1</v>
      </c>
      <c r="H8" s="42"/>
      <c r="I8" s="42" t="s">
        <v>659</v>
      </c>
      <c r="J8" s="42" t="s">
        <v>2215</v>
      </c>
      <c r="K8" s="53">
        <f t="shared" si="3"/>
        <v>1007.13</v>
      </c>
      <c r="L8" s="44">
        <f t="shared" si="4"/>
        <v>102.274</v>
      </c>
      <c r="M8" s="42" t="s">
        <v>2194</v>
      </c>
      <c r="N8" s="52" t="str">
        <f t="shared" si="0"/>
        <v>(6,'PC-06-GK3','Poste de Coupure n°06 GK3','Sunday-01-jj','Sunday-01-jj',,1,),</v>
      </c>
    </row>
    <row r="9" spans="1:14" ht="20.100000000000001" customHeight="1" x14ac:dyDescent="0.25">
      <c r="A9" s="39">
        <v>7</v>
      </c>
      <c r="B9" s="48" t="str">
        <f t="shared" si="1"/>
        <v>PC-07-GK3</v>
      </c>
      <c r="C9" s="52" t="str">
        <f t="shared" si="2"/>
        <v>Poste de Coupure n°07 GK3</v>
      </c>
      <c r="D9" s="19">
        <v>40909</v>
      </c>
      <c r="E9" s="19">
        <v>40909</v>
      </c>
      <c r="F9" s="42"/>
      <c r="G9" s="42">
        <v>1</v>
      </c>
      <c r="H9" s="42"/>
      <c r="I9" s="42" t="s">
        <v>659</v>
      </c>
      <c r="J9" s="42" t="s">
        <v>2216</v>
      </c>
      <c r="K9" s="53">
        <f t="shared" si="3"/>
        <v>136.01</v>
      </c>
      <c r="L9" s="44">
        <f t="shared" si="4"/>
        <v>181.59399999999999</v>
      </c>
      <c r="M9" s="42" t="s">
        <v>2220</v>
      </c>
      <c r="N9" s="52" t="str">
        <f t="shared" si="0"/>
        <v>(7,'PC-07-GK3','Poste de Coupure n°07 GK3','Sunday-01-jj','Sunday-01-jj',,1,),</v>
      </c>
    </row>
    <row r="10" spans="1:14" ht="20.100000000000001" customHeight="1" x14ac:dyDescent="0.25">
      <c r="A10" s="39">
        <v>1</v>
      </c>
      <c r="B10" s="48" t="str">
        <f t="shared" si="1"/>
        <v>PC-01-GG1</v>
      </c>
      <c r="C10" s="52" t="str">
        <f t="shared" si="2"/>
        <v>Poste de Coupure n°01 GG1</v>
      </c>
      <c r="D10" s="19">
        <v>29587</v>
      </c>
      <c r="E10" s="19">
        <v>29587</v>
      </c>
      <c r="F10" s="42"/>
      <c r="G10" s="42">
        <v>1</v>
      </c>
      <c r="H10" s="42"/>
      <c r="I10" s="42" t="s">
        <v>411</v>
      </c>
      <c r="J10" s="42" t="s">
        <v>2237</v>
      </c>
      <c r="K10" s="53">
        <f t="shared" si="3"/>
        <v>820</v>
      </c>
      <c r="L10" s="44">
        <f t="shared" ref="L10:L14" si="5">VALUE(SUBSTITUTE(LEFT(J10,SEARCH("/",J10)-1),"+",","))</f>
        <v>59.5</v>
      </c>
      <c r="M10" s="42" t="s">
        <v>2078</v>
      </c>
      <c r="N10" s="52" t="str">
        <f t="shared" si="0"/>
        <v>(1,'PC-01-GG1','Poste de Coupure n°01 GG1','Thursday-01-jj','Thursday-01-jj',,1,),</v>
      </c>
    </row>
    <row r="11" spans="1:14" ht="20.100000000000001" customHeight="1" x14ac:dyDescent="0.25">
      <c r="A11" s="39">
        <v>2</v>
      </c>
      <c r="B11" s="48" t="str">
        <f t="shared" ref="B11:B12" si="6">CONCATENATE("PC-",TEXT(A11,"00"),"-",I11)</f>
        <v>PC-02-GG1</v>
      </c>
      <c r="C11" s="52" t="str">
        <f t="shared" ref="C11:C12" si="7">CONCATENATE("Poste de Coupure n°",TEXT(A11,"00")," ",I11)</f>
        <v>Poste de Coupure n°02 GG1</v>
      </c>
      <c r="D11" s="19">
        <v>29587</v>
      </c>
      <c r="E11" s="19">
        <v>29587</v>
      </c>
      <c r="F11" s="42"/>
      <c r="G11" s="42">
        <v>1</v>
      </c>
      <c r="H11" s="42"/>
      <c r="I11" s="42" t="s">
        <v>411</v>
      </c>
      <c r="J11" s="42" t="s">
        <v>2238</v>
      </c>
      <c r="K11" s="53">
        <f t="shared" si="3"/>
        <v>860</v>
      </c>
      <c r="L11" s="44">
        <f t="shared" si="5"/>
        <v>126.7</v>
      </c>
      <c r="M11" s="42" t="s">
        <v>2241</v>
      </c>
      <c r="N11" s="52" t="str">
        <f t="shared" si="0"/>
        <v>(2,'PC-02-GG1','Poste de Coupure n°02 GG1','Thursday-01-jj','Thursday-01-jj',,1,),</v>
      </c>
    </row>
    <row r="12" spans="1:14" ht="20.100000000000001" customHeight="1" x14ac:dyDescent="0.25">
      <c r="A12" s="39">
        <v>4</v>
      </c>
      <c r="B12" s="48" t="str">
        <f t="shared" si="6"/>
        <v>PC-04-GG1</v>
      </c>
      <c r="C12" s="52" t="str">
        <f t="shared" si="7"/>
        <v>Poste de Coupure n°04 GG1</v>
      </c>
      <c r="D12" s="19">
        <v>29587</v>
      </c>
      <c r="E12" s="19">
        <v>29587</v>
      </c>
      <c r="F12" s="42"/>
      <c r="G12" s="42">
        <v>1</v>
      </c>
      <c r="H12" s="42"/>
      <c r="I12" s="42" t="s">
        <v>411</v>
      </c>
      <c r="J12" s="42" t="s">
        <v>2239</v>
      </c>
      <c r="K12" s="53">
        <f t="shared" si="3"/>
        <v>833</v>
      </c>
      <c r="L12" s="44">
        <f t="shared" si="5"/>
        <v>253.1</v>
      </c>
      <c r="M12" s="42" t="s">
        <v>2242</v>
      </c>
      <c r="N12" s="52" t="str">
        <f t="shared" si="0"/>
        <v>(4,'PC-04-GG1','Poste de Coupure n°04 GG1','Thursday-01-jj','Thursday-01-jj',,1,),</v>
      </c>
    </row>
    <row r="13" spans="1:14" ht="20.100000000000001" customHeight="1" x14ac:dyDescent="0.25">
      <c r="A13" s="39">
        <v>5</v>
      </c>
      <c r="B13" s="48" t="str">
        <f t="shared" ref="B13:B15" si="8">CONCATENATE("PC-",TEXT(A13,"00"),"-",I13)</f>
        <v>PC-05-GG1</v>
      </c>
      <c r="C13" s="52" t="str">
        <f t="shared" ref="C13:C15" si="9">CONCATENATE("Poste de Coupure n°",TEXT(A13,"00")," ",I13)</f>
        <v>Poste de Coupure n°05 GG1</v>
      </c>
      <c r="D13" s="19">
        <v>29587</v>
      </c>
      <c r="E13" s="19">
        <v>29587</v>
      </c>
      <c r="F13" s="42"/>
      <c r="G13" s="42">
        <v>1</v>
      </c>
      <c r="H13" s="42"/>
      <c r="I13" s="42" t="s">
        <v>411</v>
      </c>
      <c r="J13" s="42" t="s">
        <v>2240</v>
      </c>
      <c r="K13" s="53">
        <f t="shared" si="3"/>
        <v>591</v>
      </c>
      <c r="L13" s="44">
        <f t="shared" si="5"/>
        <v>325.89999999999998</v>
      </c>
      <c r="M13" s="42" t="s">
        <v>2243</v>
      </c>
      <c r="N13" s="52" t="str">
        <f t="shared" si="0"/>
        <v>(5,'PC-05-GG1','Poste de Coupure n°05 GG1','Thursday-01-jj','Thursday-01-jj',,1,),</v>
      </c>
    </row>
    <row r="14" spans="1:14" ht="20.100000000000001" customHeight="1" x14ac:dyDescent="0.25">
      <c r="A14" s="39">
        <v>1</v>
      </c>
      <c r="B14" s="48" t="str">
        <f t="shared" si="8"/>
        <v>PC-01-RGG1</v>
      </c>
      <c r="C14" s="52" t="str">
        <f t="shared" si="9"/>
        <v>Poste de Coupure n°01 RGG1</v>
      </c>
      <c r="D14" s="19">
        <v>43466</v>
      </c>
      <c r="E14" s="19">
        <v>43466</v>
      </c>
      <c r="F14" s="42"/>
      <c r="G14" s="42">
        <v>1</v>
      </c>
      <c r="H14" s="42"/>
      <c r="I14" s="42" t="s">
        <v>414</v>
      </c>
      <c r="J14" s="42" t="s">
        <v>2244</v>
      </c>
      <c r="K14" s="53">
        <f t="shared" si="3"/>
        <v>584</v>
      </c>
      <c r="L14" s="44">
        <f t="shared" si="5"/>
        <v>92.977999999999994</v>
      </c>
      <c r="M14" s="42" t="s">
        <v>2243</v>
      </c>
      <c r="N14" s="52" t="str">
        <f t="shared" si="0"/>
        <v>(1,'PC-01-RGG1','Poste de Coupure n°01 RGG1','Tuesday-01-jj','Tuesday-01-jj',,1,),</v>
      </c>
    </row>
    <row r="15" spans="1:14" ht="20.100000000000001" customHeight="1" x14ac:dyDescent="0.25">
      <c r="A15" s="39">
        <v>1</v>
      </c>
      <c r="B15" s="48" t="str">
        <f t="shared" si="8"/>
        <v>PC-01-GPDF</v>
      </c>
      <c r="C15" s="52" t="str">
        <f t="shared" si="9"/>
        <v>Poste de Coupure n°01 GPDF</v>
      </c>
      <c r="D15" s="19">
        <v>35065</v>
      </c>
      <c r="E15" s="19">
        <v>35065</v>
      </c>
      <c r="F15" s="42"/>
      <c r="G15" s="42">
        <v>1</v>
      </c>
      <c r="H15" s="42"/>
      <c r="I15" s="42" t="s">
        <v>438</v>
      </c>
      <c r="J15" s="42" t="s">
        <v>2361</v>
      </c>
      <c r="K15" s="53">
        <f t="shared" si="3"/>
        <v>787.79</v>
      </c>
      <c r="L15" s="44">
        <f t="shared" ref="L15:L20" si="10">VALUE(SUBSTITUTE(LEFT(J15,SEARCH("/",J15)-1),"+",","))</f>
        <v>87.963999999999999</v>
      </c>
      <c r="M15" s="42" t="s">
        <v>2337</v>
      </c>
      <c r="N15" s="52" t="str">
        <f t="shared" si="0"/>
        <v>(1,'PC-01-GPDF','Poste de Coupure n°01 GPDF','Monday-01-jj','Monday-01-jj',,1,),</v>
      </c>
    </row>
    <row r="16" spans="1:14" ht="20.100000000000001" customHeight="1" x14ac:dyDescent="0.25">
      <c r="A16" s="39">
        <v>2</v>
      </c>
      <c r="B16" s="48" t="str">
        <f t="shared" ref="B16:B31" si="11">CONCATENATE("PC-",TEXT(A16,"00"),"-",I16)</f>
        <v>PC-02-GPDF</v>
      </c>
      <c r="C16" s="52" t="str">
        <f t="shared" ref="C16:C31" si="12">CONCATENATE("Poste de Coupure n°",TEXT(A16,"00")," ",I16)</f>
        <v>Poste de Coupure n°02 GPDF</v>
      </c>
      <c r="D16" s="19">
        <v>35065</v>
      </c>
      <c r="E16" s="19">
        <v>35065</v>
      </c>
      <c r="F16" s="42"/>
      <c r="G16" s="42">
        <v>1</v>
      </c>
      <c r="H16" s="42"/>
      <c r="I16" s="42" t="s">
        <v>438</v>
      </c>
      <c r="J16" s="42" t="s">
        <v>2362</v>
      </c>
      <c r="K16" s="53">
        <f t="shared" si="3"/>
        <v>807</v>
      </c>
      <c r="L16" s="44">
        <f t="shared" si="10"/>
        <v>175.97800000000001</v>
      </c>
      <c r="M16" s="42" t="s">
        <v>2366</v>
      </c>
      <c r="N16" s="52" t="str">
        <f t="shared" si="0"/>
        <v>(2,'PC-02-GPDF','Poste de Coupure n°02 GPDF','Monday-01-jj','Monday-01-jj',,1,),</v>
      </c>
    </row>
    <row r="17" spans="1:14" ht="20.100000000000001" customHeight="1" x14ac:dyDescent="0.25">
      <c r="A17" s="39">
        <v>3</v>
      </c>
      <c r="B17" s="48" t="str">
        <f t="shared" si="11"/>
        <v>PC-03-GPDF</v>
      </c>
      <c r="C17" s="52" t="str">
        <f t="shared" si="12"/>
        <v>Poste de Coupure n°03 GPDF</v>
      </c>
      <c r="D17" s="19">
        <v>35065</v>
      </c>
      <c r="E17" s="19">
        <v>35065</v>
      </c>
      <c r="F17" s="42"/>
      <c r="G17" s="42">
        <v>1</v>
      </c>
      <c r="H17" s="42"/>
      <c r="I17" s="42" t="s">
        <v>438</v>
      </c>
      <c r="J17" s="42" t="s">
        <v>2363</v>
      </c>
      <c r="K17" s="53">
        <f t="shared" si="3"/>
        <v>965.96</v>
      </c>
      <c r="L17" s="44">
        <f t="shared" si="10"/>
        <v>267.59899999999999</v>
      </c>
      <c r="M17" s="42" t="s">
        <v>2339</v>
      </c>
      <c r="N17" s="52" t="str">
        <f t="shared" si="0"/>
        <v>(3,'PC-03-GPDF','Poste de Coupure n°03 GPDF','Monday-01-jj','Monday-01-jj',,1,),</v>
      </c>
    </row>
    <row r="18" spans="1:14" ht="20.100000000000001" customHeight="1" x14ac:dyDescent="0.25">
      <c r="A18" s="39">
        <v>4</v>
      </c>
      <c r="B18" s="48" t="str">
        <f t="shared" si="11"/>
        <v>PC-04-GPDF</v>
      </c>
      <c r="C18" s="52" t="str">
        <f t="shared" si="12"/>
        <v>Poste de Coupure n°04 GPDF</v>
      </c>
      <c r="D18" s="19">
        <v>35065</v>
      </c>
      <c r="E18" s="19">
        <v>35065</v>
      </c>
      <c r="F18" s="42"/>
      <c r="G18" s="42">
        <v>1</v>
      </c>
      <c r="H18" s="42"/>
      <c r="I18" s="42" t="s">
        <v>438</v>
      </c>
      <c r="J18" s="42" t="s">
        <v>2364</v>
      </c>
      <c r="K18" s="53">
        <f t="shared" si="3"/>
        <v>1225.5999999999999</v>
      </c>
      <c r="L18" s="44">
        <f t="shared" si="10"/>
        <v>341.91699999999997</v>
      </c>
      <c r="M18" s="42" t="s">
        <v>2342</v>
      </c>
      <c r="N18" s="52" t="str">
        <f t="shared" si="0"/>
        <v>(4,'PC-04-GPDF','Poste de Coupure n°04 GPDF','Monday-01-jj','Monday-01-jj',,1,),</v>
      </c>
    </row>
    <row r="19" spans="1:14" ht="20.100000000000001" customHeight="1" x14ac:dyDescent="0.25">
      <c r="A19" s="39">
        <v>5</v>
      </c>
      <c r="B19" s="48" t="str">
        <f t="shared" si="11"/>
        <v>PC-05-GPDF</v>
      </c>
      <c r="C19" s="52" t="str">
        <f t="shared" si="12"/>
        <v>Poste de Coupure n°05 GPDF</v>
      </c>
      <c r="D19" s="19">
        <v>35065</v>
      </c>
      <c r="E19" s="19">
        <v>35065</v>
      </c>
      <c r="F19" s="42"/>
      <c r="G19" s="42">
        <v>1</v>
      </c>
      <c r="H19" s="42"/>
      <c r="I19" s="42" t="s">
        <v>438</v>
      </c>
      <c r="J19" s="42" t="s">
        <v>2365</v>
      </c>
      <c r="K19" s="53">
        <f t="shared" si="3"/>
        <v>1077.31</v>
      </c>
      <c r="L19" s="44">
        <f t="shared" si="10"/>
        <v>441.01600000000002</v>
      </c>
      <c r="M19" s="42" t="s">
        <v>2343</v>
      </c>
      <c r="N19" s="52" t="str">
        <f t="shared" si="0"/>
        <v>(5,'PC-05-GPDF','Poste de Coupure n°05 GPDF','Monday-01-jj','Monday-01-jj',,1,),</v>
      </c>
    </row>
    <row r="20" spans="1:14" ht="20.100000000000001" customHeight="1" x14ac:dyDescent="0.25">
      <c r="A20" s="39">
        <v>1</v>
      </c>
      <c r="B20" s="48" t="str">
        <f t="shared" si="11"/>
        <v>PC-01-EGPDF</v>
      </c>
      <c r="C20" s="52" t="str">
        <f t="shared" si="12"/>
        <v>Poste de Coupure n°01 EGPDF</v>
      </c>
      <c r="D20" s="19">
        <v>44197</v>
      </c>
      <c r="E20" s="19">
        <v>44197</v>
      </c>
      <c r="F20" s="42"/>
      <c r="G20" s="42">
        <v>1</v>
      </c>
      <c r="H20" s="42"/>
      <c r="I20" s="42" t="s">
        <v>440</v>
      </c>
      <c r="J20" s="42" t="s">
        <v>2367</v>
      </c>
      <c r="K20" s="53">
        <f t="shared" si="3"/>
        <v>1121</v>
      </c>
      <c r="L20" s="44">
        <f t="shared" si="10"/>
        <v>103.121</v>
      </c>
      <c r="M20" s="42" t="s">
        <v>2368</v>
      </c>
      <c r="N20" s="52" t="str">
        <f t="shared" si="0"/>
        <v>(1,'PC-01-EGPDF','Poste de Coupure n°01 EGPDF','Friday-01-jj','Friday-01-jj',,1,),</v>
      </c>
    </row>
    <row r="21" spans="1:14" ht="20.100000000000001" customHeight="1" x14ac:dyDescent="0.25">
      <c r="A21" s="39">
        <v>1</v>
      </c>
      <c r="B21" s="48" t="str">
        <f t="shared" si="11"/>
        <v>PC-01-GO1</v>
      </c>
      <c r="C21" s="52" t="str">
        <f t="shared" si="12"/>
        <v>Poste de Coupure n°01 GO1</v>
      </c>
      <c r="D21" s="19">
        <v>29952</v>
      </c>
      <c r="E21" s="19">
        <v>29952</v>
      </c>
      <c r="F21" s="42"/>
      <c r="G21" s="42">
        <v>1</v>
      </c>
      <c r="H21" s="42"/>
      <c r="I21" s="42" t="s">
        <v>443</v>
      </c>
      <c r="J21" s="42" t="s">
        <v>2383</v>
      </c>
      <c r="K21" s="53">
        <f t="shared" si="3"/>
        <v>449.5</v>
      </c>
      <c r="L21" s="44">
        <f t="shared" ref="L21:L29" si="13">VALUE(SUBSTITUTE(LEFT(J21,SEARCH("/",J21)-1),"+",","))</f>
        <v>168.29900000000001</v>
      </c>
      <c r="M21" s="42" t="s">
        <v>2392</v>
      </c>
      <c r="N21" s="52" t="str">
        <f t="shared" si="0"/>
        <v>(1,'PC-01-GO1','Poste de Coupure n°01 GO1','Friday-01-jj','Friday-01-jj',,1,),</v>
      </c>
    </row>
    <row r="22" spans="1:14" ht="20.100000000000001" customHeight="1" x14ac:dyDescent="0.25">
      <c r="A22" s="39">
        <v>2</v>
      </c>
      <c r="B22" s="48" t="str">
        <f t="shared" si="11"/>
        <v>PC-02-GO1</v>
      </c>
      <c r="C22" s="52" t="str">
        <f t="shared" si="12"/>
        <v>Poste de Coupure n°02 GO1</v>
      </c>
      <c r="D22" s="19">
        <v>29952</v>
      </c>
      <c r="E22" s="19">
        <v>29952</v>
      </c>
      <c r="F22" s="42"/>
      <c r="G22" s="42">
        <v>1</v>
      </c>
      <c r="H22" s="42"/>
      <c r="I22" s="42" t="s">
        <v>443</v>
      </c>
      <c r="J22" s="42" t="s">
        <v>2384</v>
      </c>
      <c r="K22" s="53">
        <f t="shared" si="3"/>
        <v>-1.6</v>
      </c>
      <c r="L22" s="44">
        <f t="shared" si="13"/>
        <v>348.38099999999997</v>
      </c>
      <c r="M22" s="42" t="s">
        <v>2393</v>
      </c>
      <c r="N22" s="52" t="str">
        <f t="shared" si="0"/>
        <v>(2,'PC-02-GO1','Poste de Coupure n°02 GO1','Friday-01-jj','Friday-01-jj',,1,),</v>
      </c>
    </row>
    <row r="23" spans="1:14" ht="20.100000000000001" customHeight="1" x14ac:dyDescent="0.25">
      <c r="A23" s="39">
        <v>3</v>
      </c>
      <c r="B23" s="48" t="str">
        <f t="shared" si="11"/>
        <v>PC-03-GO1</v>
      </c>
      <c r="C23" s="52" t="str">
        <f t="shared" si="12"/>
        <v>Poste de Coupure n°03 GO1</v>
      </c>
      <c r="D23" s="19">
        <v>29952</v>
      </c>
      <c r="E23" s="19">
        <v>29952</v>
      </c>
      <c r="F23" s="42"/>
      <c r="G23" s="42">
        <v>1</v>
      </c>
      <c r="H23" s="42"/>
      <c r="I23" s="42" t="s">
        <v>443</v>
      </c>
      <c r="J23" s="42" t="s">
        <v>2385</v>
      </c>
      <c r="K23" s="53">
        <f t="shared" si="3"/>
        <v>305</v>
      </c>
      <c r="L23" s="44">
        <f t="shared" si="13"/>
        <v>461.03199999999998</v>
      </c>
      <c r="M23" s="42" t="s">
        <v>2394</v>
      </c>
      <c r="N23" s="52" t="str">
        <f t="shared" si="0"/>
        <v>(3,'PC-03-GO1','Poste de Coupure n°03 GO1','Friday-01-jj','Friday-01-jj',,1,),</v>
      </c>
    </row>
    <row r="24" spans="1:14" ht="20.100000000000001" customHeight="1" x14ac:dyDescent="0.25">
      <c r="A24" s="39">
        <v>1</v>
      </c>
      <c r="B24" s="48" t="str">
        <f t="shared" si="11"/>
        <v>PC-01-GO2</v>
      </c>
      <c r="C24" s="52" t="str">
        <f t="shared" si="12"/>
        <v>Poste de Coupure n°01 GO2</v>
      </c>
      <c r="D24" s="19">
        <v>31778</v>
      </c>
      <c r="E24" s="19">
        <v>31778</v>
      </c>
      <c r="F24" s="42"/>
      <c r="G24" s="42">
        <v>1</v>
      </c>
      <c r="H24" s="42"/>
      <c r="I24" s="42" t="s">
        <v>445</v>
      </c>
      <c r="J24" s="42" t="s">
        <v>2386</v>
      </c>
      <c r="K24" s="53">
        <f t="shared" si="3"/>
        <v>449.5</v>
      </c>
      <c r="L24" s="44">
        <f t="shared" si="13"/>
        <v>168.49100000000001</v>
      </c>
      <c r="M24" s="42" t="s">
        <v>2392</v>
      </c>
      <c r="N24" s="52" t="str">
        <f t="shared" si="0"/>
        <v>(1,'PC-01-GO2','Poste de Coupure n°01 GO2','Thursday-01-jj','Thursday-01-jj',,1,),</v>
      </c>
    </row>
    <row r="25" spans="1:14" ht="20.100000000000001" customHeight="1" x14ac:dyDescent="0.25">
      <c r="A25" s="39">
        <v>2</v>
      </c>
      <c r="B25" s="48" t="str">
        <f t="shared" si="11"/>
        <v>PC-02-GO2</v>
      </c>
      <c r="C25" s="52" t="str">
        <f t="shared" si="12"/>
        <v>Poste de Coupure n°02 GO2</v>
      </c>
      <c r="D25" s="19">
        <v>31778</v>
      </c>
      <c r="E25" s="19">
        <v>31778</v>
      </c>
      <c r="F25" s="42"/>
      <c r="G25" s="42">
        <v>1</v>
      </c>
      <c r="H25" s="42"/>
      <c r="I25" s="42" t="s">
        <v>445</v>
      </c>
      <c r="J25" s="42" t="s">
        <v>2387</v>
      </c>
      <c r="K25" s="53">
        <f t="shared" si="3"/>
        <v>-1.6</v>
      </c>
      <c r="L25" s="44">
        <f t="shared" si="13"/>
        <v>348.18900000000002</v>
      </c>
      <c r="M25" s="42" t="s">
        <v>2393</v>
      </c>
      <c r="N25" s="52" t="str">
        <f t="shared" si="0"/>
        <v>(2,'PC-02-GO2','Poste de Coupure n°02 GO2','Thursday-01-jj','Thursday-01-jj',,1,),</v>
      </c>
    </row>
    <row r="26" spans="1:14" ht="20.100000000000001" customHeight="1" x14ac:dyDescent="0.25">
      <c r="A26" s="39">
        <v>3</v>
      </c>
      <c r="B26" s="48" t="str">
        <f t="shared" si="11"/>
        <v>PC-03-GO2</v>
      </c>
      <c r="C26" s="52" t="str">
        <f t="shared" si="12"/>
        <v>Poste de Coupure n°03 GO2</v>
      </c>
      <c r="D26" s="19">
        <v>31778</v>
      </c>
      <c r="E26" s="19">
        <v>31778</v>
      </c>
      <c r="F26" s="42"/>
      <c r="G26" s="42">
        <v>1</v>
      </c>
      <c r="H26" s="42"/>
      <c r="I26" s="42" t="s">
        <v>445</v>
      </c>
      <c r="J26" s="42" t="s">
        <v>2388</v>
      </c>
      <c r="K26" s="53">
        <f t="shared" si="3"/>
        <v>305</v>
      </c>
      <c r="L26" s="44">
        <f t="shared" si="13"/>
        <v>460.87200000000001</v>
      </c>
      <c r="M26" s="42" t="s">
        <v>2394</v>
      </c>
      <c r="N26" s="52" t="str">
        <f t="shared" si="0"/>
        <v>(3,'PC-03-GO2','Poste de Coupure n°03 GO2','Thursday-01-jj','Thursday-01-jj',,1,),</v>
      </c>
    </row>
    <row r="27" spans="1:14" ht="20.100000000000001" customHeight="1" x14ac:dyDescent="0.25">
      <c r="A27" s="39">
        <v>1</v>
      </c>
      <c r="B27" s="48" t="str">
        <f t="shared" si="11"/>
        <v>PC-01-GO3</v>
      </c>
      <c r="C27" s="52" t="str">
        <f t="shared" si="12"/>
        <v>Poste de Coupure n°01 GO3</v>
      </c>
      <c r="D27" s="19">
        <v>39448</v>
      </c>
      <c r="E27" s="19">
        <v>39448</v>
      </c>
      <c r="F27" s="42"/>
      <c r="G27" s="42">
        <v>1</v>
      </c>
      <c r="H27" s="42"/>
      <c r="I27" s="42" t="s">
        <v>448</v>
      </c>
      <c r="J27" s="42" t="s">
        <v>2389</v>
      </c>
      <c r="K27" s="53">
        <f t="shared" si="3"/>
        <v>449.5</v>
      </c>
      <c r="L27" s="44">
        <f t="shared" si="13"/>
        <v>168.73099999999999</v>
      </c>
      <c r="M27" s="42" t="s">
        <v>2392</v>
      </c>
      <c r="N27" s="52" t="str">
        <f t="shared" si="0"/>
        <v>(1,'PC-01-GO3','Poste de Coupure n°01 GO3','Tuesday-01-jj','Tuesday-01-jj',,1,),</v>
      </c>
    </row>
    <row r="28" spans="1:14" ht="20.100000000000001" customHeight="1" x14ac:dyDescent="0.25">
      <c r="A28" s="39">
        <v>2</v>
      </c>
      <c r="B28" s="48" t="str">
        <f t="shared" si="11"/>
        <v>PC-02-GO3</v>
      </c>
      <c r="C28" s="52" t="str">
        <f t="shared" si="12"/>
        <v>Poste de Coupure n°02 GO3</v>
      </c>
      <c r="D28" s="19">
        <v>39448</v>
      </c>
      <c r="E28" s="19">
        <v>39448</v>
      </c>
      <c r="F28" s="42"/>
      <c r="G28" s="42">
        <v>1</v>
      </c>
      <c r="H28" s="42"/>
      <c r="I28" s="42" t="s">
        <v>448</v>
      </c>
      <c r="J28" s="42" t="s">
        <v>2390</v>
      </c>
      <c r="K28" s="53">
        <f t="shared" si="3"/>
        <v>-1.6</v>
      </c>
      <c r="L28" s="44">
        <f t="shared" si="13"/>
        <v>348.56</v>
      </c>
      <c r="M28" s="42" t="s">
        <v>2393</v>
      </c>
      <c r="N28" s="52" t="str">
        <f t="shared" si="0"/>
        <v>(2,'PC-02-GO3','Poste de Coupure n°02 GO3','Tuesday-01-jj','Tuesday-01-jj',,1,),</v>
      </c>
    </row>
    <row r="29" spans="1:14" ht="20.100000000000001" customHeight="1" x14ac:dyDescent="0.25">
      <c r="A29" s="39">
        <v>3</v>
      </c>
      <c r="B29" s="48" t="str">
        <f t="shared" si="11"/>
        <v>PC-03-GO3</v>
      </c>
      <c r="C29" s="52" t="str">
        <f t="shared" si="12"/>
        <v>Poste de Coupure n°03 GO3</v>
      </c>
      <c r="D29" s="19">
        <v>39448</v>
      </c>
      <c r="E29" s="19">
        <v>39448</v>
      </c>
      <c r="F29" s="42"/>
      <c r="G29" s="42">
        <v>1</v>
      </c>
      <c r="H29" s="42"/>
      <c r="I29" s="42" t="s">
        <v>448</v>
      </c>
      <c r="J29" s="42" t="s">
        <v>2391</v>
      </c>
      <c r="K29" s="53">
        <f t="shared" si="3"/>
        <v>305</v>
      </c>
      <c r="L29" s="44">
        <f t="shared" si="13"/>
        <v>460.68</v>
      </c>
      <c r="M29" s="42" t="s">
        <v>2394</v>
      </c>
      <c r="N29" s="52" t="str">
        <f t="shared" si="0"/>
        <v>(3,'PC-03-GO3','Poste de Coupure n°03 GO3','Tuesday-01-jj','Tuesday-01-jj',,1,),</v>
      </c>
    </row>
    <row r="30" spans="1:14" ht="20.100000000000001" customHeight="1" x14ac:dyDescent="0.25">
      <c r="A30" s="39">
        <v>1</v>
      </c>
      <c r="B30" s="48" t="str">
        <f t="shared" si="11"/>
        <v>PC-01-GR1</v>
      </c>
      <c r="C30" s="52" t="str">
        <f t="shared" si="12"/>
        <v>Poste de Coupure n°01 GR1</v>
      </c>
      <c r="D30" s="19">
        <v>35065</v>
      </c>
      <c r="E30" s="19">
        <v>35065</v>
      </c>
      <c r="F30" s="42"/>
      <c r="G30" s="42">
        <v>1</v>
      </c>
      <c r="H30" s="42"/>
      <c r="I30" s="42" t="s">
        <v>419</v>
      </c>
      <c r="J30" s="42" t="s">
        <v>2482</v>
      </c>
      <c r="K30" s="53">
        <f t="shared" si="3"/>
        <v>555</v>
      </c>
      <c r="L30" s="44">
        <f t="shared" ref="L30:L49" si="14">VALUE(SUBSTITUTE(LEFT(J30,SEARCH("/",J30)-1),"+",","))</f>
        <v>101.01</v>
      </c>
      <c r="M30" s="42" t="s">
        <v>2492</v>
      </c>
      <c r="N30" s="52" t="str">
        <f t="shared" si="0"/>
        <v>(1,'PC-01-GR1','Poste de Coupure n°01 GR1','Monday-01-jj','Monday-01-jj',,1,),</v>
      </c>
    </row>
    <row r="31" spans="1:14" ht="20.100000000000001" customHeight="1" x14ac:dyDescent="0.25">
      <c r="A31" s="39">
        <v>2</v>
      </c>
      <c r="B31" s="48" t="str">
        <f t="shared" si="11"/>
        <v>PC-02-GR1</v>
      </c>
      <c r="C31" s="52" t="str">
        <f t="shared" si="12"/>
        <v>Poste de Coupure n°02 GR1</v>
      </c>
      <c r="D31" s="19">
        <v>35065</v>
      </c>
      <c r="E31" s="19">
        <v>35065</v>
      </c>
      <c r="F31" s="42"/>
      <c r="G31" s="42">
        <v>1</v>
      </c>
      <c r="H31" s="42"/>
      <c r="I31" s="42" t="s">
        <v>419</v>
      </c>
      <c r="J31" s="42" t="s">
        <v>2483</v>
      </c>
      <c r="K31" s="53">
        <f t="shared" si="3"/>
        <v>470</v>
      </c>
      <c r="L31" s="44">
        <f t="shared" si="14"/>
        <v>232.38</v>
      </c>
      <c r="M31" s="42" t="s">
        <v>2493</v>
      </c>
      <c r="N31" s="52" t="str">
        <f t="shared" si="0"/>
        <v>(2,'PC-02-GR1','Poste de Coupure n°02 GR1','Monday-01-jj','Monday-01-jj',,1,),</v>
      </c>
    </row>
    <row r="32" spans="1:14" ht="20.100000000000001" customHeight="1" x14ac:dyDescent="0.25">
      <c r="A32" s="39">
        <v>3</v>
      </c>
      <c r="B32" s="48" t="str">
        <f t="shared" ref="B32:B39" si="15">CONCATENATE("PC-",TEXT(A32,"00"),"-",I32)</f>
        <v>PC-03-GR1</v>
      </c>
      <c r="C32" s="52" t="str">
        <f t="shared" ref="C32:C39" si="16">CONCATENATE("Poste de Coupure n°",TEXT(A32,"00")," ",I32)</f>
        <v>Poste de Coupure n°03 GR1</v>
      </c>
      <c r="D32" s="19">
        <v>35065</v>
      </c>
      <c r="E32" s="19">
        <v>35065</v>
      </c>
      <c r="F32" s="42"/>
      <c r="G32" s="42">
        <v>1</v>
      </c>
      <c r="H32" s="42"/>
      <c r="I32" s="42" t="s">
        <v>419</v>
      </c>
      <c r="J32" s="42" t="s">
        <v>2484</v>
      </c>
      <c r="K32" s="53">
        <f t="shared" si="3"/>
        <v>348</v>
      </c>
      <c r="L32" s="44">
        <f t="shared" si="14"/>
        <v>298.375</v>
      </c>
      <c r="M32" s="42" t="s">
        <v>2494</v>
      </c>
      <c r="N32" s="52" t="str">
        <f t="shared" si="0"/>
        <v>(3,'PC-03-GR1','Poste de Coupure n°03 GR1','Monday-01-jj','Monday-01-jj',,1,),</v>
      </c>
    </row>
    <row r="33" spans="1:14" ht="20.100000000000001" customHeight="1" x14ac:dyDescent="0.25">
      <c r="A33" s="39">
        <v>4</v>
      </c>
      <c r="B33" s="48" t="str">
        <f t="shared" si="15"/>
        <v>PC-04-GR1</v>
      </c>
      <c r="C33" s="52" t="str">
        <f t="shared" si="16"/>
        <v>Poste de Coupure n°04 GR1</v>
      </c>
      <c r="D33" s="19">
        <v>35065</v>
      </c>
      <c r="E33" s="19">
        <v>35065</v>
      </c>
      <c r="F33" s="42"/>
      <c r="G33" s="42">
        <v>1</v>
      </c>
      <c r="H33" s="42"/>
      <c r="I33" s="42" t="s">
        <v>419</v>
      </c>
      <c r="J33" s="42" t="s">
        <v>2485</v>
      </c>
      <c r="K33" s="53">
        <f t="shared" si="3"/>
        <v>252</v>
      </c>
      <c r="L33" s="44">
        <f t="shared" si="14"/>
        <v>432.72</v>
      </c>
      <c r="M33" s="42" t="s">
        <v>2495</v>
      </c>
      <c r="N33" s="52" t="str">
        <f t="shared" si="0"/>
        <v>(4,'PC-04-GR1','Poste de Coupure n°04 GR1','Monday-01-jj','Monday-01-jj',,1,),</v>
      </c>
    </row>
    <row r="34" spans="1:14" ht="20.100000000000001" customHeight="1" x14ac:dyDescent="0.25">
      <c r="A34" s="39">
        <v>5</v>
      </c>
      <c r="B34" s="48" t="str">
        <f t="shared" si="15"/>
        <v>PC-05-GR1</v>
      </c>
      <c r="C34" s="52" t="str">
        <f t="shared" si="16"/>
        <v>Poste de Coupure n°05 GR1</v>
      </c>
      <c r="D34" s="19">
        <v>35065</v>
      </c>
      <c r="E34" s="19">
        <v>35065</v>
      </c>
      <c r="F34" s="42"/>
      <c r="G34" s="42">
        <v>1</v>
      </c>
      <c r="H34" s="42"/>
      <c r="I34" s="42" t="s">
        <v>419</v>
      </c>
      <c r="J34" s="42" t="s">
        <v>2486</v>
      </c>
      <c r="K34" s="53">
        <f t="shared" si="3"/>
        <v>208</v>
      </c>
      <c r="L34" s="44">
        <f t="shared" si="14"/>
        <v>505.54</v>
      </c>
      <c r="M34" s="42" t="s">
        <v>2496</v>
      </c>
      <c r="N34" s="52" t="str">
        <f t="shared" si="0"/>
        <v>(5,'PC-05-GR1','Poste de Coupure n°05 GR1','Monday-01-jj','Monday-01-jj',,1,),</v>
      </c>
    </row>
    <row r="35" spans="1:14" ht="20.100000000000001" customHeight="1" x14ac:dyDescent="0.25">
      <c r="A35" s="39">
        <v>6</v>
      </c>
      <c r="B35" s="48" t="str">
        <f t="shared" si="15"/>
        <v>PC-06-GR1</v>
      </c>
      <c r="C35" s="52" t="str">
        <f t="shared" si="16"/>
        <v>Poste de Coupure n°06 GR1</v>
      </c>
      <c r="D35" s="19">
        <v>35065</v>
      </c>
      <c r="E35" s="19">
        <v>35065</v>
      </c>
      <c r="F35" s="42"/>
      <c r="G35" s="42">
        <v>1</v>
      </c>
      <c r="H35" s="42"/>
      <c r="I35" s="42" t="s">
        <v>419</v>
      </c>
      <c r="J35" s="42" t="s">
        <v>2487</v>
      </c>
      <c r="K35" s="53">
        <f t="shared" si="3"/>
        <v>166</v>
      </c>
      <c r="L35" s="44">
        <f t="shared" si="14"/>
        <v>588.35</v>
      </c>
      <c r="M35" s="42" t="s">
        <v>2497</v>
      </c>
      <c r="N35" s="52" t="str">
        <f t="shared" si="0"/>
        <v>(6,'PC-06-GR1','Poste de Coupure n°06 GR1','Monday-01-jj','Monday-01-jj',,1,),</v>
      </c>
    </row>
    <row r="36" spans="1:14" ht="20.100000000000001" customHeight="1" x14ac:dyDescent="0.25">
      <c r="A36" s="39">
        <v>7</v>
      </c>
      <c r="B36" s="48" t="str">
        <f t="shared" si="15"/>
        <v>PC-07-GR1</v>
      </c>
      <c r="C36" s="52" t="str">
        <f t="shared" si="16"/>
        <v>Poste de Coupure n°07 GR1</v>
      </c>
      <c r="D36" s="19">
        <v>35065</v>
      </c>
      <c r="E36" s="19">
        <v>35065</v>
      </c>
      <c r="F36" s="42"/>
      <c r="G36" s="42">
        <v>1</v>
      </c>
      <c r="H36" s="42"/>
      <c r="I36" s="42" t="s">
        <v>419</v>
      </c>
      <c r="J36" s="42" t="s">
        <v>2488</v>
      </c>
      <c r="K36" s="53">
        <f t="shared" si="3"/>
        <v>169</v>
      </c>
      <c r="L36" s="44">
        <f t="shared" si="14"/>
        <v>655.66</v>
      </c>
      <c r="M36" s="42" t="s">
        <v>2500</v>
      </c>
      <c r="N36" s="52" t="str">
        <f t="shared" si="0"/>
        <v>(7,'PC-07-GR1','Poste de Coupure n°07 GR1','Monday-01-jj','Monday-01-jj',,1,),</v>
      </c>
    </row>
    <row r="37" spans="1:14" ht="20.100000000000001" customHeight="1" x14ac:dyDescent="0.25">
      <c r="A37" s="39">
        <v>8</v>
      </c>
      <c r="B37" s="48" t="str">
        <f t="shared" si="15"/>
        <v>PC-08-GR1</v>
      </c>
      <c r="C37" s="52" t="str">
        <f t="shared" si="16"/>
        <v>Poste de Coupure n°08 GR1</v>
      </c>
      <c r="D37" s="19">
        <v>35065</v>
      </c>
      <c r="E37" s="19">
        <v>35065</v>
      </c>
      <c r="F37" s="42"/>
      <c r="G37" s="42">
        <v>1</v>
      </c>
      <c r="H37" s="42"/>
      <c r="I37" s="42" t="s">
        <v>419</v>
      </c>
      <c r="J37" s="42" t="s">
        <v>2489</v>
      </c>
      <c r="K37" s="53">
        <f t="shared" si="3"/>
        <v>226</v>
      </c>
      <c r="L37" s="44">
        <f t="shared" si="14"/>
        <v>766.61099999999999</v>
      </c>
      <c r="M37" s="42" t="s">
        <v>2499</v>
      </c>
      <c r="N37" s="52" t="str">
        <f t="shared" si="0"/>
        <v>(8,'PC-08-GR1','Poste de Coupure n°08 GR1','Monday-01-jj','Monday-01-jj',,1,),</v>
      </c>
    </row>
    <row r="38" spans="1:14" ht="20.100000000000001" customHeight="1" x14ac:dyDescent="0.25">
      <c r="A38" s="39">
        <v>9</v>
      </c>
      <c r="B38" s="48" t="str">
        <f t="shared" si="15"/>
        <v>PC-09-GR1</v>
      </c>
      <c r="C38" s="52" t="str">
        <f t="shared" si="16"/>
        <v>Poste de Coupure n°09 GR1</v>
      </c>
      <c r="D38" s="19">
        <v>35065</v>
      </c>
      <c r="E38" s="19">
        <v>35065</v>
      </c>
      <c r="F38" s="42"/>
      <c r="G38" s="42">
        <v>1</v>
      </c>
      <c r="H38" s="42"/>
      <c r="I38" s="42" t="s">
        <v>419</v>
      </c>
      <c r="J38" s="42" t="s">
        <v>2490</v>
      </c>
      <c r="K38" s="53">
        <f t="shared" si="3"/>
        <v>400</v>
      </c>
      <c r="L38" s="44">
        <f t="shared" si="14"/>
        <v>867.89</v>
      </c>
      <c r="M38" s="42" t="s">
        <v>753</v>
      </c>
      <c r="N38" s="52" t="str">
        <f t="shared" si="0"/>
        <v>(9,'PC-09-GR1','Poste de Coupure n°09 GR1','Monday-01-jj','Monday-01-jj',,1,),</v>
      </c>
    </row>
    <row r="39" spans="1:14" ht="20.100000000000001" customHeight="1" x14ac:dyDescent="0.25">
      <c r="A39" s="39">
        <v>10</v>
      </c>
      <c r="B39" s="48" t="str">
        <f t="shared" si="15"/>
        <v>PC-10-GR1</v>
      </c>
      <c r="C39" s="52" t="str">
        <f t="shared" si="16"/>
        <v>Poste de Coupure n°10 GR1</v>
      </c>
      <c r="D39" s="19">
        <v>35065</v>
      </c>
      <c r="E39" s="19">
        <v>35065</v>
      </c>
      <c r="F39" s="42"/>
      <c r="G39" s="42">
        <v>1</v>
      </c>
      <c r="H39" s="42"/>
      <c r="I39" s="42" t="s">
        <v>419</v>
      </c>
      <c r="J39" s="42" t="s">
        <v>2491</v>
      </c>
      <c r="K39" s="53">
        <f t="shared" si="3"/>
        <v>779</v>
      </c>
      <c r="L39" s="44">
        <f t="shared" si="14"/>
        <v>961.47</v>
      </c>
      <c r="M39" s="45" t="s">
        <v>2498</v>
      </c>
      <c r="N39" s="52" t="str">
        <f t="shared" si="0"/>
        <v>(10,'PC-10-GR1','Poste de Coupure n°10 GR1','Monday-01-jj','Monday-01-jj',,1,),</v>
      </c>
    </row>
    <row r="40" spans="1:14" ht="20.100000000000001" customHeight="1" x14ac:dyDescent="0.25">
      <c r="A40" s="39">
        <v>1</v>
      </c>
      <c r="B40" s="48" t="str">
        <f t="shared" ref="B40:B50" si="17">CONCATENATE("PC-",TEXT(A40,"00"),"-",I40)</f>
        <v>PC-01-GR2</v>
      </c>
      <c r="C40" s="52" t="str">
        <f t="shared" ref="C40:C50" si="18">CONCATENATE("Poste de Coupure n°",TEXT(A40,"00")," ",I40)</f>
        <v>Poste de Coupure n°01 GR2</v>
      </c>
      <c r="D40" s="19">
        <v>36161</v>
      </c>
      <c r="E40" s="19">
        <v>36161</v>
      </c>
      <c r="F40" s="42"/>
      <c r="G40" s="42">
        <v>1</v>
      </c>
      <c r="H40" s="42"/>
      <c r="I40" s="42" t="s">
        <v>422</v>
      </c>
      <c r="J40" s="42" t="s">
        <v>2482</v>
      </c>
      <c r="K40" s="53">
        <f t="shared" si="3"/>
        <v>555</v>
      </c>
      <c r="L40" s="44">
        <f t="shared" si="14"/>
        <v>101.01</v>
      </c>
      <c r="M40" s="42" t="s">
        <v>2492</v>
      </c>
      <c r="N40" s="52" t="str">
        <f t="shared" si="0"/>
        <v>(1,'PC-01-GR2','Poste de Coupure n°01 GR2','Friday-01-jj','Friday-01-jj',,1,),</v>
      </c>
    </row>
    <row r="41" spans="1:14" ht="20.100000000000001" customHeight="1" x14ac:dyDescent="0.25">
      <c r="A41" s="39">
        <v>2</v>
      </c>
      <c r="B41" s="48" t="str">
        <f t="shared" si="17"/>
        <v>PC-02-GR2</v>
      </c>
      <c r="C41" s="52" t="str">
        <f t="shared" si="18"/>
        <v>Poste de Coupure n°02 GR2</v>
      </c>
      <c r="D41" s="19">
        <v>36161</v>
      </c>
      <c r="E41" s="19">
        <v>36161</v>
      </c>
      <c r="F41" s="42"/>
      <c r="G41" s="42">
        <v>1</v>
      </c>
      <c r="H41" s="42"/>
      <c r="I41" s="42" t="s">
        <v>422</v>
      </c>
      <c r="J41" s="42" t="s">
        <v>2483</v>
      </c>
      <c r="K41" s="53">
        <f t="shared" si="3"/>
        <v>470</v>
      </c>
      <c r="L41" s="44">
        <f t="shared" si="14"/>
        <v>232.38</v>
      </c>
      <c r="M41" s="42" t="s">
        <v>2493</v>
      </c>
      <c r="N41" s="52" t="str">
        <f t="shared" si="0"/>
        <v>(2,'PC-02-GR2','Poste de Coupure n°02 GR2','Friday-01-jj','Friday-01-jj',,1,),</v>
      </c>
    </row>
    <row r="42" spans="1:14" ht="20.100000000000001" customHeight="1" x14ac:dyDescent="0.25">
      <c r="A42" s="39">
        <v>3</v>
      </c>
      <c r="B42" s="48" t="str">
        <f t="shared" si="17"/>
        <v>PC-03-GR2</v>
      </c>
      <c r="C42" s="52" t="str">
        <f t="shared" si="18"/>
        <v>Poste de Coupure n°03 GR2</v>
      </c>
      <c r="D42" s="19">
        <v>36161</v>
      </c>
      <c r="E42" s="19">
        <v>36161</v>
      </c>
      <c r="F42" s="42"/>
      <c r="G42" s="42">
        <v>1</v>
      </c>
      <c r="H42" s="42"/>
      <c r="I42" s="42" t="s">
        <v>422</v>
      </c>
      <c r="J42" s="42" t="s">
        <v>2484</v>
      </c>
      <c r="K42" s="53">
        <f t="shared" si="3"/>
        <v>348</v>
      </c>
      <c r="L42" s="44">
        <f t="shared" si="14"/>
        <v>298.375</v>
      </c>
      <c r="M42" s="42" t="s">
        <v>2494</v>
      </c>
      <c r="N42" s="52" t="str">
        <f t="shared" si="0"/>
        <v>(3,'PC-03-GR2','Poste de Coupure n°03 GR2','Friday-01-jj','Friday-01-jj',,1,),</v>
      </c>
    </row>
    <row r="43" spans="1:14" ht="20.100000000000001" customHeight="1" x14ac:dyDescent="0.25">
      <c r="A43" s="39">
        <v>4</v>
      </c>
      <c r="B43" s="48" t="str">
        <f t="shared" si="17"/>
        <v>PC-04-GR2</v>
      </c>
      <c r="C43" s="52" t="str">
        <f t="shared" si="18"/>
        <v>Poste de Coupure n°04 GR2</v>
      </c>
      <c r="D43" s="19">
        <v>36161</v>
      </c>
      <c r="E43" s="19">
        <v>36161</v>
      </c>
      <c r="F43" s="42"/>
      <c r="G43" s="42">
        <v>1</v>
      </c>
      <c r="H43" s="42"/>
      <c r="I43" s="42" t="s">
        <v>422</v>
      </c>
      <c r="J43" s="42" t="s">
        <v>2485</v>
      </c>
      <c r="K43" s="53">
        <f t="shared" si="3"/>
        <v>252</v>
      </c>
      <c r="L43" s="44">
        <f t="shared" si="14"/>
        <v>432.72</v>
      </c>
      <c r="M43" s="42" t="s">
        <v>2495</v>
      </c>
      <c r="N43" s="52" t="str">
        <f t="shared" si="0"/>
        <v>(4,'PC-04-GR2','Poste de Coupure n°04 GR2','Friday-01-jj','Friday-01-jj',,1,),</v>
      </c>
    </row>
    <row r="44" spans="1:14" ht="20.100000000000001" customHeight="1" x14ac:dyDescent="0.25">
      <c r="A44" s="39">
        <v>5</v>
      </c>
      <c r="B44" s="48" t="str">
        <f t="shared" si="17"/>
        <v>PC-05-GR2</v>
      </c>
      <c r="C44" s="52" t="str">
        <f t="shared" si="18"/>
        <v>Poste de Coupure n°05 GR2</v>
      </c>
      <c r="D44" s="19">
        <v>36161</v>
      </c>
      <c r="E44" s="19">
        <v>36161</v>
      </c>
      <c r="F44" s="42"/>
      <c r="G44" s="42">
        <v>1</v>
      </c>
      <c r="H44" s="42"/>
      <c r="I44" s="42" t="s">
        <v>422</v>
      </c>
      <c r="J44" s="42" t="s">
        <v>2486</v>
      </c>
      <c r="K44" s="53">
        <f t="shared" si="3"/>
        <v>208</v>
      </c>
      <c r="L44" s="44">
        <f t="shared" si="14"/>
        <v>505.54</v>
      </c>
      <c r="M44" s="42" t="s">
        <v>2496</v>
      </c>
      <c r="N44" s="52" t="str">
        <f t="shared" si="0"/>
        <v>(5,'PC-05-GR2','Poste de Coupure n°05 GR2','Friday-01-jj','Friday-01-jj',,1,),</v>
      </c>
    </row>
    <row r="45" spans="1:14" ht="20.100000000000001" customHeight="1" x14ac:dyDescent="0.25">
      <c r="A45" s="39">
        <v>6</v>
      </c>
      <c r="B45" s="48" t="str">
        <f t="shared" si="17"/>
        <v>PC-06-GR2</v>
      </c>
      <c r="C45" s="52" t="str">
        <f t="shared" si="18"/>
        <v>Poste de Coupure n°06 GR2</v>
      </c>
      <c r="D45" s="19">
        <v>36161</v>
      </c>
      <c r="E45" s="19">
        <v>36161</v>
      </c>
      <c r="F45" s="42"/>
      <c r="G45" s="42">
        <v>1</v>
      </c>
      <c r="H45" s="42"/>
      <c r="I45" s="42" t="s">
        <v>422</v>
      </c>
      <c r="J45" s="42" t="s">
        <v>2487</v>
      </c>
      <c r="K45" s="53">
        <f t="shared" si="3"/>
        <v>166</v>
      </c>
      <c r="L45" s="44">
        <f t="shared" si="14"/>
        <v>588.35</v>
      </c>
      <c r="M45" s="42" t="s">
        <v>2497</v>
      </c>
      <c r="N45" s="52" t="str">
        <f t="shared" si="0"/>
        <v>(6,'PC-06-GR2','Poste de Coupure n°06 GR2','Friday-01-jj','Friday-01-jj',,1,),</v>
      </c>
    </row>
    <row r="46" spans="1:14" ht="20.100000000000001" customHeight="1" x14ac:dyDescent="0.25">
      <c r="A46" s="39">
        <v>7</v>
      </c>
      <c r="B46" s="48" t="str">
        <f t="shared" si="17"/>
        <v>PC-07-GR2</v>
      </c>
      <c r="C46" s="52" t="str">
        <f t="shared" si="18"/>
        <v>Poste de Coupure n°07 GR2</v>
      </c>
      <c r="D46" s="19">
        <v>36161</v>
      </c>
      <c r="E46" s="19">
        <v>36161</v>
      </c>
      <c r="F46" s="42"/>
      <c r="G46" s="42">
        <v>1</v>
      </c>
      <c r="H46" s="42"/>
      <c r="I46" s="42" t="s">
        <v>422</v>
      </c>
      <c r="J46" s="42" t="s">
        <v>2488</v>
      </c>
      <c r="K46" s="53">
        <f t="shared" si="3"/>
        <v>169</v>
      </c>
      <c r="L46" s="44">
        <f t="shared" si="14"/>
        <v>655.66</v>
      </c>
      <c r="M46" s="42" t="s">
        <v>2500</v>
      </c>
      <c r="N46" s="52" t="str">
        <f t="shared" si="0"/>
        <v>(7,'PC-07-GR2','Poste de Coupure n°07 GR2','Friday-01-jj','Friday-01-jj',,1,),</v>
      </c>
    </row>
    <row r="47" spans="1:14" ht="20.100000000000001" customHeight="1" x14ac:dyDescent="0.25">
      <c r="A47" s="39">
        <v>8</v>
      </c>
      <c r="B47" s="48" t="str">
        <f t="shared" si="17"/>
        <v>PC-08-GR2</v>
      </c>
      <c r="C47" s="52" t="str">
        <f t="shared" si="18"/>
        <v>Poste de Coupure n°08 GR2</v>
      </c>
      <c r="D47" s="19">
        <v>36161</v>
      </c>
      <c r="E47" s="19">
        <v>36161</v>
      </c>
      <c r="F47" s="42"/>
      <c r="G47" s="42">
        <v>1</v>
      </c>
      <c r="H47" s="42"/>
      <c r="I47" s="42" t="s">
        <v>422</v>
      </c>
      <c r="J47" s="42" t="s">
        <v>2489</v>
      </c>
      <c r="K47" s="53">
        <f t="shared" si="3"/>
        <v>226</v>
      </c>
      <c r="L47" s="44">
        <f t="shared" si="14"/>
        <v>766.61099999999999</v>
      </c>
      <c r="M47" s="42" t="s">
        <v>2499</v>
      </c>
      <c r="N47" s="52" t="str">
        <f t="shared" si="0"/>
        <v>(8,'PC-08-GR2','Poste de Coupure n°08 GR2','Friday-01-jj','Friday-01-jj',,1,),</v>
      </c>
    </row>
    <row r="48" spans="1:14" ht="20.100000000000001" customHeight="1" x14ac:dyDescent="0.25">
      <c r="A48" s="39">
        <v>9</v>
      </c>
      <c r="B48" s="48" t="str">
        <f t="shared" si="17"/>
        <v>PC-09-GR2</v>
      </c>
      <c r="C48" s="52" t="str">
        <f t="shared" si="18"/>
        <v>Poste de Coupure n°09 GR2</v>
      </c>
      <c r="D48" s="19">
        <v>36161</v>
      </c>
      <c r="E48" s="19">
        <v>36161</v>
      </c>
      <c r="F48" s="42"/>
      <c r="G48" s="42">
        <v>1</v>
      </c>
      <c r="H48" s="42"/>
      <c r="I48" s="42" t="s">
        <v>422</v>
      </c>
      <c r="J48" s="42" t="s">
        <v>2490</v>
      </c>
      <c r="K48" s="53">
        <f t="shared" si="3"/>
        <v>400</v>
      </c>
      <c r="L48" s="44">
        <f t="shared" si="14"/>
        <v>867.89</v>
      </c>
      <c r="M48" s="42" t="s">
        <v>753</v>
      </c>
      <c r="N48" s="52" t="str">
        <f t="shared" si="0"/>
        <v>(9,'PC-09-GR2','Poste de Coupure n°09 GR2','Friday-01-jj','Friday-01-jj',,1,),</v>
      </c>
    </row>
    <row r="49" spans="1:14" ht="20.100000000000001" customHeight="1" x14ac:dyDescent="0.25">
      <c r="A49" s="39">
        <v>10</v>
      </c>
      <c r="B49" s="48" t="str">
        <f t="shared" si="17"/>
        <v>PC-10-GR2</v>
      </c>
      <c r="C49" s="52" t="str">
        <f t="shared" si="18"/>
        <v>Poste de Coupure n°10 GR2</v>
      </c>
      <c r="D49" s="19">
        <v>36161</v>
      </c>
      <c r="E49" s="19">
        <v>36161</v>
      </c>
      <c r="F49" s="42"/>
      <c r="G49" s="42">
        <v>1</v>
      </c>
      <c r="H49" s="42"/>
      <c r="I49" s="42" t="s">
        <v>422</v>
      </c>
      <c r="J49" s="42" t="s">
        <v>2491</v>
      </c>
      <c r="K49" s="53">
        <f t="shared" si="3"/>
        <v>779</v>
      </c>
      <c r="L49" s="44">
        <f t="shared" si="14"/>
        <v>961.47</v>
      </c>
      <c r="M49" s="45" t="s">
        <v>2498</v>
      </c>
      <c r="N49" s="52" t="str">
        <f t="shared" si="0"/>
        <v>(10,'PC-10-GR2','Poste de Coupure n°10 GR2','Friday-01-jj','Friday-01-jj',,1,),</v>
      </c>
    </row>
    <row r="50" spans="1:14" ht="20.100000000000001" customHeight="1" x14ac:dyDescent="0.25">
      <c r="A50" s="39">
        <v>1</v>
      </c>
      <c r="B50" s="48" t="str">
        <f t="shared" si="17"/>
        <v>PC-01-GR4</v>
      </c>
      <c r="C50" s="52" t="str">
        <f t="shared" si="18"/>
        <v>Poste de Coupure n°01 GR4</v>
      </c>
      <c r="D50" s="19">
        <v>41640</v>
      </c>
      <c r="E50" s="19">
        <v>41640</v>
      </c>
      <c r="F50" s="42"/>
      <c r="G50" s="42">
        <v>1</v>
      </c>
      <c r="H50" s="42"/>
      <c r="I50" s="42" t="s">
        <v>427</v>
      </c>
      <c r="J50" s="42" t="s">
        <v>2501</v>
      </c>
      <c r="K50" s="53">
        <f t="shared" si="3"/>
        <v>208</v>
      </c>
      <c r="L50" s="44">
        <f t="shared" ref="L50:L55" si="19">VALUE(SUBSTITUTE(LEFT(J50,SEARCH("/",J50)-1),"+",","))</f>
        <v>73</v>
      </c>
      <c r="M50" s="42" t="s">
        <v>2496</v>
      </c>
      <c r="N50" s="52" t="str">
        <f t="shared" si="0"/>
        <v>(1,'PC-01-GR4','Poste de Coupure n°01 GR4','Wednesday-01-jj','Wednesday-01-jj',,1,),</v>
      </c>
    </row>
    <row r="51" spans="1:14" ht="20.100000000000001" customHeight="1" x14ac:dyDescent="0.25">
      <c r="A51" s="39">
        <v>2</v>
      </c>
      <c r="B51" s="48" t="str">
        <f t="shared" ref="B51:B56" si="20">CONCATENATE("PC-",TEXT(A51,"00"),"-",I51)</f>
        <v>PC-02-GR4</v>
      </c>
      <c r="C51" s="52" t="str">
        <f t="shared" ref="C51:C56" si="21">CONCATENATE("Poste de Coupure n°",TEXT(A51,"00")," ",I51)</f>
        <v>Poste de Coupure n°02 GR4</v>
      </c>
      <c r="D51" s="19">
        <v>41640</v>
      </c>
      <c r="E51" s="19">
        <v>41640</v>
      </c>
      <c r="F51" s="42"/>
      <c r="G51" s="42">
        <v>1</v>
      </c>
      <c r="H51" s="42"/>
      <c r="I51" s="42" t="s">
        <v>427</v>
      </c>
      <c r="J51" s="42" t="s">
        <v>2502</v>
      </c>
      <c r="K51" s="53">
        <f t="shared" si="3"/>
        <v>166</v>
      </c>
      <c r="L51" s="44">
        <f t="shared" si="19"/>
        <v>154.65</v>
      </c>
      <c r="M51" s="42" t="s">
        <v>2497</v>
      </c>
      <c r="N51" s="52" t="str">
        <f t="shared" si="0"/>
        <v>(2,'PC-02-GR4','Poste de Coupure n°02 GR4','Wednesday-01-jj','Wednesday-01-jj',,1,),</v>
      </c>
    </row>
    <row r="52" spans="1:14" ht="20.100000000000001" customHeight="1" x14ac:dyDescent="0.25">
      <c r="A52" s="39">
        <v>3</v>
      </c>
      <c r="B52" s="48" t="str">
        <f t="shared" si="20"/>
        <v>PC-03-GR4</v>
      </c>
      <c r="C52" s="52" t="str">
        <f t="shared" si="21"/>
        <v>Poste de Coupure n°03 GR4</v>
      </c>
      <c r="D52" s="19">
        <v>41640</v>
      </c>
      <c r="E52" s="19">
        <v>41640</v>
      </c>
      <c r="F52" s="42"/>
      <c r="G52" s="42">
        <v>1</v>
      </c>
      <c r="H52" s="42"/>
      <c r="I52" s="42" t="s">
        <v>427</v>
      </c>
      <c r="J52" s="42" t="s">
        <v>2503</v>
      </c>
      <c r="K52" s="53">
        <f t="shared" si="3"/>
        <v>169</v>
      </c>
      <c r="L52" s="44">
        <f t="shared" si="19"/>
        <v>222.92599999999999</v>
      </c>
      <c r="M52" s="42" t="s">
        <v>2500</v>
      </c>
      <c r="N52" s="52" t="str">
        <f t="shared" si="0"/>
        <v>(3,'PC-03-GR4','Poste de Coupure n°03 GR4','Wednesday-01-jj','Wednesday-01-jj',,1,),</v>
      </c>
    </row>
    <row r="53" spans="1:14" ht="20.100000000000001" customHeight="1" x14ac:dyDescent="0.25">
      <c r="A53" s="39">
        <v>4</v>
      </c>
      <c r="B53" s="48" t="str">
        <f t="shared" si="20"/>
        <v>PC-04-GR4</v>
      </c>
      <c r="C53" s="52" t="str">
        <f t="shared" si="21"/>
        <v>Poste de Coupure n°04 GR4</v>
      </c>
      <c r="D53" s="19">
        <v>41640</v>
      </c>
      <c r="E53" s="19">
        <v>41640</v>
      </c>
      <c r="F53" s="42"/>
      <c r="G53" s="42">
        <v>1</v>
      </c>
      <c r="H53" s="42"/>
      <c r="I53" s="42" t="s">
        <v>427</v>
      </c>
      <c r="J53" s="42" t="s">
        <v>2504</v>
      </c>
      <c r="K53" s="53">
        <f t="shared" si="3"/>
        <v>226</v>
      </c>
      <c r="L53" s="44">
        <f t="shared" si="19"/>
        <v>336.62700000000001</v>
      </c>
      <c r="M53" s="42" t="s">
        <v>2499</v>
      </c>
      <c r="N53" s="52" t="str">
        <f t="shared" si="0"/>
        <v>(4,'PC-04-GR4','Poste de Coupure n°04 GR4','Wednesday-01-jj','Wednesday-01-jj',,1,),</v>
      </c>
    </row>
    <row r="54" spans="1:14" ht="20.100000000000001" customHeight="1" x14ac:dyDescent="0.25">
      <c r="A54" s="39">
        <v>5</v>
      </c>
      <c r="B54" s="48" t="str">
        <f t="shared" si="20"/>
        <v>PC-05-GR4</v>
      </c>
      <c r="C54" s="52" t="str">
        <f t="shared" si="21"/>
        <v>Poste de Coupure n°05 GR4</v>
      </c>
      <c r="D54" s="19">
        <v>41640</v>
      </c>
      <c r="E54" s="19">
        <v>41640</v>
      </c>
      <c r="F54" s="42"/>
      <c r="G54" s="42">
        <v>1</v>
      </c>
      <c r="H54" s="42"/>
      <c r="I54" s="42" t="s">
        <v>427</v>
      </c>
      <c r="J54" s="42" t="s">
        <v>2505</v>
      </c>
      <c r="K54" s="53">
        <f t="shared" si="3"/>
        <v>400</v>
      </c>
      <c r="L54" s="44">
        <f t="shared" si="19"/>
        <v>437.654</v>
      </c>
      <c r="M54" s="42" t="s">
        <v>753</v>
      </c>
      <c r="N54" s="52" t="str">
        <f t="shared" si="0"/>
        <v>(5,'PC-05-GR4','Poste de Coupure n°05 GR4','Wednesday-01-jj','Wednesday-01-jj',,1,),</v>
      </c>
    </row>
    <row r="55" spans="1:14" ht="20.100000000000001" customHeight="1" x14ac:dyDescent="0.25">
      <c r="A55" s="39">
        <v>6</v>
      </c>
      <c r="B55" s="48" t="str">
        <f t="shared" si="20"/>
        <v>PC-06-GR4</v>
      </c>
      <c r="C55" s="52" t="str">
        <f t="shared" si="21"/>
        <v>Poste de Coupure n°06 GR4</v>
      </c>
      <c r="D55" s="19">
        <v>41640</v>
      </c>
      <c r="E55" s="19">
        <v>41640</v>
      </c>
      <c r="F55" s="42"/>
      <c r="G55" s="42">
        <v>1</v>
      </c>
      <c r="H55" s="42"/>
      <c r="I55" s="42" t="s">
        <v>427</v>
      </c>
      <c r="J55" s="42" t="s">
        <v>2506</v>
      </c>
      <c r="K55" s="53">
        <f t="shared" si="3"/>
        <v>779</v>
      </c>
      <c r="L55" s="44">
        <f t="shared" si="19"/>
        <v>530.5</v>
      </c>
      <c r="M55" s="45" t="s">
        <v>2498</v>
      </c>
      <c r="N55" s="52" t="str">
        <f t="shared" si="0"/>
        <v>(6,'PC-06-GR4','Poste de Coupure n°06 GR4','Wednesday-01-jj','Wednesday-01-jj',,1,),</v>
      </c>
    </row>
    <row r="56" spans="1:14" ht="20.100000000000001" customHeight="1" x14ac:dyDescent="0.25">
      <c r="A56" s="39">
        <v>1</v>
      </c>
      <c r="B56" s="48" t="str">
        <f t="shared" si="20"/>
        <v>PC-01-GR6</v>
      </c>
      <c r="C56" s="52" t="str">
        <f t="shared" si="21"/>
        <v>Poste de Coupure n°01 GR6</v>
      </c>
      <c r="D56" s="19">
        <v>42736</v>
      </c>
      <c r="E56" s="19">
        <v>42736</v>
      </c>
      <c r="F56" s="42"/>
      <c r="G56" s="42">
        <v>1</v>
      </c>
      <c r="H56" s="42"/>
      <c r="I56" s="42" t="s">
        <v>432</v>
      </c>
      <c r="J56" s="42" t="s">
        <v>2507</v>
      </c>
      <c r="K56" s="69">
        <v>0</v>
      </c>
      <c r="L56" s="44">
        <f>VALUE(SUBSTITUTE(J56,"+",","))</f>
        <v>71.302999999999997</v>
      </c>
      <c r="M56" s="42" t="s">
        <v>2496</v>
      </c>
      <c r="N56" s="52" t="str">
        <f t="shared" si="0"/>
        <v>(1,'PC-01-GR6','Poste de Coupure n°01 GR6','Sunday-01-jj','Sunday-01-jj',,1,),</v>
      </c>
    </row>
    <row r="57" spans="1:14" ht="20.100000000000001" customHeight="1" x14ac:dyDescent="0.25">
      <c r="A57" s="39">
        <v>2</v>
      </c>
      <c r="B57" s="48" t="str">
        <f t="shared" ref="B57:B63" si="22">CONCATENATE("PC-",TEXT(A57,"00"),"-",I57)</f>
        <v>PC-02-GR6</v>
      </c>
      <c r="C57" s="52" t="str">
        <f t="shared" ref="C57:C63" si="23">CONCATENATE("Poste de Coupure n°",TEXT(A57,"00")," ",I57)</f>
        <v>Poste de Coupure n°02 GR6</v>
      </c>
      <c r="D57" s="19">
        <v>42736</v>
      </c>
      <c r="E57" s="19">
        <v>42736</v>
      </c>
      <c r="F57" s="42"/>
      <c r="G57" s="42">
        <v>1</v>
      </c>
      <c r="H57" s="42"/>
      <c r="I57" s="42" t="s">
        <v>432</v>
      </c>
      <c r="J57" s="42" t="s">
        <v>2508</v>
      </c>
      <c r="K57" s="69">
        <v>0</v>
      </c>
      <c r="L57" s="44">
        <f t="shared" ref="L57:L61" si="24">VALUE(SUBSTITUTE(J57,"+",","))</f>
        <v>153.892</v>
      </c>
      <c r="M57" s="42" t="s">
        <v>2497</v>
      </c>
      <c r="N57" s="52" t="str">
        <f t="shared" si="0"/>
        <v>(2,'PC-02-GR6','Poste de Coupure n°02 GR6','Sunday-01-jj','Sunday-01-jj',,1,),</v>
      </c>
    </row>
    <row r="58" spans="1:14" ht="20.100000000000001" customHeight="1" x14ac:dyDescent="0.25">
      <c r="A58" s="39">
        <v>3</v>
      </c>
      <c r="B58" s="48" t="str">
        <f t="shared" si="22"/>
        <v>PC-03-GR6</v>
      </c>
      <c r="C58" s="52" t="str">
        <f t="shared" si="23"/>
        <v>Poste de Coupure n°03 GR6</v>
      </c>
      <c r="D58" s="19">
        <v>42736</v>
      </c>
      <c r="E58" s="19">
        <v>42736</v>
      </c>
      <c r="F58" s="42"/>
      <c r="G58" s="42">
        <v>1</v>
      </c>
      <c r="H58" s="42"/>
      <c r="I58" s="42" t="s">
        <v>432</v>
      </c>
      <c r="J58" s="42" t="s">
        <v>2509</v>
      </c>
      <c r="K58" s="69">
        <v>0</v>
      </c>
      <c r="L58" s="44">
        <f t="shared" si="24"/>
        <v>221.60599999999999</v>
      </c>
      <c r="M58" s="42" t="s">
        <v>2500</v>
      </c>
      <c r="N58" s="52" t="str">
        <f t="shared" si="0"/>
        <v>(3,'PC-03-GR6','Poste de Coupure n°03 GR6','Sunday-01-jj','Sunday-01-jj',,1,),</v>
      </c>
    </row>
    <row r="59" spans="1:14" ht="20.100000000000001" customHeight="1" x14ac:dyDescent="0.25">
      <c r="A59" s="39">
        <v>4</v>
      </c>
      <c r="B59" s="48" t="str">
        <f t="shared" si="22"/>
        <v>PC-04-GR6</v>
      </c>
      <c r="C59" s="52" t="str">
        <f t="shared" si="23"/>
        <v>Poste de Coupure n°04 GR6</v>
      </c>
      <c r="D59" s="19">
        <v>42736</v>
      </c>
      <c r="E59" s="19">
        <v>42736</v>
      </c>
      <c r="F59" s="42"/>
      <c r="G59" s="42">
        <v>1</v>
      </c>
      <c r="H59" s="42"/>
      <c r="I59" s="42" t="s">
        <v>432</v>
      </c>
      <c r="J59" s="42" t="s">
        <v>2510</v>
      </c>
      <c r="K59" s="69">
        <v>0</v>
      </c>
      <c r="L59" s="44">
        <f t="shared" si="24"/>
        <v>332.8</v>
      </c>
      <c r="M59" s="42" t="s">
        <v>2499</v>
      </c>
      <c r="N59" s="52" t="str">
        <f t="shared" si="0"/>
        <v>(4,'PC-04-GR6','Poste de Coupure n°04 GR6','Sunday-01-jj','Sunday-01-jj',,1,),</v>
      </c>
    </row>
    <row r="60" spans="1:14" ht="20.100000000000001" customHeight="1" x14ac:dyDescent="0.25">
      <c r="A60" s="39">
        <v>5</v>
      </c>
      <c r="B60" s="48" t="str">
        <f t="shared" si="22"/>
        <v>PC-05-GR6</v>
      </c>
      <c r="C60" s="52" t="str">
        <f t="shared" si="23"/>
        <v>Poste de Coupure n°05 GR6</v>
      </c>
      <c r="D60" s="19">
        <v>42736</v>
      </c>
      <c r="E60" s="19">
        <v>42736</v>
      </c>
      <c r="F60" s="42"/>
      <c r="G60" s="42">
        <v>1</v>
      </c>
      <c r="H60" s="42"/>
      <c r="I60" s="42" t="s">
        <v>432</v>
      </c>
      <c r="J60" s="42" t="s">
        <v>2511</v>
      </c>
      <c r="K60" s="69">
        <v>0</v>
      </c>
      <c r="L60" s="44">
        <f t="shared" si="24"/>
        <v>433.755</v>
      </c>
      <c r="M60" s="42" t="s">
        <v>753</v>
      </c>
      <c r="N60" s="52" t="str">
        <f t="shared" si="0"/>
        <v>(5,'PC-05-GR6','Poste de Coupure n°05 GR6','Sunday-01-jj','Sunday-01-jj',,1,),</v>
      </c>
    </row>
    <row r="61" spans="1:14" ht="20.100000000000001" customHeight="1" x14ac:dyDescent="0.25">
      <c r="A61" s="39">
        <v>6</v>
      </c>
      <c r="B61" s="48" t="str">
        <f t="shared" si="22"/>
        <v>PC-06-GR6</v>
      </c>
      <c r="C61" s="52" t="str">
        <f t="shared" si="23"/>
        <v>Poste de Coupure n°06 GR6</v>
      </c>
      <c r="D61" s="19">
        <v>42736</v>
      </c>
      <c r="E61" s="19">
        <v>42736</v>
      </c>
      <c r="F61" s="42"/>
      <c r="G61" s="42">
        <v>1</v>
      </c>
      <c r="H61" s="42"/>
      <c r="I61" s="42" t="s">
        <v>432</v>
      </c>
      <c r="J61" s="42" t="s">
        <v>2512</v>
      </c>
      <c r="K61" s="69">
        <v>0</v>
      </c>
      <c r="L61" s="44">
        <f t="shared" si="24"/>
        <v>522.98</v>
      </c>
      <c r="M61" s="45" t="s">
        <v>2498</v>
      </c>
      <c r="N61" s="52" t="str">
        <f t="shared" si="0"/>
        <v>(6,'PC-06-GR6','Poste de Coupure n°06 GR6','Sunday-01-jj','Sunday-01-jj',,1,),</v>
      </c>
    </row>
    <row r="62" spans="1:14" ht="20.100000000000001" customHeight="1" x14ac:dyDescent="0.25">
      <c r="A62" s="39">
        <v>1</v>
      </c>
      <c r="B62" s="48" t="str">
        <f t="shared" si="22"/>
        <v>PC-01-GR5</v>
      </c>
      <c r="C62" s="52" t="str">
        <f t="shared" si="23"/>
        <v>Poste de Coupure n°01 GR5</v>
      </c>
      <c r="D62" s="19">
        <v>42887</v>
      </c>
      <c r="E62" s="19">
        <v>42887</v>
      </c>
      <c r="F62" s="42"/>
      <c r="G62" s="42">
        <v>1</v>
      </c>
      <c r="H62" s="42"/>
      <c r="I62" s="42" t="s">
        <v>429</v>
      </c>
      <c r="J62" s="42" t="s">
        <v>2752</v>
      </c>
      <c r="K62" s="53">
        <f t="shared" si="3"/>
        <v>406</v>
      </c>
      <c r="L62" s="44">
        <f t="shared" ref="L62" si="25">VALUE(SUBSTITUTE(LEFT(J62,SEARCH("/",J62)-1),"+",","))</f>
        <v>75</v>
      </c>
      <c r="M62" s="42" t="s">
        <v>2771</v>
      </c>
      <c r="N62" s="52" t="str">
        <f t="shared" si="0"/>
        <v>(1,'PC-01-GR5','Poste de Coupure n°01 GR5','Thursday-06-jj','Thursday-06-jj',,1,),</v>
      </c>
    </row>
    <row r="63" spans="1:14" ht="20.100000000000001" customHeight="1" x14ac:dyDescent="0.25">
      <c r="A63" s="39">
        <v>2</v>
      </c>
      <c r="B63" s="48" t="str">
        <f t="shared" si="22"/>
        <v>PC-02-GR5</v>
      </c>
      <c r="C63" s="52" t="str">
        <f t="shared" si="23"/>
        <v>Poste de Coupure n°02 GR5</v>
      </c>
      <c r="D63" s="19">
        <v>42887</v>
      </c>
      <c r="E63" s="19">
        <v>42887</v>
      </c>
      <c r="F63" s="42"/>
      <c r="G63" s="42">
        <v>1</v>
      </c>
      <c r="H63" s="42"/>
      <c r="I63" s="42" t="s">
        <v>429</v>
      </c>
      <c r="J63" s="42" t="s">
        <v>2753</v>
      </c>
      <c r="K63" s="53">
        <f t="shared" si="3"/>
        <v>410.5</v>
      </c>
      <c r="L63" s="44">
        <f t="shared" ref="L63:L68" si="26">VALUE(SUBSTITUTE(LEFT(J63,SEARCH("/",J63)-1),"+",","))</f>
        <v>195</v>
      </c>
      <c r="M63" s="42" t="s">
        <v>2772</v>
      </c>
      <c r="N63" s="52" t="str">
        <f t="shared" si="0"/>
        <v>(2,'PC-02-GR5','Poste de Coupure n°02 GR5','Thursday-06-jj','Thursday-06-jj',,1,),</v>
      </c>
    </row>
    <row r="64" spans="1:14" ht="20.100000000000001" customHeight="1" x14ac:dyDescent="0.25">
      <c r="A64" s="39">
        <v>3</v>
      </c>
      <c r="B64" s="48" t="str">
        <f t="shared" ref="B64:B69" si="27">CONCATENATE("PC-",TEXT(A64,"00"),"-",I64)</f>
        <v>PC-03-GR5</v>
      </c>
      <c r="C64" s="52" t="str">
        <f t="shared" ref="C64:C69" si="28">CONCATENATE("Poste de Coupure n°",TEXT(A64,"00")," ",I64)</f>
        <v>Poste de Coupure n°03 GR5</v>
      </c>
      <c r="D64" s="19">
        <v>42887</v>
      </c>
      <c r="E64" s="19">
        <v>42887</v>
      </c>
      <c r="F64" s="42"/>
      <c r="G64" s="42">
        <v>1</v>
      </c>
      <c r="H64" s="42"/>
      <c r="I64" s="42" t="s">
        <v>429</v>
      </c>
      <c r="J64" s="42" t="s">
        <v>2754</v>
      </c>
      <c r="K64" s="53">
        <f t="shared" si="3"/>
        <v>429</v>
      </c>
      <c r="L64" s="44">
        <f t="shared" si="26"/>
        <v>309</v>
      </c>
      <c r="M64" s="64" t="s">
        <v>2770</v>
      </c>
      <c r="N64" s="52" t="str">
        <f t="shared" si="0"/>
        <v>(3,'PC-03-GR5','Poste de Coupure n°03 GR5','Thursday-06-jj','Thursday-06-jj',,1,),</v>
      </c>
    </row>
    <row r="65" spans="1:14" ht="20.100000000000001" customHeight="1" x14ac:dyDescent="0.25">
      <c r="A65" s="39">
        <v>4</v>
      </c>
      <c r="B65" s="48" t="str">
        <f t="shared" si="27"/>
        <v>PC-04-GR5</v>
      </c>
      <c r="C65" s="52" t="str">
        <f t="shared" si="28"/>
        <v>Poste de Coupure n°04 GR5</v>
      </c>
      <c r="D65" s="19">
        <v>42887</v>
      </c>
      <c r="E65" s="19">
        <v>42887</v>
      </c>
      <c r="F65" s="42"/>
      <c r="G65" s="42">
        <v>1</v>
      </c>
      <c r="H65" s="42"/>
      <c r="I65" s="42" t="s">
        <v>429</v>
      </c>
      <c r="J65" s="42" t="s">
        <v>2755</v>
      </c>
      <c r="K65" s="53">
        <f t="shared" si="3"/>
        <v>425</v>
      </c>
      <c r="L65" s="44">
        <f t="shared" si="26"/>
        <v>418</v>
      </c>
      <c r="M65" s="64" t="s">
        <v>2770</v>
      </c>
      <c r="N65" s="52" t="str">
        <f t="shared" si="0"/>
        <v>(4,'PC-04-GR5','Poste de Coupure n°04 GR5','Thursday-06-jj','Thursday-06-jj',,1,),</v>
      </c>
    </row>
    <row r="66" spans="1:14" ht="20.100000000000001" customHeight="1" x14ac:dyDescent="0.25">
      <c r="A66" s="39">
        <v>5</v>
      </c>
      <c r="B66" s="48" t="str">
        <f t="shared" si="27"/>
        <v>PC-05-GR5</v>
      </c>
      <c r="C66" s="52" t="str">
        <f t="shared" si="28"/>
        <v>Poste de Coupure n°05 GR5</v>
      </c>
      <c r="D66" s="19">
        <v>42887</v>
      </c>
      <c r="E66" s="19">
        <v>42887</v>
      </c>
      <c r="F66" s="42"/>
      <c r="G66" s="42">
        <v>1</v>
      </c>
      <c r="H66" s="42"/>
      <c r="I66" s="42" t="s">
        <v>429</v>
      </c>
      <c r="J66" s="42" t="s">
        <v>2756</v>
      </c>
      <c r="K66" s="53">
        <f t="shared" si="3"/>
        <v>458</v>
      </c>
      <c r="L66" s="44">
        <f t="shared" si="26"/>
        <v>533</v>
      </c>
      <c r="M66" s="62" t="s">
        <v>2769</v>
      </c>
      <c r="N66" s="52" t="str">
        <f t="shared" si="0"/>
        <v>(5,'PC-05-GR5','Poste de Coupure n°05 GR5','Thursday-06-jj','Thursday-06-jj',,1,),</v>
      </c>
    </row>
    <row r="67" spans="1:14" ht="20.100000000000001" customHeight="1" x14ac:dyDescent="0.25">
      <c r="A67" s="39">
        <v>6</v>
      </c>
      <c r="B67" s="48" t="str">
        <f t="shared" si="27"/>
        <v>PC-06-GR5</v>
      </c>
      <c r="C67" s="52" t="str">
        <f t="shared" si="28"/>
        <v>Poste de Coupure n°06 GR5</v>
      </c>
      <c r="D67" s="19">
        <v>42887</v>
      </c>
      <c r="E67" s="19">
        <v>42887</v>
      </c>
      <c r="F67" s="42"/>
      <c r="G67" s="42">
        <v>1</v>
      </c>
      <c r="H67" s="42"/>
      <c r="I67" s="42" t="s">
        <v>429</v>
      </c>
      <c r="J67" s="42" t="s">
        <v>2757</v>
      </c>
      <c r="K67" s="53">
        <f t="shared" si="3"/>
        <v>538</v>
      </c>
      <c r="L67" s="44">
        <f t="shared" si="26"/>
        <v>649.55899999999997</v>
      </c>
      <c r="M67" s="42" t="s">
        <v>2768</v>
      </c>
      <c r="N67" s="52" t="str">
        <f t="shared" ref="N67:N79" si="29">CONCATENATE("(",A67,",'",B67,"','",C67,"','",TEXT(D67,"aaaa-mm-jj"),"','",TEXT(E67,"aaaa-mm-jj"),"',",F67,",",G67,",",H67,"),")</f>
        <v>(6,'PC-06-GR5','Poste de Coupure n°06 GR5','Thursday-06-jj','Thursday-06-jj',,1,),</v>
      </c>
    </row>
    <row r="68" spans="1:14" ht="20.100000000000001" customHeight="1" x14ac:dyDescent="0.25">
      <c r="A68" s="39">
        <v>7</v>
      </c>
      <c r="B68" s="48" t="str">
        <f t="shared" si="27"/>
        <v>PC-07-GR5</v>
      </c>
      <c r="C68" s="52" t="str">
        <f t="shared" si="28"/>
        <v>Poste de Coupure n°07 GR5</v>
      </c>
      <c r="D68" s="19">
        <v>42887</v>
      </c>
      <c r="E68" s="19">
        <v>42887</v>
      </c>
      <c r="F68" s="42"/>
      <c r="G68" s="42">
        <v>1</v>
      </c>
      <c r="H68" s="42"/>
      <c r="I68" s="42" t="s">
        <v>429</v>
      </c>
      <c r="J68" s="42" t="s">
        <v>2758</v>
      </c>
      <c r="K68" s="53">
        <f t="shared" ref="K68:K74" si="30">VALUE(RIGHT(J68,LEN(J68)-SEARCH("/",J68)))</f>
        <v>763</v>
      </c>
      <c r="L68" s="44">
        <f t="shared" si="26"/>
        <v>762.59</v>
      </c>
      <c r="M68" s="62" t="s">
        <v>2767</v>
      </c>
      <c r="N68" s="52" t="str">
        <f t="shared" si="29"/>
        <v>(7,'PC-07-GR5','Poste de Coupure n°07 GR5','Thursday-06-jj','Thursday-06-jj',,1,),</v>
      </c>
    </row>
    <row r="69" spans="1:14" ht="20.100000000000001" customHeight="1" x14ac:dyDescent="0.25">
      <c r="A69" s="39">
        <v>1</v>
      </c>
      <c r="B69" s="48" t="str">
        <f t="shared" si="27"/>
        <v>PC-01-GR7</v>
      </c>
      <c r="C69" s="52" t="str">
        <f t="shared" si="28"/>
        <v>Poste de Coupure n°01 GR7</v>
      </c>
      <c r="D69" s="19">
        <v>43830</v>
      </c>
      <c r="E69" s="19">
        <v>43830</v>
      </c>
      <c r="F69" s="42"/>
      <c r="G69" s="42">
        <v>1</v>
      </c>
      <c r="H69" s="42"/>
      <c r="I69" s="42" t="s">
        <v>435</v>
      </c>
      <c r="J69" s="42" t="s">
        <v>2762</v>
      </c>
      <c r="K69" s="53">
        <f t="shared" si="30"/>
        <v>458</v>
      </c>
      <c r="L69" s="44">
        <f t="shared" ref="L69:L70" si="31">VALUE(SUBSTITUTE(LEFT(J69,SEARCH("/",J69)-1),"+",","))</f>
        <v>115</v>
      </c>
      <c r="M69" s="62" t="s">
        <v>2765</v>
      </c>
      <c r="N69" s="52" t="str">
        <f t="shared" si="29"/>
        <v>(1,'PC-01-GR7','Poste de Coupure n°01 GR7','Tuesday-12-jj','Tuesday-12-jj',,1,),</v>
      </c>
    </row>
    <row r="70" spans="1:14" ht="20.100000000000001" customHeight="1" x14ac:dyDescent="0.25">
      <c r="A70" s="39">
        <v>2</v>
      </c>
      <c r="B70" s="48" t="str">
        <f t="shared" ref="B70:B86" si="32">CONCATENATE("PC-",TEXT(A70,"00"),"-",I70)</f>
        <v>PC-02-GR7</v>
      </c>
      <c r="C70" s="52" t="str">
        <f t="shared" ref="C70:C86" si="33">CONCATENATE("Poste de Coupure n°",TEXT(A70,"00")," ",I70)</f>
        <v>Poste de Coupure n°02 GR7</v>
      </c>
      <c r="D70" s="19">
        <v>43830</v>
      </c>
      <c r="E70" s="19">
        <v>43830</v>
      </c>
      <c r="F70" s="42"/>
      <c r="G70" s="42">
        <v>1</v>
      </c>
      <c r="H70" s="42"/>
      <c r="I70" s="42" t="s">
        <v>435</v>
      </c>
      <c r="J70" s="42" t="s">
        <v>2763</v>
      </c>
      <c r="K70" s="53">
        <f t="shared" si="30"/>
        <v>536</v>
      </c>
      <c r="L70" s="44">
        <f t="shared" si="31"/>
        <v>231</v>
      </c>
      <c r="M70" s="42" t="s">
        <v>2766</v>
      </c>
      <c r="N70" s="52" t="str">
        <f t="shared" si="29"/>
        <v>(2,'PC-02-GR7','Poste de Coupure n°02 GR7','Tuesday-12-jj','Tuesday-12-jj',,1,),</v>
      </c>
    </row>
    <row r="71" spans="1:14" ht="20.100000000000001" customHeight="1" x14ac:dyDescent="0.25">
      <c r="A71" s="39">
        <v>1</v>
      </c>
      <c r="B71" s="40" t="str">
        <f t="shared" si="32"/>
        <v>PC-01-GZ0</v>
      </c>
      <c r="C71" s="52" t="str">
        <f t="shared" si="33"/>
        <v>Poste de Coupure n°01 GZ0</v>
      </c>
      <c r="D71" s="19">
        <v>22282</v>
      </c>
      <c r="E71" s="19">
        <v>22282</v>
      </c>
      <c r="F71" s="19">
        <v>44838</v>
      </c>
      <c r="G71" s="42">
        <v>0</v>
      </c>
      <c r="H71" s="42"/>
      <c r="I71" s="42" t="s">
        <v>371</v>
      </c>
      <c r="J71" s="42" t="s">
        <v>2828</v>
      </c>
      <c r="K71" s="53">
        <f t="shared" si="30"/>
        <v>820.4</v>
      </c>
      <c r="L71" s="44">
        <f t="shared" ref="L71:L74" si="34">VALUE(SUBSTITUTE(LEFT(J71,SEARCH("/",J71)-1),"+",","))</f>
        <v>114.15900000000001</v>
      </c>
      <c r="M71" s="42" t="s">
        <v>2832</v>
      </c>
      <c r="N71" s="52" t="str">
        <f t="shared" si="29"/>
        <v>(1,'PC-01-GZ0','Poste de Coupure n°01 GZ0','1961-01-01','1961-01-01',44838,0,),</v>
      </c>
    </row>
    <row r="72" spans="1:14" ht="20.100000000000001" customHeight="1" x14ac:dyDescent="0.25">
      <c r="A72" s="39">
        <v>2</v>
      </c>
      <c r="B72" s="40" t="str">
        <f t="shared" si="32"/>
        <v>PC-02-GZ0</v>
      </c>
      <c r="C72" s="52" t="str">
        <f t="shared" si="33"/>
        <v>Poste de Coupure n°02 GZ0</v>
      </c>
      <c r="D72" s="19">
        <v>22282</v>
      </c>
      <c r="E72" s="19">
        <v>22282</v>
      </c>
      <c r="F72" s="19">
        <v>44838</v>
      </c>
      <c r="G72" s="42">
        <v>0</v>
      </c>
      <c r="H72" s="42"/>
      <c r="I72" s="42" t="s">
        <v>371</v>
      </c>
      <c r="J72" s="42" t="s">
        <v>2829</v>
      </c>
      <c r="K72" s="53">
        <f t="shared" si="30"/>
        <v>970.8</v>
      </c>
      <c r="L72" s="44">
        <f t="shared" si="34"/>
        <v>226.49700000000001</v>
      </c>
      <c r="M72" s="42" t="s">
        <v>2833</v>
      </c>
      <c r="N72" s="52" t="str">
        <f t="shared" si="29"/>
        <v>(2,'PC-02-GZ0','Poste de Coupure n°02 GZ0','1961-01-01','1961-01-01',44838,0,),</v>
      </c>
    </row>
    <row r="73" spans="1:14" ht="20.100000000000001" customHeight="1" x14ac:dyDescent="0.25">
      <c r="A73" s="39">
        <v>3</v>
      </c>
      <c r="B73" s="40" t="str">
        <f t="shared" si="32"/>
        <v>PC-03-GZ0</v>
      </c>
      <c r="C73" s="52" t="str">
        <f t="shared" si="33"/>
        <v>Poste de Coupure n°03 GZ0</v>
      </c>
      <c r="D73" s="19">
        <v>22282</v>
      </c>
      <c r="E73" s="19">
        <v>22282</v>
      </c>
      <c r="F73" s="19">
        <v>44838</v>
      </c>
      <c r="G73" s="42">
        <v>0</v>
      </c>
      <c r="H73" s="42"/>
      <c r="I73" s="42" t="s">
        <v>371</v>
      </c>
      <c r="J73" s="42" t="s">
        <v>2830</v>
      </c>
      <c r="K73" s="53">
        <f t="shared" si="30"/>
        <v>1032.2</v>
      </c>
      <c r="L73" s="44">
        <f t="shared" si="34"/>
        <v>333.91899999999998</v>
      </c>
      <c r="M73" s="42" t="s">
        <v>2834</v>
      </c>
      <c r="N73" s="52" t="str">
        <f t="shared" si="29"/>
        <v>(3,'PC-03-GZ0','Poste de Coupure n°03 GZ0','1961-01-01','1961-01-01',44838,0,),</v>
      </c>
    </row>
    <row r="74" spans="1:14" ht="20.100000000000001" customHeight="1" x14ac:dyDescent="0.25">
      <c r="A74" s="39">
        <v>4</v>
      </c>
      <c r="B74" s="40" t="str">
        <f t="shared" si="32"/>
        <v>PC-04-GZ0</v>
      </c>
      <c r="C74" s="52" t="str">
        <f t="shared" si="33"/>
        <v>Poste de Coupure n°04 GZ0</v>
      </c>
      <c r="D74" s="19">
        <v>22282</v>
      </c>
      <c r="E74" s="19">
        <v>22282</v>
      </c>
      <c r="F74" s="19">
        <v>44838</v>
      </c>
      <c r="G74" s="42">
        <v>0</v>
      </c>
      <c r="H74" s="42"/>
      <c r="I74" s="42" t="s">
        <v>371</v>
      </c>
      <c r="J74" s="42" t="s">
        <v>2831</v>
      </c>
      <c r="K74" s="53">
        <f t="shared" si="30"/>
        <v>80.900000000000006</v>
      </c>
      <c r="L74" s="44">
        <f t="shared" si="34"/>
        <v>421.30700000000002</v>
      </c>
      <c r="M74" s="42" t="s">
        <v>2835</v>
      </c>
      <c r="N74" s="52" t="str">
        <f t="shared" si="29"/>
        <v>(4,'PC-04-GZ0','Poste de Coupure n°04 GZ0','1961-01-01','1961-01-01',44838,0,),</v>
      </c>
    </row>
    <row r="75" spans="1:14" ht="20.100000000000001" customHeight="1" x14ac:dyDescent="0.25">
      <c r="A75" s="39">
        <v>1</v>
      </c>
      <c r="B75" s="40" t="str">
        <f t="shared" si="32"/>
        <v>PC-01-GZ1</v>
      </c>
      <c r="C75" s="52" t="str">
        <f t="shared" si="33"/>
        <v>Poste de Coupure n°01 GZ1</v>
      </c>
      <c r="D75" s="19">
        <v>27760</v>
      </c>
      <c r="E75" s="19">
        <v>27760</v>
      </c>
      <c r="F75" s="70"/>
      <c r="G75" s="42">
        <v>1</v>
      </c>
      <c r="H75" s="42"/>
      <c r="I75" s="42" t="s">
        <v>376</v>
      </c>
      <c r="J75" s="42" t="s">
        <v>2919</v>
      </c>
      <c r="K75" s="53">
        <f t="shared" ref="K75:K79" si="35">VALUE(RIGHT(J75,LEN(J75)-SEARCH("/",J75)))</f>
        <v>840</v>
      </c>
      <c r="L75" s="44">
        <f t="shared" ref="L75:L79" si="36">VALUE(SUBSTITUTE(LEFT(J75,SEARCH("/",J75)-1),"+",","))</f>
        <v>74.867000000000004</v>
      </c>
      <c r="M75" s="42" t="s">
        <v>2924</v>
      </c>
      <c r="N75" s="52" t="str">
        <f t="shared" si="29"/>
        <v>(1,'PC-01-GZ1','Poste de Coupure n°01 GZ1','1976-01-01','1976-01-01',,1,),</v>
      </c>
    </row>
    <row r="76" spans="1:14" ht="20.100000000000001" customHeight="1" x14ac:dyDescent="0.25">
      <c r="A76" s="39">
        <v>2</v>
      </c>
      <c r="B76" s="40" t="str">
        <f t="shared" si="32"/>
        <v>PC-02-GZ1</v>
      </c>
      <c r="C76" s="52" t="str">
        <f t="shared" si="33"/>
        <v>Poste de Coupure n°02 GZ1</v>
      </c>
      <c r="D76" s="19">
        <v>27760</v>
      </c>
      <c r="E76" s="19">
        <v>27760</v>
      </c>
      <c r="F76" s="42"/>
      <c r="G76" s="42">
        <v>1</v>
      </c>
      <c r="H76" s="42"/>
      <c r="I76" s="42" t="s">
        <v>376</v>
      </c>
      <c r="J76" s="42" t="s">
        <v>2920</v>
      </c>
      <c r="K76" s="53">
        <f t="shared" si="35"/>
        <v>1045</v>
      </c>
      <c r="L76" s="44">
        <f t="shared" si="36"/>
        <v>144.71799999999999</v>
      </c>
      <c r="M76" s="42" t="s">
        <v>2925</v>
      </c>
      <c r="N76" s="52" t="str">
        <f t="shared" si="29"/>
        <v>(2,'PC-02-GZ1','Poste de Coupure n°02 GZ1','1976-01-01','1976-01-01',,1,),</v>
      </c>
    </row>
    <row r="77" spans="1:14" ht="20.100000000000001" customHeight="1" x14ac:dyDescent="0.25">
      <c r="A77" s="39">
        <v>3</v>
      </c>
      <c r="B77" s="40" t="str">
        <f t="shared" si="32"/>
        <v>PC-03-GZ1</v>
      </c>
      <c r="C77" s="52" t="str">
        <f t="shared" si="33"/>
        <v>Poste de Coupure n°03 GZ1</v>
      </c>
      <c r="D77" s="19">
        <v>27760</v>
      </c>
      <c r="E77" s="19">
        <v>27760</v>
      </c>
      <c r="F77" s="42"/>
      <c r="G77" s="42">
        <v>1</v>
      </c>
      <c r="H77" s="42"/>
      <c r="I77" s="42" t="s">
        <v>376</v>
      </c>
      <c r="J77" s="42" t="s">
        <v>2921</v>
      </c>
      <c r="K77" s="53">
        <f t="shared" si="35"/>
        <v>970</v>
      </c>
      <c r="L77" s="44">
        <f t="shared" si="36"/>
        <v>226.64400000000001</v>
      </c>
      <c r="M77" s="42" t="s">
        <v>2833</v>
      </c>
      <c r="N77" s="52" t="str">
        <f t="shared" si="29"/>
        <v>(3,'PC-03-GZ1','Poste de Coupure n°03 GZ1','1976-01-01','1976-01-01',,1,),</v>
      </c>
    </row>
    <row r="78" spans="1:14" ht="20.100000000000001" customHeight="1" x14ac:dyDescent="0.25">
      <c r="A78" s="39">
        <v>4</v>
      </c>
      <c r="B78" s="40" t="str">
        <f t="shared" si="32"/>
        <v>PC-04-GZ1</v>
      </c>
      <c r="C78" s="52" t="str">
        <f t="shared" si="33"/>
        <v>Poste de Coupure n°04 GZ1</v>
      </c>
      <c r="D78" s="19">
        <v>27760</v>
      </c>
      <c r="E78" s="19">
        <v>27760</v>
      </c>
      <c r="F78" s="42"/>
      <c r="G78" s="42">
        <v>1</v>
      </c>
      <c r="H78" s="42"/>
      <c r="I78" s="42" t="s">
        <v>376</v>
      </c>
      <c r="J78" s="42" t="s">
        <v>2922</v>
      </c>
      <c r="K78" s="53">
        <f t="shared" si="35"/>
        <v>1235</v>
      </c>
      <c r="L78" s="44">
        <f t="shared" si="36"/>
        <v>295.44</v>
      </c>
      <c r="M78" s="42" t="s">
        <v>2926</v>
      </c>
      <c r="N78" s="52" t="str">
        <f t="shared" si="29"/>
        <v>(4,'PC-04-GZ1','Poste de Coupure n°04 GZ1','1976-01-01','1976-01-01',,1,),</v>
      </c>
    </row>
    <row r="79" spans="1:14" ht="20.100000000000001" customHeight="1" x14ac:dyDescent="0.25">
      <c r="A79" s="39">
        <v>5</v>
      </c>
      <c r="B79" s="40" t="str">
        <f t="shared" si="32"/>
        <v>PC-05-GZ1</v>
      </c>
      <c r="C79" s="52" t="str">
        <f t="shared" si="33"/>
        <v>Poste de Coupure n°05 GZ1</v>
      </c>
      <c r="D79" s="19">
        <v>27760</v>
      </c>
      <c r="E79" s="19">
        <v>27760</v>
      </c>
      <c r="F79" s="42"/>
      <c r="G79" s="42">
        <v>1</v>
      </c>
      <c r="H79" s="42"/>
      <c r="I79" s="42" t="s">
        <v>376</v>
      </c>
      <c r="J79" s="42" t="s">
        <v>2923</v>
      </c>
      <c r="K79" s="53">
        <f t="shared" si="35"/>
        <v>525</v>
      </c>
      <c r="L79" s="44">
        <f t="shared" si="36"/>
        <v>397.76499999999999</v>
      </c>
      <c r="M79" s="42" t="s">
        <v>2927</v>
      </c>
      <c r="N79" s="52" t="str">
        <f t="shared" si="29"/>
        <v>(5,'PC-05-GZ1','Poste de Coupure n°05 GZ1','1976-01-01','1976-01-01',,1,),</v>
      </c>
    </row>
    <row r="80" spans="1:14" ht="20.100000000000001" customHeight="1" x14ac:dyDescent="0.25">
      <c r="A80" s="39">
        <v>1</v>
      </c>
      <c r="B80" s="40" t="str">
        <f t="shared" si="32"/>
        <v>PC-01-GZ4</v>
      </c>
      <c r="C80" s="52" t="str">
        <f t="shared" si="33"/>
        <v>Poste de Coupure n°01 GZ4</v>
      </c>
      <c r="D80" s="19">
        <v>39838</v>
      </c>
      <c r="E80" s="19">
        <v>39838</v>
      </c>
      <c r="F80" s="42"/>
      <c r="G80" s="42">
        <v>1</v>
      </c>
      <c r="H80" s="42"/>
      <c r="I80" s="42" t="s">
        <v>646</v>
      </c>
      <c r="J80" s="42" t="s">
        <v>2982</v>
      </c>
      <c r="K80" s="53">
        <f t="shared" ref="K80:K84" si="37">VALUE(RIGHT(J80,LEN(J80)-SEARCH("/",J80)))</f>
        <v>840</v>
      </c>
      <c r="L80" s="44">
        <f t="shared" ref="L80:L84" si="38">VALUE(SUBSTITUTE(LEFT(J80,SEARCH("/",J80)-1),"+",","))</f>
        <v>74.231999999999999</v>
      </c>
      <c r="M80" s="42" t="s">
        <v>2987</v>
      </c>
      <c r="N80" s="52" t="str">
        <f t="shared" ref="N80:N135" si="39">CONCATENATE("(",A80,",'",B80,"','",C80,"','",TEXT(D80,"aaaa-mm-jj"),"','",TEXT(E80,"aaaa-mm-jj"),"',",F80,",",G80,",",H80,"),")</f>
        <v>(1,'PC-01-GZ4','Poste de Coupure n°01 GZ4','2009-01-25','2009-01-25',,1,),</v>
      </c>
    </row>
    <row r="81" spans="1:14" ht="20.100000000000001" customHeight="1" x14ac:dyDescent="0.25">
      <c r="A81" s="39">
        <v>2</v>
      </c>
      <c r="B81" s="40" t="str">
        <f t="shared" si="32"/>
        <v>PC-02-GZ4</v>
      </c>
      <c r="C81" s="52" t="str">
        <f t="shared" si="33"/>
        <v>Poste de Coupure n°02 GZ4</v>
      </c>
      <c r="D81" s="19">
        <v>39838</v>
      </c>
      <c r="E81" s="19">
        <v>39838</v>
      </c>
      <c r="F81" s="42"/>
      <c r="G81" s="42">
        <v>1</v>
      </c>
      <c r="H81" s="42"/>
      <c r="I81" s="42" t="s">
        <v>646</v>
      </c>
      <c r="J81" s="42" t="s">
        <v>2983</v>
      </c>
      <c r="K81" s="53">
        <f t="shared" si="37"/>
        <v>1045</v>
      </c>
      <c r="L81" s="44">
        <f t="shared" si="38"/>
        <v>145.01499999999999</v>
      </c>
      <c r="M81" s="42" t="s">
        <v>2925</v>
      </c>
      <c r="N81" s="52" t="str">
        <f t="shared" si="39"/>
        <v>(2,'PC-02-GZ4','Poste de Coupure n°02 GZ4','2009-01-25','2009-01-25',,1,),</v>
      </c>
    </row>
    <row r="82" spans="1:14" ht="20.100000000000001" customHeight="1" x14ac:dyDescent="0.25">
      <c r="A82" s="39">
        <v>3</v>
      </c>
      <c r="B82" s="40" t="str">
        <f t="shared" si="32"/>
        <v>PC-03-GZ4</v>
      </c>
      <c r="C82" s="52" t="str">
        <f t="shared" si="33"/>
        <v>Poste de Coupure n°03 GZ4</v>
      </c>
      <c r="D82" s="19">
        <v>39838</v>
      </c>
      <c r="E82" s="19">
        <v>39838</v>
      </c>
      <c r="F82" s="42"/>
      <c r="G82" s="42">
        <v>1</v>
      </c>
      <c r="H82" s="42"/>
      <c r="I82" s="42" t="s">
        <v>646</v>
      </c>
      <c r="J82" s="42" t="s">
        <v>2984</v>
      </c>
      <c r="K82" s="53">
        <f t="shared" si="37"/>
        <v>970</v>
      </c>
      <c r="L82" s="44">
        <f t="shared" si="38"/>
        <v>225.51</v>
      </c>
      <c r="M82" s="42" t="s">
        <v>2833</v>
      </c>
      <c r="N82" s="52" t="str">
        <f t="shared" si="39"/>
        <v>(3,'PC-03-GZ4','Poste de Coupure n°03 GZ4','2009-01-25','2009-01-25',,1,),</v>
      </c>
    </row>
    <row r="83" spans="1:14" ht="20.100000000000001" customHeight="1" x14ac:dyDescent="0.25">
      <c r="A83" s="39">
        <v>4</v>
      </c>
      <c r="B83" s="40" t="str">
        <f t="shared" si="32"/>
        <v>PC-04-GZ4</v>
      </c>
      <c r="C83" s="52" t="str">
        <f t="shared" si="33"/>
        <v>Poste de Coupure n°04 GZ4</v>
      </c>
      <c r="D83" s="19">
        <v>39838</v>
      </c>
      <c r="E83" s="19">
        <v>39838</v>
      </c>
      <c r="F83" s="42"/>
      <c r="G83" s="42">
        <v>1</v>
      </c>
      <c r="H83" s="42"/>
      <c r="I83" s="42" t="s">
        <v>646</v>
      </c>
      <c r="J83" s="42" t="s">
        <v>2985</v>
      </c>
      <c r="K83" s="53">
        <f t="shared" si="37"/>
        <v>1235</v>
      </c>
      <c r="L83" s="44">
        <f t="shared" si="38"/>
        <v>297.202</v>
      </c>
      <c r="M83" s="42" t="s">
        <v>2926</v>
      </c>
      <c r="N83" s="52" t="str">
        <f t="shared" si="39"/>
        <v>(4,'PC-04-GZ4','Poste de Coupure n°04 GZ4','2009-01-25','2009-01-25',,1,),</v>
      </c>
    </row>
    <row r="84" spans="1:14" ht="20.100000000000001" customHeight="1" x14ac:dyDescent="0.25">
      <c r="A84" s="39">
        <v>5</v>
      </c>
      <c r="B84" s="40" t="str">
        <f t="shared" si="32"/>
        <v>PC-05-GZ4</v>
      </c>
      <c r="C84" s="52" t="str">
        <f t="shared" si="33"/>
        <v>Poste de Coupure n°05 GZ4</v>
      </c>
      <c r="D84" s="19">
        <v>40021</v>
      </c>
      <c r="E84" s="19">
        <v>40021</v>
      </c>
      <c r="F84" s="42"/>
      <c r="G84" s="42">
        <v>1</v>
      </c>
      <c r="H84" s="42"/>
      <c r="I84" s="42" t="s">
        <v>646</v>
      </c>
      <c r="J84" s="42" t="s">
        <v>2986</v>
      </c>
      <c r="K84" s="53">
        <f t="shared" si="37"/>
        <v>506</v>
      </c>
      <c r="L84" s="44">
        <f t="shared" si="38"/>
        <v>399.89600000000002</v>
      </c>
      <c r="M84" s="42" t="s">
        <v>2927</v>
      </c>
      <c r="N84" s="52" t="str">
        <f t="shared" si="39"/>
        <v>(5,'PC-05-GZ4','Poste de Coupure n°05 GZ4','2009-07-27','2009-07-27',,1,),</v>
      </c>
    </row>
    <row r="85" spans="1:14" ht="20.100000000000001" customHeight="1" x14ac:dyDescent="0.25">
      <c r="A85" s="39">
        <v>1</v>
      </c>
      <c r="B85" s="40" t="str">
        <f t="shared" si="32"/>
        <v>PC-01-GK1</v>
      </c>
      <c r="C85" s="52" t="str">
        <f t="shared" si="33"/>
        <v>Poste de Coupure n°01 GK1</v>
      </c>
      <c r="D85" s="19">
        <v>28491</v>
      </c>
      <c r="E85" s="19">
        <v>28491</v>
      </c>
      <c r="F85" s="42"/>
      <c r="G85" s="42">
        <v>1</v>
      </c>
      <c r="H85" s="42"/>
      <c r="I85" s="42" t="s">
        <v>398</v>
      </c>
      <c r="J85" s="42" t="s">
        <v>3013</v>
      </c>
      <c r="K85" s="53">
        <f t="shared" ref="K85:K89" si="40">VALUE(RIGHT(J85,LEN(J85)-SEARCH("/",J85)))</f>
        <v>715.5</v>
      </c>
      <c r="L85" s="44">
        <f t="shared" ref="L85:L89" si="41">VALUE(SUBSTITUTE(LEFT(J85,SEARCH("/",J85)-1),"+",","))</f>
        <v>83.215000000000003</v>
      </c>
      <c r="M85" s="42" t="s">
        <v>2078</v>
      </c>
      <c r="N85" s="52" t="str">
        <f t="shared" si="39"/>
        <v>(1,'PC-01-GK1','Poste de Coupure n°01 GK1','1978-01-01','1978-01-01',,1,),</v>
      </c>
    </row>
    <row r="86" spans="1:14" ht="20.100000000000001" customHeight="1" x14ac:dyDescent="0.25">
      <c r="A86" s="39">
        <v>2</v>
      </c>
      <c r="B86" s="40" t="str">
        <f t="shared" si="32"/>
        <v>PC-02-GK1</v>
      </c>
      <c r="C86" s="52" t="str">
        <f t="shared" si="33"/>
        <v>Poste de Coupure n°02 GK1</v>
      </c>
      <c r="D86" s="19">
        <v>28491</v>
      </c>
      <c r="E86" s="19">
        <v>28491</v>
      </c>
      <c r="F86" s="42"/>
      <c r="G86" s="42">
        <v>1</v>
      </c>
      <c r="H86" s="42"/>
      <c r="I86" s="42" t="s">
        <v>398</v>
      </c>
      <c r="J86" s="42" t="s">
        <v>3014</v>
      </c>
      <c r="K86" s="53">
        <f t="shared" si="40"/>
        <v>397</v>
      </c>
      <c r="L86" s="44">
        <f t="shared" si="41"/>
        <v>179.37299999999999</v>
      </c>
      <c r="M86" s="42" t="s">
        <v>3018</v>
      </c>
      <c r="N86" s="52" t="str">
        <f t="shared" si="39"/>
        <v>(2,'PC-02-GK1','Poste de Coupure n°02 GK1','1978-01-01','1978-01-01',,1,),</v>
      </c>
    </row>
    <row r="87" spans="1:14" ht="20.100000000000001" customHeight="1" x14ac:dyDescent="0.25">
      <c r="A87" s="39">
        <v>3</v>
      </c>
      <c r="B87" s="40" t="str">
        <f t="shared" ref="B87:B90" si="42">CONCATENATE("PC-",TEXT(A87,"00"),"-",I87)</f>
        <v>PC-03-GK1</v>
      </c>
      <c r="C87" s="52" t="str">
        <f t="shared" ref="C87:C90" si="43">CONCATENATE("Poste de Coupure n°",TEXT(A87,"00")," ",I87)</f>
        <v>Poste de Coupure n°03 GK1</v>
      </c>
      <c r="D87" s="19">
        <v>28491</v>
      </c>
      <c r="E87" s="19">
        <v>28491</v>
      </c>
      <c r="F87" s="42"/>
      <c r="G87" s="42">
        <v>1</v>
      </c>
      <c r="H87" s="42"/>
      <c r="I87" s="42" t="s">
        <v>398</v>
      </c>
      <c r="J87" s="42" t="s">
        <v>3015</v>
      </c>
      <c r="K87" s="53">
        <f t="shared" si="40"/>
        <v>389</v>
      </c>
      <c r="L87" s="44">
        <f t="shared" si="41"/>
        <v>270.78500000000003</v>
      </c>
      <c r="M87" s="42" t="s">
        <v>2079</v>
      </c>
      <c r="N87" s="52" t="str">
        <f t="shared" si="39"/>
        <v>(3,'PC-03-GK1','Poste de Coupure n°03 GK1','1978-01-01','1978-01-01',,1,),</v>
      </c>
    </row>
    <row r="88" spans="1:14" ht="20.100000000000001" customHeight="1" x14ac:dyDescent="0.25">
      <c r="A88" s="39">
        <v>4</v>
      </c>
      <c r="B88" s="40" t="str">
        <f t="shared" si="42"/>
        <v>PC-04-GK1</v>
      </c>
      <c r="C88" s="52" t="str">
        <f t="shared" si="43"/>
        <v>Poste de Coupure n°04 GK1</v>
      </c>
      <c r="D88" s="19">
        <v>28491</v>
      </c>
      <c r="E88" s="19">
        <v>28491</v>
      </c>
      <c r="F88" s="42"/>
      <c r="G88" s="42">
        <v>1</v>
      </c>
      <c r="H88" s="42"/>
      <c r="I88" s="42" t="s">
        <v>398</v>
      </c>
      <c r="J88" s="42" t="s">
        <v>3016</v>
      </c>
      <c r="K88" s="53">
        <f t="shared" si="40"/>
        <v>575</v>
      </c>
      <c r="L88" s="44">
        <f t="shared" si="41"/>
        <v>354.89</v>
      </c>
      <c r="M88" s="42" t="s">
        <v>2081</v>
      </c>
      <c r="N88" s="52" t="str">
        <f t="shared" si="39"/>
        <v>(4,'PC-04-GK1','Poste de Coupure n°04 GK1','1978-01-01','1978-01-01',,1,),</v>
      </c>
    </row>
    <row r="89" spans="1:14" ht="20.100000000000001" customHeight="1" x14ac:dyDescent="0.25">
      <c r="A89" s="39">
        <v>5</v>
      </c>
      <c r="B89" s="40" t="str">
        <f t="shared" si="42"/>
        <v>PC-05-GK1</v>
      </c>
      <c r="C89" s="52" t="str">
        <f t="shared" si="43"/>
        <v>Poste de Coupure n°05 GK1</v>
      </c>
      <c r="D89" s="19">
        <v>28491</v>
      </c>
      <c r="E89" s="19">
        <v>28491</v>
      </c>
      <c r="F89" s="42"/>
      <c r="G89" s="42">
        <v>1</v>
      </c>
      <c r="H89" s="42"/>
      <c r="I89" s="42" t="s">
        <v>398</v>
      </c>
      <c r="J89" s="42" t="s">
        <v>3017</v>
      </c>
      <c r="K89" s="53">
        <f t="shared" si="40"/>
        <v>926</v>
      </c>
      <c r="L89" s="44">
        <f t="shared" si="41"/>
        <v>430.79</v>
      </c>
      <c r="M89" s="42" t="s">
        <v>3019</v>
      </c>
      <c r="N89" s="52" t="str">
        <f t="shared" si="39"/>
        <v>(5,'PC-05-GK1','Poste de Coupure n°05 GK1','1978-01-01','1978-01-01',,1,),</v>
      </c>
    </row>
    <row r="90" spans="1:14" ht="20.100000000000001" customHeight="1" x14ac:dyDescent="0.25">
      <c r="A90" s="39">
        <v>1</v>
      </c>
      <c r="B90" s="40" t="str">
        <f t="shared" si="42"/>
        <v>PC-01-OZ1</v>
      </c>
      <c r="C90" s="52" t="str">
        <f t="shared" si="43"/>
        <v>Poste de Coupure n°01 OZ1</v>
      </c>
      <c r="D90" s="19">
        <v>24053</v>
      </c>
      <c r="E90" s="19">
        <v>24053</v>
      </c>
      <c r="F90" s="42"/>
      <c r="G90" s="42">
        <v>1</v>
      </c>
      <c r="H90" s="42"/>
      <c r="I90" s="42" t="s">
        <v>304</v>
      </c>
      <c r="J90" s="42" t="s">
        <v>3104</v>
      </c>
      <c r="K90" s="53">
        <f t="shared" ref="K90:K95" si="44">VALUE(RIGHT(J90,LEN(J90)-SEARCH("/",J90)))</f>
        <v>156</v>
      </c>
      <c r="L90" s="44">
        <f t="shared" ref="L90:L95" si="45">VALUE(SUBSTITUTE(LEFT(J90,SEARCH("/",J90)-1),"+",","))</f>
        <v>0</v>
      </c>
      <c r="M90" s="42" t="s">
        <v>1006</v>
      </c>
      <c r="N90" s="52" t="str">
        <f t="shared" si="39"/>
        <v>(1,'PC-01-OZ1','Poste de Coupure n°01 OZ1','1965-11-07','1965-11-07',,1,),</v>
      </c>
    </row>
    <row r="91" spans="1:14" ht="20.100000000000001" customHeight="1" x14ac:dyDescent="0.25">
      <c r="A91" s="39">
        <v>2</v>
      </c>
      <c r="B91" s="40" t="str">
        <f t="shared" ref="B91:B96" si="46">CONCATENATE("PC-",TEXT(A91,"00"),"-",I91)</f>
        <v>PC-02-OZ1</v>
      </c>
      <c r="C91" s="52" t="str">
        <f t="shared" ref="C91:C96" si="47">CONCATENATE("Poste de Coupure n°",TEXT(A91,"00")," ",I91)</f>
        <v>Poste de Coupure n°02 OZ1</v>
      </c>
      <c r="D91" s="19">
        <v>24053</v>
      </c>
      <c r="E91" s="19">
        <v>24053</v>
      </c>
      <c r="F91" s="42"/>
      <c r="G91" s="42">
        <v>1</v>
      </c>
      <c r="H91" s="42"/>
      <c r="I91" s="42" t="s">
        <v>304</v>
      </c>
      <c r="J91" s="42" t="s">
        <v>3105</v>
      </c>
      <c r="K91" s="53">
        <f t="shared" si="44"/>
        <v>256</v>
      </c>
      <c r="L91" s="44">
        <f t="shared" si="45"/>
        <v>124.8</v>
      </c>
      <c r="M91" s="42" t="s">
        <v>752</v>
      </c>
      <c r="N91" s="52" t="str">
        <f t="shared" si="39"/>
        <v>(2,'PC-02-OZ1','Poste de Coupure n°02 OZ1','1965-11-07','1965-11-07',,1,),</v>
      </c>
    </row>
    <row r="92" spans="1:14" ht="20.100000000000001" customHeight="1" x14ac:dyDescent="0.25">
      <c r="A92" s="39">
        <v>3</v>
      </c>
      <c r="B92" s="40" t="str">
        <f t="shared" si="46"/>
        <v>PC-03-OZ1</v>
      </c>
      <c r="C92" s="52" t="str">
        <f t="shared" si="47"/>
        <v>Poste de Coupure n°03 OZ1</v>
      </c>
      <c r="D92" s="19">
        <v>24053</v>
      </c>
      <c r="E92" s="19">
        <v>24053</v>
      </c>
      <c r="F92" s="42"/>
      <c r="G92" s="42">
        <v>1</v>
      </c>
      <c r="H92" s="42"/>
      <c r="I92" s="42" t="s">
        <v>304</v>
      </c>
      <c r="J92" s="42" t="s">
        <v>3106</v>
      </c>
      <c r="K92" s="53">
        <f t="shared" si="44"/>
        <v>495</v>
      </c>
      <c r="L92" s="44">
        <f t="shared" si="45"/>
        <v>218.07499999999999</v>
      </c>
      <c r="M92" s="42" t="s">
        <v>796</v>
      </c>
      <c r="N92" s="52" t="str">
        <f t="shared" si="39"/>
        <v>(3,'PC-03-OZ1','Poste de Coupure n°03 OZ1','1965-11-07','1965-11-07',,1,),</v>
      </c>
    </row>
    <row r="93" spans="1:14" ht="20.100000000000001" customHeight="1" x14ac:dyDescent="0.25">
      <c r="A93" s="39">
        <v>4</v>
      </c>
      <c r="B93" s="40" t="str">
        <f t="shared" si="46"/>
        <v>PC-04-OZ1</v>
      </c>
      <c r="C93" s="52" t="str">
        <f t="shared" si="47"/>
        <v>Poste de Coupure n°04 OZ1</v>
      </c>
      <c r="D93" s="19">
        <v>24053</v>
      </c>
      <c r="E93" s="19">
        <v>24053</v>
      </c>
      <c r="F93" s="42"/>
      <c r="G93" s="42">
        <v>1</v>
      </c>
      <c r="H93" s="42"/>
      <c r="I93" s="42" t="s">
        <v>304</v>
      </c>
      <c r="J93" s="42" t="s">
        <v>3107</v>
      </c>
      <c r="K93" s="53">
        <f t="shared" si="44"/>
        <v>777</v>
      </c>
      <c r="L93" s="44">
        <f t="shared" si="45"/>
        <v>306</v>
      </c>
      <c r="M93" s="42" t="s">
        <v>3110</v>
      </c>
      <c r="N93" s="52" t="str">
        <f t="shared" si="39"/>
        <v>(4,'PC-04-OZ1','Poste de Coupure n°04 OZ1','1965-11-07','1965-11-07',,1,),</v>
      </c>
    </row>
    <row r="94" spans="1:14" ht="20.100000000000001" customHeight="1" x14ac:dyDescent="0.25">
      <c r="A94" s="39">
        <v>5</v>
      </c>
      <c r="B94" s="40" t="str">
        <f t="shared" si="46"/>
        <v>PC-05-OZ1</v>
      </c>
      <c r="C94" s="52" t="str">
        <f t="shared" si="47"/>
        <v>Poste de Coupure n°05 OZ1</v>
      </c>
      <c r="D94" s="19">
        <v>24053</v>
      </c>
      <c r="E94" s="19">
        <v>24053</v>
      </c>
      <c r="F94" s="42"/>
      <c r="G94" s="42">
        <v>1</v>
      </c>
      <c r="H94" s="42"/>
      <c r="I94" s="42" t="s">
        <v>304</v>
      </c>
      <c r="J94" s="42" t="s">
        <v>3108</v>
      </c>
      <c r="K94" s="53">
        <f t="shared" si="44"/>
        <v>885</v>
      </c>
      <c r="L94" s="44">
        <f t="shared" si="45"/>
        <v>415.1</v>
      </c>
      <c r="M94" s="42" t="s">
        <v>3111</v>
      </c>
      <c r="N94" s="52" t="str">
        <f t="shared" si="39"/>
        <v>(5,'PC-05-OZ1','Poste de Coupure n°05 OZ1','1965-11-07','1965-11-07',,1,),</v>
      </c>
    </row>
    <row r="95" spans="1:14" ht="20.100000000000001" customHeight="1" x14ac:dyDescent="0.25">
      <c r="A95" s="39">
        <v>6</v>
      </c>
      <c r="B95" s="40" t="str">
        <f t="shared" si="46"/>
        <v>PC-06-OZ1</v>
      </c>
      <c r="C95" s="52" t="str">
        <f t="shared" si="47"/>
        <v>Poste de Coupure n°06 OZ1</v>
      </c>
      <c r="D95" s="19">
        <v>24053</v>
      </c>
      <c r="E95" s="19">
        <v>24053</v>
      </c>
      <c r="F95" s="42"/>
      <c r="G95" s="42">
        <v>1</v>
      </c>
      <c r="H95" s="42"/>
      <c r="I95" s="42" t="s">
        <v>304</v>
      </c>
      <c r="J95" s="42" t="s">
        <v>3109</v>
      </c>
      <c r="K95" s="53">
        <f t="shared" si="44"/>
        <v>973</v>
      </c>
      <c r="L95" s="44">
        <f t="shared" si="45"/>
        <v>534.9</v>
      </c>
      <c r="M95" s="42" t="s">
        <v>3112</v>
      </c>
      <c r="N95" s="52" t="str">
        <f t="shared" si="39"/>
        <v>(6,'PC-06-OZ1','Poste de Coupure n°06 OZ1','1965-11-07','1965-11-07',,1,),</v>
      </c>
    </row>
    <row r="96" spans="1:14" ht="20.100000000000001" customHeight="1" x14ac:dyDescent="0.25">
      <c r="A96" s="39">
        <v>1</v>
      </c>
      <c r="B96" s="40" t="str">
        <f t="shared" si="46"/>
        <v>PC-01-OZ2</v>
      </c>
      <c r="C96" s="52" t="str">
        <f t="shared" si="47"/>
        <v>Poste de Coupure n°01 OZ2</v>
      </c>
      <c r="D96" s="19">
        <v>37851</v>
      </c>
      <c r="E96" s="19">
        <v>37851</v>
      </c>
      <c r="F96" s="42"/>
      <c r="G96" s="42">
        <v>1</v>
      </c>
      <c r="H96" s="42"/>
      <c r="I96" s="42" t="s">
        <v>306</v>
      </c>
      <c r="J96" s="42" t="s">
        <v>3113</v>
      </c>
      <c r="K96" s="53">
        <f t="shared" ref="K96:K101" si="48">VALUE(RIGHT(J96,LEN(J96)-SEARCH("/",J96)))</f>
        <v>169</v>
      </c>
      <c r="L96" s="44">
        <f t="shared" ref="L96:L101" si="49">VALUE(SUBSTITUTE(LEFT(J96,SEARCH("/",J96)-1),"+",","))</f>
        <v>0</v>
      </c>
      <c r="M96" s="42" t="s">
        <v>1006</v>
      </c>
      <c r="N96" s="52" t="str">
        <f t="shared" si="39"/>
        <v>(1,'PC-01-OZ2','Poste de Coupure n°01 OZ2','2003-08-18','2003-08-18',,1,),</v>
      </c>
    </row>
    <row r="97" spans="1:14" ht="20.100000000000001" customHeight="1" x14ac:dyDescent="0.25">
      <c r="A97" s="39">
        <v>2</v>
      </c>
      <c r="B97" s="40" t="str">
        <f t="shared" ref="B97:B135" si="50">CONCATENATE("PC-",TEXT(A97,"00"),"-",I97)</f>
        <v>PC-02-OZ2</v>
      </c>
      <c r="C97" s="52" t="str">
        <f t="shared" ref="C97:C135" si="51">CONCATENATE("Poste de Coupure n°",TEXT(A97,"00")," ",I97)</f>
        <v>Poste de Coupure n°02 OZ2</v>
      </c>
      <c r="D97" s="19">
        <v>37851</v>
      </c>
      <c r="E97" s="19">
        <v>37851</v>
      </c>
      <c r="F97" s="42"/>
      <c r="G97" s="42">
        <v>1</v>
      </c>
      <c r="H97" s="42"/>
      <c r="I97" s="42" t="s">
        <v>306</v>
      </c>
      <c r="J97" s="42" t="s">
        <v>3114</v>
      </c>
      <c r="K97" s="53">
        <f t="shared" si="48"/>
        <v>245</v>
      </c>
      <c r="L97" s="44">
        <f t="shared" si="49"/>
        <v>127.6</v>
      </c>
      <c r="M97" s="42" t="s">
        <v>752</v>
      </c>
      <c r="N97" s="52" t="str">
        <f t="shared" si="39"/>
        <v>(2,'PC-02-OZ2','Poste de Coupure n°02 OZ2','2003-08-18','2003-08-18',,1,),</v>
      </c>
    </row>
    <row r="98" spans="1:14" ht="20.100000000000001" customHeight="1" x14ac:dyDescent="0.25">
      <c r="A98" s="39">
        <v>3</v>
      </c>
      <c r="B98" s="40" t="str">
        <f t="shared" si="50"/>
        <v>PC-03-OZ2</v>
      </c>
      <c r="C98" s="52" t="str">
        <f t="shared" si="51"/>
        <v>Poste de Coupure n°03 OZ2</v>
      </c>
      <c r="D98" s="19">
        <v>37851</v>
      </c>
      <c r="E98" s="19">
        <v>37851</v>
      </c>
      <c r="F98" s="42"/>
      <c r="G98" s="42">
        <v>1</v>
      </c>
      <c r="H98" s="42"/>
      <c r="I98" s="42" t="s">
        <v>306</v>
      </c>
      <c r="J98" s="42" t="s">
        <v>3115</v>
      </c>
      <c r="K98" s="53">
        <f t="shared" si="48"/>
        <v>497</v>
      </c>
      <c r="L98" s="44">
        <f t="shared" si="49"/>
        <v>220.8</v>
      </c>
      <c r="M98" s="42" t="s">
        <v>796</v>
      </c>
      <c r="N98" s="52" t="str">
        <f t="shared" si="39"/>
        <v>(3,'PC-03-OZ2','Poste de Coupure n°03 OZ2','2003-08-18','2003-08-18',,1,),</v>
      </c>
    </row>
    <row r="99" spans="1:14" ht="20.100000000000001" customHeight="1" x14ac:dyDescent="0.25">
      <c r="A99" s="39">
        <v>4</v>
      </c>
      <c r="B99" s="40" t="str">
        <f t="shared" si="50"/>
        <v>PC-04-OZ2</v>
      </c>
      <c r="C99" s="52" t="str">
        <f t="shared" si="51"/>
        <v>Poste de Coupure n°04 OZ2</v>
      </c>
      <c r="D99" s="19">
        <v>37851</v>
      </c>
      <c r="E99" s="19">
        <v>37851</v>
      </c>
      <c r="F99" s="42"/>
      <c r="G99" s="42">
        <v>1</v>
      </c>
      <c r="H99" s="42"/>
      <c r="I99" s="42" t="s">
        <v>306</v>
      </c>
      <c r="J99" s="42" t="s">
        <v>3116</v>
      </c>
      <c r="K99" s="53">
        <f t="shared" si="48"/>
        <v>778</v>
      </c>
      <c r="L99" s="44">
        <f t="shared" si="49"/>
        <v>307.89999999999998</v>
      </c>
      <c r="M99" s="42" t="s">
        <v>3110</v>
      </c>
      <c r="N99" s="52" t="str">
        <f t="shared" si="39"/>
        <v>(4,'PC-04-OZ2','Poste de Coupure n°04 OZ2','2003-08-18','2003-08-18',,1,),</v>
      </c>
    </row>
    <row r="100" spans="1:14" ht="20.100000000000001" customHeight="1" x14ac:dyDescent="0.25">
      <c r="A100" s="39">
        <v>5</v>
      </c>
      <c r="B100" s="40" t="str">
        <f t="shared" si="50"/>
        <v>PC-05-OZ2</v>
      </c>
      <c r="C100" s="52" t="str">
        <f t="shared" si="51"/>
        <v>Poste de Coupure n°05 OZ2</v>
      </c>
      <c r="D100" s="19">
        <v>37851</v>
      </c>
      <c r="E100" s="19">
        <v>37851</v>
      </c>
      <c r="F100" s="42"/>
      <c r="G100" s="42">
        <v>1</v>
      </c>
      <c r="H100" s="42"/>
      <c r="I100" s="42" t="s">
        <v>306</v>
      </c>
      <c r="J100" s="42" t="s">
        <v>3117</v>
      </c>
      <c r="K100" s="53">
        <f t="shared" si="48"/>
        <v>890</v>
      </c>
      <c r="L100" s="44">
        <f t="shared" si="49"/>
        <v>417.2</v>
      </c>
      <c r="M100" s="42" t="s">
        <v>3111</v>
      </c>
      <c r="N100" s="52" t="str">
        <f t="shared" si="39"/>
        <v>(5,'PC-05-OZ2','Poste de Coupure n°05 OZ2','2003-08-18','2003-08-18',,1,),</v>
      </c>
    </row>
    <row r="101" spans="1:14" ht="20.100000000000001" customHeight="1" x14ac:dyDescent="0.25">
      <c r="A101" s="39">
        <v>6</v>
      </c>
      <c r="B101" s="40" t="str">
        <f t="shared" si="50"/>
        <v>PC-06-OZ2</v>
      </c>
      <c r="C101" s="52" t="str">
        <f t="shared" si="51"/>
        <v>Poste de Coupure n°06 OZ2</v>
      </c>
      <c r="D101" s="19">
        <v>37851</v>
      </c>
      <c r="E101" s="19">
        <v>37851</v>
      </c>
      <c r="F101" s="42"/>
      <c r="G101" s="42">
        <v>1</v>
      </c>
      <c r="H101" s="42"/>
      <c r="I101" s="42" t="s">
        <v>306</v>
      </c>
      <c r="J101" s="42" t="s">
        <v>3118</v>
      </c>
      <c r="K101" s="53">
        <f t="shared" si="48"/>
        <v>1015</v>
      </c>
      <c r="L101" s="44">
        <f t="shared" si="49"/>
        <v>538.20000000000005</v>
      </c>
      <c r="M101" s="42" t="s">
        <v>3112</v>
      </c>
      <c r="N101" s="52" t="str">
        <f t="shared" si="39"/>
        <v>(6,'PC-06-OZ2','Poste de Coupure n°06 OZ2','2003-08-18','2003-08-18',,1,),</v>
      </c>
    </row>
    <row r="102" spans="1:14" ht="20.100000000000001" customHeight="1" x14ac:dyDescent="0.25">
      <c r="A102" s="39">
        <v>1</v>
      </c>
      <c r="B102" s="40" t="str">
        <f t="shared" si="50"/>
        <v>PC-01-OK1</v>
      </c>
      <c r="C102" s="52" t="str">
        <f t="shared" si="51"/>
        <v>Poste de Coupure n°01 OK1</v>
      </c>
      <c r="D102" s="19">
        <v>26299</v>
      </c>
      <c r="E102" s="19">
        <v>26299</v>
      </c>
      <c r="F102" s="42"/>
      <c r="G102" s="42">
        <v>1</v>
      </c>
      <c r="H102" s="42"/>
      <c r="I102" s="42" t="s">
        <v>309</v>
      </c>
      <c r="J102" s="42" t="s">
        <v>814</v>
      </c>
      <c r="K102" s="53">
        <f t="shared" ref="K102:K104" si="52">VALUE(RIGHT(J102,LEN(J102)-SEARCH("/",J102)))</f>
        <v>80</v>
      </c>
      <c r="L102" s="44">
        <f t="shared" ref="L102:L104" si="53">VALUE(SUBSTITUTE(LEFT(J102,SEARCH("/",J102)-1),"+",","))</f>
        <v>190.56</v>
      </c>
      <c r="M102" s="42" t="s">
        <v>833</v>
      </c>
      <c r="N102" s="52" t="str">
        <f t="shared" si="39"/>
        <v>(1,'PC-01-OK1','Poste de Coupure n°01 OK1','1972-01-01','1972-01-01',,1,),</v>
      </c>
    </row>
    <row r="103" spans="1:14" ht="20.100000000000001" customHeight="1" x14ac:dyDescent="0.25">
      <c r="A103" s="39">
        <v>2</v>
      </c>
      <c r="B103" s="40" t="str">
        <f t="shared" si="50"/>
        <v>PC-02-OK1</v>
      </c>
      <c r="C103" s="52" t="str">
        <f t="shared" si="51"/>
        <v>Poste de Coupure n°02 OK1</v>
      </c>
      <c r="D103" s="19">
        <v>26299</v>
      </c>
      <c r="E103" s="19">
        <v>26299</v>
      </c>
      <c r="F103" s="42"/>
      <c r="G103" s="42">
        <v>1</v>
      </c>
      <c r="H103" s="42"/>
      <c r="I103" s="42" t="s">
        <v>309</v>
      </c>
      <c r="J103" s="42" t="s">
        <v>3264</v>
      </c>
      <c r="K103" s="53">
        <f t="shared" si="52"/>
        <v>185</v>
      </c>
      <c r="L103" s="44">
        <f t="shared" si="53"/>
        <v>338.64299999999997</v>
      </c>
      <c r="M103" s="42" t="s">
        <v>3266</v>
      </c>
      <c r="N103" s="52" t="str">
        <f t="shared" si="39"/>
        <v>(2,'PC-02-OK1','Poste de Coupure n°02 OK1','1972-01-01','1972-01-01',,1,),</v>
      </c>
    </row>
    <row r="104" spans="1:14" ht="20.100000000000001" customHeight="1" x14ac:dyDescent="0.25">
      <c r="A104" s="39">
        <v>3</v>
      </c>
      <c r="B104" s="40" t="str">
        <f t="shared" si="50"/>
        <v>PC-03-OK1</v>
      </c>
      <c r="C104" s="52" t="str">
        <f t="shared" si="51"/>
        <v>Poste de Coupure n°03 OK1</v>
      </c>
      <c r="D104" s="19">
        <v>26299</v>
      </c>
      <c r="E104" s="19">
        <v>26299</v>
      </c>
      <c r="F104" s="42"/>
      <c r="G104" s="42">
        <v>1</v>
      </c>
      <c r="H104" s="42"/>
      <c r="I104" s="42" t="s">
        <v>309</v>
      </c>
      <c r="J104" s="42" t="s">
        <v>3265</v>
      </c>
      <c r="K104" s="53">
        <f t="shared" si="52"/>
        <v>630</v>
      </c>
      <c r="L104" s="44">
        <f t="shared" si="53"/>
        <v>431.42700000000002</v>
      </c>
      <c r="M104" s="42" t="s">
        <v>3267</v>
      </c>
      <c r="N104" s="52" t="str">
        <f t="shared" si="39"/>
        <v>(3,'PC-03-OK1','Poste de Coupure n°03 OK1','1972-01-01','1972-01-01',,1,),</v>
      </c>
    </row>
    <row r="105" spans="1:14" ht="20.100000000000001" customHeight="1" x14ac:dyDescent="0.25">
      <c r="A105" s="39">
        <v>1</v>
      </c>
      <c r="B105" s="40" t="str">
        <f t="shared" si="50"/>
        <v>PC-01-OH1</v>
      </c>
      <c r="C105" s="52" t="str">
        <f t="shared" si="51"/>
        <v>Poste de Coupure n°01 OH1</v>
      </c>
      <c r="D105" s="19">
        <v>29952</v>
      </c>
      <c r="E105" s="19">
        <v>29952</v>
      </c>
      <c r="F105" s="42"/>
      <c r="G105" s="42">
        <v>1</v>
      </c>
      <c r="H105" s="42"/>
      <c r="I105" s="42" t="s">
        <v>323</v>
      </c>
      <c r="J105" s="42" t="s">
        <v>1133</v>
      </c>
      <c r="K105" s="53">
        <f t="shared" ref="K105:K112" si="54">VALUE(RIGHT(J105,LEN(J105)-SEARCH("/",J105)))</f>
        <v>567</v>
      </c>
      <c r="L105" s="44">
        <f t="shared" ref="L105:L112" si="55">VALUE(SUBSTITUTE(LEFT(J105,SEARCH("/",J105)-1),"+",","))</f>
        <v>112.5</v>
      </c>
      <c r="M105" s="42" t="s">
        <v>1729</v>
      </c>
      <c r="N105" s="52" t="str">
        <f t="shared" si="39"/>
        <v>(1,'PC-01-OH1','Poste de Coupure n°01 OH1','Friday-01-jj','Friday-01-jj',,1,),</v>
      </c>
    </row>
    <row r="106" spans="1:14" ht="20.100000000000001" customHeight="1" x14ac:dyDescent="0.25">
      <c r="A106" s="39">
        <v>2</v>
      </c>
      <c r="B106" s="40" t="str">
        <f t="shared" si="50"/>
        <v>PC-02-OH1</v>
      </c>
      <c r="C106" s="52" t="str">
        <f t="shared" si="51"/>
        <v>Poste de Coupure n°02 OH1</v>
      </c>
      <c r="D106" s="19">
        <v>29952</v>
      </c>
      <c r="E106" s="19">
        <v>29952</v>
      </c>
      <c r="F106" s="42"/>
      <c r="G106" s="42">
        <v>1</v>
      </c>
      <c r="H106" s="42"/>
      <c r="I106" s="42" t="s">
        <v>323</v>
      </c>
      <c r="J106" s="42" t="s">
        <v>1134</v>
      </c>
      <c r="K106" s="53">
        <f t="shared" si="54"/>
        <v>302</v>
      </c>
      <c r="L106" s="44">
        <f t="shared" si="55"/>
        <v>270.5</v>
      </c>
      <c r="M106" s="42" t="s">
        <v>3309</v>
      </c>
      <c r="N106" s="52" t="str">
        <f t="shared" si="39"/>
        <v>(2,'PC-02-OH1','Poste de Coupure n°02 OH1','Friday-01-jj','Friday-01-jj',,1,),</v>
      </c>
    </row>
    <row r="107" spans="1:14" ht="20.100000000000001" customHeight="1" x14ac:dyDescent="0.25">
      <c r="A107" s="39">
        <v>3</v>
      </c>
      <c r="B107" s="40" t="str">
        <f t="shared" si="50"/>
        <v>PC-03-OH1</v>
      </c>
      <c r="C107" s="52" t="str">
        <f t="shared" si="51"/>
        <v>Poste de Coupure n°03 OH1</v>
      </c>
      <c r="D107" s="19">
        <v>29952</v>
      </c>
      <c r="E107" s="19">
        <v>29952</v>
      </c>
      <c r="F107" s="42"/>
      <c r="G107" s="42">
        <v>1</v>
      </c>
      <c r="H107" s="42"/>
      <c r="I107" s="42" t="s">
        <v>323</v>
      </c>
      <c r="J107" s="42" t="s">
        <v>3308</v>
      </c>
      <c r="K107" s="53">
        <f t="shared" si="54"/>
        <v>258</v>
      </c>
      <c r="L107" s="44">
        <f t="shared" si="55"/>
        <v>359.5</v>
      </c>
      <c r="M107" s="42" t="s">
        <v>3310</v>
      </c>
      <c r="N107" s="52" t="str">
        <f t="shared" si="39"/>
        <v>(3,'PC-03-OH1','Poste de Coupure n°03 OH1','Friday-01-jj','Friday-01-jj',,1,),</v>
      </c>
    </row>
    <row r="108" spans="1:14" ht="20.100000000000001" customHeight="1" x14ac:dyDescent="0.25">
      <c r="A108" s="39">
        <v>4</v>
      </c>
      <c r="B108" s="40" t="str">
        <f t="shared" si="50"/>
        <v>PC-04-OH1</v>
      </c>
      <c r="C108" s="52" t="str">
        <f t="shared" si="51"/>
        <v>Poste de Coupure n°04 OH1</v>
      </c>
      <c r="D108" s="19">
        <v>29952</v>
      </c>
      <c r="E108" s="19">
        <v>29952</v>
      </c>
      <c r="F108" s="42"/>
      <c r="G108" s="42">
        <v>1</v>
      </c>
      <c r="H108" s="42"/>
      <c r="I108" s="42" t="s">
        <v>323</v>
      </c>
      <c r="J108" s="42" t="s">
        <v>1136</v>
      </c>
      <c r="K108" s="53">
        <f t="shared" si="54"/>
        <v>208</v>
      </c>
      <c r="L108" s="44">
        <f t="shared" si="55"/>
        <v>452</v>
      </c>
      <c r="M108" s="42" t="s">
        <v>3311</v>
      </c>
      <c r="N108" s="52" t="str">
        <f t="shared" si="39"/>
        <v>(4,'PC-04-OH1','Poste de Coupure n°04 OH1','Friday-01-jj','Friday-01-jj',,1,),</v>
      </c>
    </row>
    <row r="109" spans="1:14" ht="20.100000000000001" customHeight="1" x14ac:dyDescent="0.25">
      <c r="A109" s="39">
        <v>5</v>
      </c>
      <c r="B109" s="40" t="str">
        <f t="shared" si="50"/>
        <v>PC-05-OH1</v>
      </c>
      <c r="C109" s="52" t="str">
        <f t="shared" si="51"/>
        <v>Poste de Coupure n°05 OH1</v>
      </c>
      <c r="D109" s="19">
        <v>29952</v>
      </c>
      <c r="E109" s="19">
        <v>29952</v>
      </c>
      <c r="F109" s="42"/>
      <c r="G109" s="42">
        <v>1</v>
      </c>
      <c r="H109" s="42"/>
      <c r="I109" s="42" t="s">
        <v>323</v>
      </c>
      <c r="J109" s="42" t="s">
        <v>1137</v>
      </c>
      <c r="K109" s="53">
        <f t="shared" si="54"/>
        <v>159</v>
      </c>
      <c r="L109" s="44">
        <f t="shared" si="55"/>
        <v>545.5</v>
      </c>
      <c r="M109" s="42" t="s">
        <v>3312</v>
      </c>
      <c r="N109" s="52" t="str">
        <f t="shared" si="39"/>
        <v>(5,'PC-05-OH1','Poste de Coupure n°05 OH1','Friday-01-jj','Friday-01-jj',,1,),</v>
      </c>
    </row>
    <row r="110" spans="1:14" ht="20.100000000000001" customHeight="1" x14ac:dyDescent="0.25">
      <c r="A110" s="39">
        <v>1</v>
      </c>
      <c r="B110" s="40" t="str">
        <f t="shared" si="50"/>
        <v>PC-01-OD1</v>
      </c>
      <c r="C110" s="52" t="str">
        <f t="shared" si="51"/>
        <v>Poste de Coupure n°01 OD1</v>
      </c>
      <c r="D110" s="19">
        <v>28207</v>
      </c>
      <c r="E110" s="19">
        <v>28207</v>
      </c>
      <c r="F110" s="42"/>
      <c r="G110" s="42">
        <v>1</v>
      </c>
      <c r="H110" s="42"/>
      <c r="I110" s="42" t="s">
        <v>336</v>
      </c>
      <c r="J110" s="42" t="s">
        <v>3313</v>
      </c>
      <c r="K110" s="53">
        <f t="shared" si="54"/>
        <v>169</v>
      </c>
      <c r="L110" s="44">
        <f t="shared" si="55"/>
        <v>137</v>
      </c>
      <c r="M110" s="42" t="s">
        <v>993</v>
      </c>
      <c r="N110" s="52" t="str">
        <f t="shared" si="39"/>
        <v>(1,'PC-01-OD1','Poste de Coupure n°01 OD1','Wednesday-03-jj','Wednesday-03-jj',,1,),</v>
      </c>
    </row>
    <row r="111" spans="1:14" ht="20.100000000000001" customHeight="1" x14ac:dyDescent="0.25">
      <c r="A111" s="39">
        <v>1</v>
      </c>
      <c r="B111" s="40" t="str">
        <f t="shared" si="50"/>
        <v>PC-01-OH3</v>
      </c>
      <c r="C111" s="52" t="str">
        <f t="shared" si="51"/>
        <v>Poste de Coupure n°01 OH3</v>
      </c>
      <c r="D111" s="19">
        <v>36161</v>
      </c>
      <c r="E111" s="19">
        <v>36161</v>
      </c>
      <c r="F111" s="42"/>
      <c r="G111" s="42">
        <v>1</v>
      </c>
      <c r="H111" s="42"/>
      <c r="I111" s="42" t="s">
        <v>331</v>
      </c>
      <c r="J111" s="42" t="s">
        <v>3314</v>
      </c>
      <c r="K111" s="53">
        <f t="shared" si="54"/>
        <v>182</v>
      </c>
      <c r="L111" s="44">
        <f t="shared" si="55"/>
        <v>158</v>
      </c>
      <c r="M111" s="42" t="s">
        <v>3315</v>
      </c>
      <c r="N111" s="52" t="str">
        <f t="shared" si="39"/>
        <v>(1,'PC-01-OH3','Poste de Coupure n°01 OH3','Friday-01-jj','Friday-01-jj',,1,),</v>
      </c>
    </row>
    <row r="112" spans="1:14" ht="20.100000000000001" customHeight="1" x14ac:dyDescent="0.25">
      <c r="A112" s="39">
        <v>1</v>
      </c>
      <c r="B112" s="40" t="str">
        <f t="shared" si="50"/>
        <v>PC-01-OH4</v>
      </c>
      <c r="C112" s="52" t="str">
        <f t="shared" si="51"/>
        <v>Poste de Coupure n°01 OH4</v>
      </c>
      <c r="D112" s="19">
        <v>38718</v>
      </c>
      <c r="E112" s="19">
        <v>38718</v>
      </c>
      <c r="F112" s="42"/>
      <c r="G112" s="42">
        <v>1</v>
      </c>
      <c r="H112" s="42"/>
      <c r="I112" s="42" t="s">
        <v>333</v>
      </c>
      <c r="J112" s="42" t="s">
        <v>3314</v>
      </c>
      <c r="K112" s="53">
        <f t="shared" si="54"/>
        <v>182</v>
      </c>
      <c r="L112" s="44">
        <f t="shared" si="55"/>
        <v>158</v>
      </c>
      <c r="M112" s="42" t="s">
        <v>3315</v>
      </c>
      <c r="N112" s="52" t="str">
        <f t="shared" si="39"/>
        <v>(1,'PC-01-OH4','Poste de Coupure n°01 OH4','Sunday-01-jj','Sunday-01-jj',,1,),</v>
      </c>
    </row>
    <row r="113" spans="1:14" ht="20.100000000000001" customHeight="1" x14ac:dyDescent="0.25">
      <c r="A113" s="39">
        <v>1</v>
      </c>
      <c r="B113" s="40" t="str">
        <f t="shared" si="50"/>
        <v>PC-01-NZ1</v>
      </c>
      <c r="C113" s="52" t="str">
        <f t="shared" si="51"/>
        <v>Poste de Coupure n°01 NZ1</v>
      </c>
      <c r="D113" s="19">
        <v>28795</v>
      </c>
      <c r="E113" s="19">
        <v>28795</v>
      </c>
      <c r="F113" s="42"/>
      <c r="G113" s="42">
        <v>1</v>
      </c>
      <c r="H113" s="42"/>
      <c r="I113" s="42" t="s">
        <v>345</v>
      </c>
      <c r="J113" s="42" t="s">
        <v>3316</v>
      </c>
      <c r="K113" s="53">
        <v>880</v>
      </c>
      <c r="L113" s="44">
        <f>VALUE(SUBSTITUTE(J113,"+",","))</f>
        <v>109.02</v>
      </c>
      <c r="M113" s="42" t="s">
        <v>3318</v>
      </c>
      <c r="N113" s="52" t="str">
        <f t="shared" si="39"/>
        <v>(1,'PC-01-NZ1','Poste de Coupure n°01 NZ1','Wednesday-11-jj','Wednesday-11-jj',,1,),</v>
      </c>
    </row>
    <row r="114" spans="1:14" ht="20.100000000000001" customHeight="1" x14ac:dyDescent="0.25">
      <c r="A114" s="39">
        <v>2</v>
      </c>
      <c r="B114" s="40" t="str">
        <f t="shared" si="50"/>
        <v>PC-02-NZ1</v>
      </c>
      <c r="C114" s="52" t="str">
        <f t="shared" si="51"/>
        <v>Poste de Coupure n°02 NZ1</v>
      </c>
      <c r="D114" s="19">
        <v>28795</v>
      </c>
      <c r="E114" s="19">
        <v>28795</v>
      </c>
      <c r="F114" s="42"/>
      <c r="G114" s="42">
        <v>1</v>
      </c>
      <c r="H114" s="42"/>
      <c r="I114" s="42" t="s">
        <v>345</v>
      </c>
      <c r="J114" s="42" t="s">
        <v>3317</v>
      </c>
      <c r="K114" s="53">
        <v>973</v>
      </c>
      <c r="L114" s="44">
        <f>VALUE(SUBSTITUTE(J114,"+",","))</f>
        <v>230.06</v>
      </c>
      <c r="M114" s="42" t="s">
        <v>3319</v>
      </c>
      <c r="N114" s="52" t="str">
        <f t="shared" si="39"/>
        <v>(2,'PC-02-NZ1','Poste de Coupure n°02 NZ1','Wednesday-11-jj','Wednesday-11-jj',,1,),</v>
      </c>
    </row>
    <row r="115" spans="1:14" ht="20.100000000000001" customHeight="1" x14ac:dyDescent="0.25">
      <c r="A115" s="39">
        <v>1</v>
      </c>
      <c r="B115" s="40" t="str">
        <f t="shared" si="50"/>
        <v>PC-01-NH1</v>
      </c>
      <c r="C115" s="52" t="str">
        <f t="shared" si="51"/>
        <v>Poste de Coupure n°01 NH1</v>
      </c>
      <c r="D115" s="19">
        <v>40029</v>
      </c>
      <c r="E115" s="19">
        <v>40029</v>
      </c>
      <c r="F115" s="42"/>
      <c r="G115" s="42">
        <v>1</v>
      </c>
      <c r="H115" s="42"/>
      <c r="I115" s="42" t="s">
        <v>3325</v>
      </c>
      <c r="J115" s="42" t="s">
        <v>3320</v>
      </c>
      <c r="K115" s="53">
        <f t="shared" ref="K115" si="56">VALUE(RIGHT(J115,LEN(J115)-SEARCH("/",J115)))</f>
        <v>73</v>
      </c>
      <c r="L115" s="44">
        <f t="shared" ref="L115" si="57">VALUE(SUBSTITUTE(LEFT(J115,SEARCH("/",J115)-1),"+",","))</f>
        <v>188.33199999999999</v>
      </c>
      <c r="M115" s="42" t="s">
        <v>3323</v>
      </c>
      <c r="N115" s="52" t="str">
        <f t="shared" si="39"/>
        <v>(1,'PC-01-NH1','Poste de Coupure n°01 NH1','Tuesday-08-jj','Tuesday-08-jj',,1,),</v>
      </c>
    </row>
    <row r="116" spans="1:14" ht="20.100000000000001" customHeight="1" x14ac:dyDescent="0.25">
      <c r="A116" s="39">
        <v>2</v>
      </c>
      <c r="B116" s="40" t="str">
        <f t="shared" si="50"/>
        <v>PC-02-NH1</v>
      </c>
      <c r="C116" s="52" t="str">
        <f t="shared" si="51"/>
        <v>Poste de Coupure n°02 NH1</v>
      </c>
      <c r="D116" s="19">
        <v>40029</v>
      </c>
      <c r="E116" s="19">
        <v>40029</v>
      </c>
      <c r="F116" s="42"/>
      <c r="G116" s="42">
        <v>1</v>
      </c>
      <c r="H116" s="42"/>
      <c r="I116" s="42" t="s">
        <v>3325</v>
      </c>
      <c r="J116" s="42" t="s">
        <v>3321</v>
      </c>
      <c r="K116" s="53">
        <f t="shared" ref="K116:K117" si="58">VALUE(RIGHT(J116,LEN(J116)-SEARCH("/",J116)))</f>
        <v>185</v>
      </c>
      <c r="L116" s="44">
        <f t="shared" ref="L116:L117" si="59">VALUE(SUBSTITUTE(LEFT(J116,SEARCH("/",J116)-1),"+",","))</f>
        <v>337.79199999999997</v>
      </c>
      <c r="M116" s="42" t="s">
        <v>3324</v>
      </c>
      <c r="N116" s="52" t="str">
        <f t="shared" si="39"/>
        <v>(2,'PC-02-NH1','Poste de Coupure n°02 NH1','Tuesday-08-jj','Tuesday-08-jj',,1,),</v>
      </c>
    </row>
    <row r="117" spans="1:14" ht="20.100000000000001" customHeight="1" x14ac:dyDescent="0.25">
      <c r="A117" s="39">
        <v>3</v>
      </c>
      <c r="B117" s="40" t="str">
        <f t="shared" si="50"/>
        <v>PC-03-NH1</v>
      </c>
      <c r="C117" s="52" t="str">
        <f t="shared" si="51"/>
        <v>Poste de Coupure n°03 NH1</v>
      </c>
      <c r="D117" s="19">
        <v>40029</v>
      </c>
      <c r="E117" s="19">
        <v>40029</v>
      </c>
      <c r="F117" s="42"/>
      <c r="G117" s="42">
        <v>1</v>
      </c>
      <c r="H117" s="42"/>
      <c r="I117" s="42" t="s">
        <v>3325</v>
      </c>
      <c r="J117" s="42" t="s">
        <v>3322</v>
      </c>
      <c r="K117" s="53">
        <f t="shared" si="58"/>
        <v>620</v>
      </c>
      <c r="L117" s="44">
        <f t="shared" si="59"/>
        <v>430.78899999999999</v>
      </c>
      <c r="M117" s="42" t="s">
        <v>3267</v>
      </c>
      <c r="N117" s="52" t="str">
        <f t="shared" si="39"/>
        <v>(3,'PC-03-NH1','Poste de Coupure n°03 NH1','Tuesday-08-jj','Tuesday-08-jj',,1,),</v>
      </c>
    </row>
    <row r="118" spans="1:14" ht="20.100000000000001" customHeight="1" x14ac:dyDescent="0.25">
      <c r="A118" s="39">
        <v>1</v>
      </c>
      <c r="B118" s="40" t="str">
        <f t="shared" si="50"/>
        <v>PC-01-NH2</v>
      </c>
      <c r="C118" s="52" t="str">
        <f t="shared" si="51"/>
        <v>Poste de Coupure n°01 NH2</v>
      </c>
      <c r="D118" s="19">
        <v>21916</v>
      </c>
      <c r="E118" s="19">
        <v>21916</v>
      </c>
      <c r="F118" s="42"/>
      <c r="G118" s="42">
        <v>1</v>
      </c>
      <c r="H118" s="42"/>
      <c r="I118" s="42" t="s">
        <v>351</v>
      </c>
      <c r="J118" s="42" t="s">
        <v>3326</v>
      </c>
      <c r="K118" s="53">
        <f t="shared" ref="K118:K120" si="60">VALUE(RIGHT(J118,LEN(J118)-SEARCH("/",J118)))</f>
        <v>567</v>
      </c>
      <c r="L118" s="44">
        <f t="shared" ref="L118:L120" si="61">VALUE(SUBSTITUTE(LEFT(J118,SEARCH("/",J118)-1),"+",","))</f>
        <v>47</v>
      </c>
      <c r="M118" s="42" t="s">
        <v>1729</v>
      </c>
      <c r="N118" s="52" t="str">
        <f t="shared" si="39"/>
        <v>(1,'PC-01-NH2','Poste de Coupure n°01 NH2','Friday-01-jj','Friday-01-jj',,1,),</v>
      </c>
    </row>
    <row r="119" spans="1:14" ht="20.100000000000001" customHeight="1" x14ac:dyDescent="0.25">
      <c r="A119" s="39">
        <v>2</v>
      </c>
      <c r="B119" s="40" t="str">
        <f t="shared" si="50"/>
        <v>PC-02-NH2</v>
      </c>
      <c r="C119" s="52" t="str">
        <f t="shared" si="51"/>
        <v>Poste de Coupure n°02 NH2</v>
      </c>
      <c r="D119" s="19">
        <v>21916</v>
      </c>
      <c r="E119" s="19">
        <v>21916</v>
      </c>
      <c r="F119" s="42"/>
      <c r="G119" s="42">
        <v>1</v>
      </c>
      <c r="H119" s="42"/>
      <c r="I119" s="42" t="s">
        <v>351</v>
      </c>
      <c r="J119" s="42" t="s">
        <v>3327</v>
      </c>
      <c r="K119" s="53">
        <f t="shared" si="60"/>
        <v>302</v>
      </c>
      <c r="L119" s="44">
        <f t="shared" si="61"/>
        <v>158</v>
      </c>
      <c r="M119" s="42" t="s">
        <v>3329</v>
      </c>
      <c r="N119" s="52" t="str">
        <f t="shared" si="39"/>
        <v>(2,'PC-02-NH2','Poste de Coupure n°02 NH2','Friday-01-jj','Friday-01-jj',,1,),</v>
      </c>
    </row>
    <row r="120" spans="1:14" ht="20.100000000000001" customHeight="1" x14ac:dyDescent="0.25">
      <c r="A120" s="39">
        <v>3</v>
      </c>
      <c r="B120" s="40" t="str">
        <f t="shared" si="50"/>
        <v>PC-03-NH2</v>
      </c>
      <c r="C120" s="52" t="str">
        <f t="shared" si="51"/>
        <v>Poste de Coupure n°03 NH2</v>
      </c>
      <c r="D120" s="19">
        <v>21916</v>
      </c>
      <c r="E120" s="19">
        <v>21916</v>
      </c>
      <c r="F120" s="42"/>
      <c r="G120" s="42">
        <v>1</v>
      </c>
      <c r="H120" s="42"/>
      <c r="I120" s="42" t="s">
        <v>351</v>
      </c>
      <c r="J120" s="42" t="s">
        <v>3328</v>
      </c>
      <c r="K120" s="53">
        <f t="shared" si="60"/>
        <v>208</v>
      </c>
      <c r="L120" s="44">
        <f t="shared" si="61"/>
        <v>339.5</v>
      </c>
      <c r="M120" s="42" t="s">
        <v>3311</v>
      </c>
      <c r="N120" s="52" t="str">
        <f t="shared" si="39"/>
        <v>(3,'PC-03-NH2','Poste de Coupure n°03 NH2','Friday-01-jj','Friday-01-jj',,1,),</v>
      </c>
    </row>
    <row r="121" spans="1:14" ht="20.100000000000001" customHeight="1" x14ac:dyDescent="0.25">
      <c r="A121" s="39">
        <v>1</v>
      </c>
      <c r="B121" s="40" t="str">
        <f t="shared" si="50"/>
        <v>PC-01-LZ1</v>
      </c>
      <c r="C121" s="52" t="str">
        <f t="shared" si="51"/>
        <v>Poste de Coupure n°01 LZ1</v>
      </c>
      <c r="D121" s="19">
        <v>30720</v>
      </c>
      <c r="E121" s="19">
        <v>30720</v>
      </c>
      <c r="F121" s="42"/>
      <c r="G121" s="42">
        <v>1</v>
      </c>
      <c r="H121" s="42"/>
      <c r="I121" s="42" t="s">
        <v>356</v>
      </c>
      <c r="J121" s="42" t="s">
        <v>3330</v>
      </c>
      <c r="K121" s="53">
        <f t="shared" ref="K121:K124" si="62">VALUE(RIGHT(J121,LEN(J121)-SEARCH("/",J121)))</f>
        <v>885</v>
      </c>
      <c r="L121" s="44">
        <f t="shared" ref="L121:L124" si="63">VALUE(SUBSTITUTE(LEFT(J121,SEARCH("/",J121)-1),"+",","))</f>
        <v>110.729</v>
      </c>
      <c r="M121" s="42" t="s">
        <v>2832</v>
      </c>
      <c r="N121" s="52" t="str">
        <f t="shared" si="39"/>
        <v>(1,'PC-01-LZ1','Poste de Coupure n°01 LZ1','Wednesday-02-jj','Wednesday-02-jj',,1,),</v>
      </c>
    </row>
    <row r="122" spans="1:14" ht="20.100000000000001" customHeight="1" x14ac:dyDescent="0.25">
      <c r="A122" s="39">
        <v>2</v>
      </c>
      <c r="B122" s="40" t="str">
        <f t="shared" si="50"/>
        <v>PC-02-LZ1</v>
      </c>
      <c r="C122" s="52" t="str">
        <f t="shared" si="51"/>
        <v>Poste de Coupure n°02 LZ1</v>
      </c>
      <c r="D122" s="19">
        <v>30720</v>
      </c>
      <c r="E122" s="19">
        <v>30720</v>
      </c>
      <c r="F122" s="42"/>
      <c r="G122" s="42">
        <v>1</v>
      </c>
      <c r="H122" s="42"/>
      <c r="I122" s="42" t="s">
        <v>356</v>
      </c>
      <c r="J122" s="42" t="s">
        <v>3331</v>
      </c>
      <c r="K122" s="53">
        <f t="shared" si="62"/>
        <v>1080</v>
      </c>
      <c r="L122" s="44">
        <f t="shared" si="63"/>
        <v>307.02</v>
      </c>
      <c r="M122" s="42" t="s">
        <v>761</v>
      </c>
      <c r="N122" s="52" t="str">
        <f t="shared" si="39"/>
        <v>(2,'PC-02-LZ1','Poste de Coupure n°02 LZ1','Wednesday-02-jj','Wednesday-02-jj',,1,),</v>
      </c>
    </row>
    <row r="123" spans="1:14" ht="20.100000000000001" customHeight="1" x14ac:dyDescent="0.25">
      <c r="A123" s="39">
        <v>1</v>
      </c>
      <c r="B123" s="40" t="str">
        <f t="shared" si="50"/>
        <v>PC-01-LZ2</v>
      </c>
      <c r="C123" s="52" t="str">
        <f t="shared" si="51"/>
        <v>Poste de Coupure n°01 LZ2</v>
      </c>
      <c r="D123" s="19">
        <v>39814</v>
      </c>
      <c r="E123" s="19">
        <v>40179</v>
      </c>
      <c r="F123" s="42"/>
      <c r="G123" s="42">
        <v>1</v>
      </c>
      <c r="H123" s="42"/>
      <c r="I123" s="42" t="s">
        <v>359</v>
      </c>
      <c r="J123" s="42" t="s">
        <v>3332</v>
      </c>
      <c r="K123" s="53">
        <f t="shared" si="62"/>
        <v>885</v>
      </c>
      <c r="L123" s="44">
        <f t="shared" si="63"/>
        <v>110.627</v>
      </c>
      <c r="M123" s="42" t="s">
        <v>1749</v>
      </c>
      <c r="N123" s="52" t="str">
        <f t="shared" si="39"/>
        <v>(1,'PC-01-LZ2','Poste de Coupure n°01 LZ2','Thursday-01-jj','Friday-01-jj',,1,),</v>
      </c>
    </row>
    <row r="124" spans="1:14" ht="20.100000000000001" customHeight="1" x14ac:dyDescent="0.25">
      <c r="A124" s="39">
        <v>2</v>
      </c>
      <c r="B124" s="40" t="str">
        <f t="shared" si="50"/>
        <v>PC-02-LZ2</v>
      </c>
      <c r="C124" s="52" t="str">
        <f t="shared" si="51"/>
        <v>Poste de Coupure n°02 LZ2</v>
      </c>
      <c r="D124" s="19">
        <v>39814</v>
      </c>
      <c r="E124" s="19">
        <v>40179</v>
      </c>
      <c r="F124" s="42"/>
      <c r="G124" s="42">
        <v>1</v>
      </c>
      <c r="H124" s="42"/>
      <c r="I124" s="42" t="s">
        <v>359</v>
      </c>
      <c r="J124" s="42" t="s">
        <v>3331</v>
      </c>
      <c r="K124" s="53">
        <f t="shared" si="62"/>
        <v>1080</v>
      </c>
      <c r="L124" s="44">
        <f t="shared" si="63"/>
        <v>307.02</v>
      </c>
      <c r="M124" s="42" t="s">
        <v>761</v>
      </c>
      <c r="N124" s="52" t="str">
        <f t="shared" si="39"/>
        <v>(2,'PC-02-LZ2','Poste de Coupure n°02 LZ2','Thursday-01-jj','Friday-01-jj',,1,),</v>
      </c>
    </row>
    <row r="125" spans="1:14" ht="20.100000000000001" customHeight="1" x14ac:dyDescent="0.25">
      <c r="A125" s="39">
        <v>1</v>
      </c>
      <c r="B125" s="40" t="str">
        <f t="shared" si="50"/>
        <v>PC-01-LR1</v>
      </c>
      <c r="C125" s="52" t="str">
        <f t="shared" si="51"/>
        <v>Poste de Coupure n°01 LR1</v>
      </c>
      <c r="D125" s="19">
        <v>35065</v>
      </c>
      <c r="E125" s="19">
        <v>35065</v>
      </c>
      <c r="F125" s="42"/>
      <c r="G125" s="42">
        <v>1</v>
      </c>
      <c r="H125" s="42"/>
      <c r="I125" s="42" t="s">
        <v>362</v>
      </c>
      <c r="J125" s="42" t="s">
        <v>3333</v>
      </c>
      <c r="K125" s="53">
        <f t="shared" ref="K125:K130" si="64">VALUE(RIGHT(J125,LEN(J125)-SEARCH("/",J125)))</f>
        <v>555</v>
      </c>
      <c r="L125" s="44">
        <f t="shared" ref="L125:L130" si="65">VALUE(SUBSTITUTE(LEFT(J125,SEARCH("/",J125)-1),"+",","))</f>
        <v>100.85</v>
      </c>
      <c r="M125" s="42" t="s">
        <v>1812</v>
      </c>
      <c r="N125" s="52" t="str">
        <f t="shared" si="39"/>
        <v>(1,'PC-01-LR1','Poste de Coupure n°01 LR1','Monday-01-jj','Monday-01-jj',,1,),</v>
      </c>
    </row>
    <row r="126" spans="1:14" ht="20.100000000000001" customHeight="1" x14ac:dyDescent="0.25">
      <c r="A126" s="39">
        <v>2</v>
      </c>
      <c r="B126" s="40" t="str">
        <f t="shared" si="50"/>
        <v>PC-02-LR1</v>
      </c>
      <c r="C126" s="52" t="str">
        <f t="shared" si="51"/>
        <v>Poste de Coupure n°02 LR1</v>
      </c>
      <c r="D126" s="19">
        <v>35065</v>
      </c>
      <c r="E126" s="19">
        <v>35065</v>
      </c>
      <c r="F126" s="42"/>
      <c r="G126" s="42">
        <v>1</v>
      </c>
      <c r="H126" s="42"/>
      <c r="I126" s="42" t="s">
        <v>362</v>
      </c>
      <c r="J126" s="42" t="s">
        <v>1194</v>
      </c>
      <c r="K126" s="53">
        <f t="shared" si="64"/>
        <v>469</v>
      </c>
      <c r="L126" s="44">
        <f t="shared" si="65"/>
        <v>232.3</v>
      </c>
      <c r="M126" s="42" t="s">
        <v>1812</v>
      </c>
      <c r="N126" s="52" t="str">
        <f t="shared" si="39"/>
        <v>(2,'PC-02-LR1','Poste de Coupure n°02 LR1','Monday-01-jj','Monday-01-jj',,1,),</v>
      </c>
    </row>
    <row r="127" spans="1:14" ht="20.100000000000001" customHeight="1" x14ac:dyDescent="0.25">
      <c r="A127" s="39">
        <v>3</v>
      </c>
      <c r="B127" s="40" t="str">
        <f t="shared" si="50"/>
        <v>PC-03-LR1</v>
      </c>
      <c r="C127" s="52" t="str">
        <f t="shared" si="51"/>
        <v>Poste de Coupure n°03 LR1</v>
      </c>
      <c r="D127" s="19">
        <v>35065</v>
      </c>
      <c r="E127" s="19">
        <v>35065</v>
      </c>
      <c r="F127" s="42"/>
      <c r="G127" s="42">
        <v>1</v>
      </c>
      <c r="H127" s="42"/>
      <c r="I127" s="42" t="s">
        <v>362</v>
      </c>
      <c r="J127" s="42" t="s">
        <v>1196</v>
      </c>
      <c r="K127" s="53">
        <f t="shared" si="64"/>
        <v>252</v>
      </c>
      <c r="L127" s="44">
        <f t="shared" si="65"/>
        <v>430.7</v>
      </c>
      <c r="M127" s="42" t="s">
        <v>1812</v>
      </c>
      <c r="N127" s="52" t="str">
        <f t="shared" si="39"/>
        <v>(3,'PC-03-LR1','Poste de Coupure n°03 LR1','Monday-01-jj','Monday-01-jj',,1,),</v>
      </c>
    </row>
    <row r="128" spans="1:14" ht="20.100000000000001" customHeight="1" x14ac:dyDescent="0.25">
      <c r="A128" s="39">
        <v>4</v>
      </c>
      <c r="B128" s="40" t="str">
        <f t="shared" si="50"/>
        <v>PC-04-LR1</v>
      </c>
      <c r="C128" s="52" t="str">
        <f t="shared" si="51"/>
        <v>Poste de Coupure n°04 LR1</v>
      </c>
      <c r="D128" s="19">
        <v>35065</v>
      </c>
      <c r="E128" s="19">
        <v>35065</v>
      </c>
      <c r="F128" s="42"/>
      <c r="G128" s="42">
        <v>1</v>
      </c>
      <c r="H128" s="42"/>
      <c r="I128" s="42" t="s">
        <v>362</v>
      </c>
      <c r="J128" s="42" t="s">
        <v>1197</v>
      </c>
      <c r="K128" s="53">
        <f t="shared" si="64"/>
        <v>208</v>
      </c>
      <c r="L128" s="44">
        <f t="shared" si="65"/>
        <v>503.5</v>
      </c>
      <c r="M128" s="42" t="s">
        <v>1006</v>
      </c>
      <c r="N128" s="52" t="str">
        <f t="shared" si="39"/>
        <v>(4,'PC-04-LR1','Poste de Coupure n°04 LR1','Monday-01-jj','Monday-01-jj',,1,),</v>
      </c>
    </row>
    <row r="129" spans="1:14" ht="20.100000000000001" customHeight="1" x14ac:dyDescent="0.25">
      <c r="A129" s="39">
        <v>5</v>
      </c>
      <c r="B129" s="40" t="str">
        <f t="shared" si="50"/>
        <v>PC-05-LR1</v>
      </c>
      <c r="C129" s="52" t="str">
        <f t="shared" si="51"/>
        <v>Poste de Coupure n°05 LR1</v>
      </c>
      <c r="D129" s="19">
        <v>35065</v>
      </c>
      <c r="E129" s="19">
        <v>35065</v>
      </c>
      <c r="F129" s="42"/>
      <c r="G129" s="42">
        <v>1</v>
      </c>
      <c r="H129" s="42"/>
      <c r="I129" s="42" t="s">
        <v>362</v>
      </c>
      <c r="J129" s="42" t="s">
        <v>1199</v>
      </c>
      <c r="K129" s="53">
        <f t="shared" si="64"/>
        <v>151</v>
      </c>
      <c r="L129" s="44">
        <f t="shared" si="65"/>
        <v>681.5</v>
      </c>
      <c r="M129" s="42" t="s">
        <v>1006</v>
      </c>
      <c r="N129" s="52" t="str">
        <f t="shared" si="39"/>
        <v>(5,'PC-05-LR1','Poste de Coupure n°05 LR1','Monday-01-jj','Monday-01-jj',,1,),</v>
      </c>
    </row>
    <row r="130" spans="1:14" ht="20.100000000000001" customHeight="1" x14ac:dyDescent="0.25">
      <c r="A130" s="39">
        <v>6</v>
      </c>
      <c r="B130" s="40" t="str">
        <f t="shared" si="50"/>
        <v>PC-06-LR1</v>
      </c>
      <c r="C130" s="52" t="str">
        <f t="shared" si="51"/>
        <v>Poste de Coupure n°06 LR1</v>
      </c>
      <c r="D130" s="19">
        <v>35065</v>
      </c>
      <c r="E130" s="19">
        <v>35065</v>
      </c>
      <c r="F130" s="42"/>
      <c r="G130" s="42">
        <v>1</v>
      </c>
      <c r="H130" s="42"/>
      <c r="I130" s="42" t="s">
        <v>362</v>
      </c>
      <c r="J130" s="42" t="s">
        <v>3334</v>
      </c>
      <c r="K130" s="53">
        <f t="shared" si="64"/>
        <v>260</v>
      </c>
      <c r="L130" s="44">
        <f t="shared" si="65"/>
        <v>805.7</v>
      </c>
      <c r="M130" s="42" t="s">
        <v>752</v>
      </c>
      <c r="N130" s="52" t="str">
        <f t="shared" si="39"/>
        <v>(6,'PC-06-LR1','Poste de Coupure n°06 LR1','Monday-01-jj','Monday-01-jj',,1,),</v>
      </c>
    </row>
    <row r="131" spans="1:14" ht="20.100000000000001" customHeight="1" x14ac:dyDescent="0.25">
      <c r="A131" s="39">
        <v>1</v>
      </c>
      <c r="B131" s="40" t="str">
        <f t="shared" si="50"/>
        <v>PC-01-DLR1</v>
      </c>
      <c r="C131" s="52" t="str">
        <f t="shared" si="51"/>
        <v>Poste de Coupure n°01 DLR1</v>
      </c>
      <c r="D131" s="19">
        <v>38182</v>
      </c>
      <c r="E131" s="19">
        <v>38182</v>
      </c>
      <c r="F131" s="42"/>
      <c r="G131" s="42">
        <v>1</v>
      </c>
      <c r="H131" s="42"/>
      <c r="I131" s="42" t="s">
        <v>365</v>
      </c>
      <c r="J131" s="42" t="s">
        <v>3335</v>
      </c>
      <c r="K131" s="53">
        <f t="shared" ref="K131:K132" si="66">VALUE(RIGHT(J131,LEN(J131)-SEARCH("/",J131)))</f>
        <v>469</v>
      </c>
      <c r="L131" s="44">
        <f t="shared" ref="L131:L132" si="67">VALUE(SUBSTITUTE(LEFT(J131,SEARCH("/",J131)-1),"+",","))</f>
        <v>133</v>
      </c>
      <c r="M131" s="42" t="s">
        <v>1812</v>
      </c>
      <c r="N131" s="52" t="str">
        <f t="shared" si="39"/>
        <v>(1,'PC-01-DLR1','Poste de Coupure n°01 DLR1','Wednesday-07-jj','Wednesday-07-jj',,1,),</v>
      </c>
    </row>
    <row r="132" spans="1:14" ht="20.100000000000001" customHeight="1" x14ac:dyDescent="0.25">
      <c r="A132" s="39">
        <v>2</v>
      </c>
      <c r="B132" s="40" t="str">
        <f t="shared" si="50"/>
        <v>PC-02-DLR1</v>
      </c>
      <c r="C132" s="52" t="str">
        <f t="shared" si="51"/>
        <v>Poste de Coupure n°02 DLR1</v>
      </c>
      <c r="D132" s="19">
        <v>38182</v>
      </c>
      <c r="E132" s="19">
        <v>38182</v>
      </c>
      <c r="F132" s="42"/>
      <c r="G132" s="42">
        <v>1</v>
      </c>
      <c r="H132" s="42"/>
      <c r="I132" s="42" t="s">
        <v>365</v>
      </c>
      <c r="J132" s="42" t="s">
        <v>3336</v>
      </c>
      <c r="K132" s="53">
        <f t="shared" si="66"/>
        <v>252</v>
      </c>
      <c r="L132" s="44">
        <f t="shared" si="67"/>
        <v>329</v>
      </c>
      <c r="M132" s="42" t="s">
        <v>1812</v>
      </c>
      <c r="N132" s="52" t="str">
        <f t="shared" si="39"/>
        <v>(2,'PC-02-DLR1','Poste de Coupure n°02 DLR1','Wednesday-07-jj','Wednesday-07-jj',,1,),</v>
      </c>
    </row>
    <row r="133" spans="1:14" ht="20.100000000000001" customHeight="1" x14ac:dyDescent="0.25">
      <c r="A133" s="39">
        <v>1</v>
      </c>
      <c r="B133" s="40" t="str">
        <f t="shared" si="50"/>
        <v>PC-01-ELR1</v>
      </c>
      <c r="C133" s="52" t="str">
        <f t="shared" si="51"/>
        <v>Poste de Coupure n°01 ELR1</v>
      </c>
      <c r="D133" s="19">
        <v>41640</v>
      </c>
      <c r="E133" s="19">
        <v>41640</v>
      </c>
      <c r="F133" s="42"/>
      <c r="G133" s="42">
        <v>1</v>
      </c>
      <c r="H133" s="42"/>
      <c r="I133" s="42" t="s">
        <v>368</v>
      </c>
      <c r="J133" s="42" t="s">
        <v>1203</v>
      </c>
      <c r="K133" s="53">
        <f t="shared" ref="K133:K135" si="68">VALUE(RIGHT(J133,LEN(J133)-SEARCH("/",J133)))</f>
        <v>151</v>
      </c>
      <c r="L133" s="44">
        <f t="shared" ref="L133:L135" si="69">VALUE(SUBSTITUTE(LEFT(J133,SEARCH("/",J133)-1),"+",","))</f>
        <v>33</v>
      </c>
      <c r="M133" s="71" t="s">
        <v>1006</v>
      </c>
      <c r="N133" s="52" t="str">
        <f t="shared" si="39"/>
        <v>(1,'PC-01-ELR1','Poste de Coupure n°01 ELR1','Wednesday-01-jj','Wednesday-01-jj',,1,),</v>
      </c>
    </row>
    <row r="134" spans="1:14" ht="20.100000000000001" customHeight="1" x14ac:dyDescent="0.25">
      <c r="A134" s="39">
        <v>2</v>
      </c>
      <c r="B134" s="40" t="str">
        <f t="shared" si="50"/>
        <v>PC-02-ELR1</v>
      </c>
      <c r="C134" s="52" t="str">
        <f t="shared" si="51"/>
        <v>Poste de Coupure n°02 ELR1</v>
      </c>
      <c r="D134" s="19">
        <v>41640</v>
      </c>
      <c r="E134" s="19">
        <v>41640</v>
      </c>
      <c r="F134" s="42"/>
      <c r="G134" s="42">
        <v>1</v>
      </c>
      <c r="H134" s="42"/>
      <c r="I134" s="42" t="s">
        <v>368</v>
      </c>
      <c r="J134" s="42" t="s">
        <v>3337</v>
      </c>
      <c r="K134" s="53">
        <f t="shared" si="68"/>
        <v>260</v>
      </c>
      <c r="L134" s="44">
        <f t="shared" si="69"/>
        <v>153.11799999999999</v>
      </c>
      <c r="M134" s="42" t="s">
        <v>752</v>
      </c>
      <c r="N134" s="52" t="str">
        <f t="shared" si="39"/>
        <v>(2,'PC-02-ELR1','Poste de Coupure n°02 ELR1','Wednesday-01-jj','Wednesday-01-jj',,1,),</v>
      </c>
    </row>
    <row r="135" spans="1:14" ht="20.100000000000001" customHeight="1" x14ac:dyDescent="0.25">
      <c r="A135" s="39">
        <v>3</v>
      </c>
      <c r="B135" s="40" t="str">
        <f t="shared" si="50"/>
        <v>PC-03-ELR1</v>
      </c>
      <c r="C135" s="52" t="str">
        <f t="shared" si="51"/>
        <v>Poste de Coupure n°03 ELR1</v>
      </c>
      <c r="D135" s="19">
        <v>41640</v>
      </c>
      <c r="E135" s="19">
        <v>41640</v>
      </c>
      <c r="F135" s="42"/>
      <c r="G135" s="42">
        <v>1</v>
      </c>
      <c r="H135" s="42"/>
      <c r="I135" s="42" t="s">
        <v>368</v>
      </c>
      <c r="J135" s="42" t="s">
        <v>3338</v>
      </c>
      <c r="K135" s="53">
        <f t="shared" si="68"/>
        <v>530</v>
      </c>
      <c r="L135" s="44">
        <f t="shared" si="69"/>
        <v>252.09200000000001</v>
      </c>
      <c r="M135" s="42" t="s">
        <v>3339</v>
      </c>
      <c r="N135" s="52" t="str">
        <f t="shared" si="39"/>
        <v>(3,'PC-03-ELR1','Poste de Coupure n°03 ELR1','Wednesday-01-jj','Wednesday-01-jj',,1,),</v>
      </c>
    </row>
    <row r="136" spans="1:14" ht="20.100000000000001" customHeight="1" x14ac:dyDescent="0.25">
      <c r="A136" s="39"/>
      <c r="B136" s="40"/>
      <c r="C136" s="52"/>
      <c r="D136" s="19"/>
      <c r="E136" s="19"/>
      <c r="F136" s="42"/>
      <c r="G136" s="42"/>
      <c r="H136" s="42"/>
      <c r="I136" s="42"/>
      <c r="J136" s="42"/>
      <c r="K136" s="53"/>
      <c r="L136" s="44"/>
      <c r="M136" s="42"/>
      <c r="N136" s="52"/>
    </row>
    <row r="137" spans="1:14" ht="20.100000000000001" customHeight="1" x14ac:dyDescent="0.25">
      <c r="A137" s="39"/>
      <c r="B137" s="40"/>
      <c r="C137" s="52"/>
      <c r="D137" s="19"/>
      <c r="E137" s="19"/>
      <c r="F137" s="42"/>
      <c r="G137" s="42"/>
      <c r="H137" s="42"/>
      <c r="I137" s="42"/>
      <c r="J137" s="42"/>
      <c r="K137" s="53"/>
      <c r="L137" s="44"/>
      <c r="M137" s="42"/>
      <c r="N137" s="52" t="str">
        <f t="shared" ref="N137:N194" si="70">CONCATENATE("(",A137,",'",B137,"','",C137,"','",TEXT(D137,"aaaa-mm-jj"),"','",TEXT(E137,"aaaa-mm-jj"),"',",F137,",",G137,",",H137,"),")</f>
        <v>(,'','','1900-01-00','1900-01-00',,,),</v>
      </c>
    </row>
    <row r="138" spans="1:14" ht="20.100000000000001" customHeight="1" x14ac:dyDescent="0.25">
      <c r="A138" s="39"/>
      <c r="B138" s="40"/>
      <c r="C138" s="52"/>
      <c r="D138" s="19"/>
      <c r="E138" s="19"/>
      <c r="F138" s="42"/>
      <c r="G138" s="42"/>
      <c r="H138" s="42"/>
      <c r="I138" s="42"/>
      <c r="J138" s="42"/>
      <c r="K138" s="53"/>
      <c r="L138" s="44"/>
      <c r="M138" s="42"/>
      <c r="N138" s="52" t="str">
        <f t="shared" si="70"/>
        <v>(,'','','1900-01-00','1900-01-00',,,),</v>
      </c>
    </row>
    <row r="139" spans="1:14" ht="20.100000000000001" customHeight="1" x14ac:dyDescent="0.25">
      <c r="A139" s="39"/>
      <c r="B139" s="40"/>
      <c r="C139" s="52"/>
      <c r="D139" s="19"/>
      <c r="E139" s="19"/>
      <c r="F139" s="42"/>
      <c r="G139" s="42"/>
      <c r="H139" s="42"/>
      <c r="I139" s="42"/>
      <c r="J139" s="42"/>
      <c r="K139" s="53"/>
      <c r="L139" s="44"/>
      <c r="M139" s="42"/>
      <c r="N139" s="52" t="str">
        <f t="shared" si="70"/>
        <v>(,'','','1900-01-00','1900-01-00',,,),</v>
      </c>
    </row>
    <row r="140" spans="1:14" ht="20.100000000000001" customHeight="1" x14ac:dyDescent="0.25">
      <c r="A140" s="39"/>
      <c r="B140" s="40"/>
      <c r="C140" s="52"/>
      <c r="D140" s="19"/>
      <c r="E140" s="19"/>
      <c r="F140" s="42"/>
      <c r="G140" s="42"/>
      <c r="H140" s="42"/>
      <c r="I140" s="42"/>
      <c r="J140" s="42"/>
      <c r="K140" s="53"/>
      <c r="L140" s="44"/>
      <c r="M140" s="42"/>
      <c r="N140" s="52" t="str">
        <f t="shared" si="70"/>
        <v>(,'','','1900-01-00','1900-01-00',,,),</v>
      </c>
    </row>
    <row r="141" spans="1:14" ht="20.100000000000001" customHeight="1" x14ac:dyDescent="0.25">
      <c r="A141" s="39"/>
      <c r="B141" s="40"/>
      <c r="C141" s="52"/>
      <c r="D141" s="19"/>
      <c r="E141" s="19"/>
      <c r="F141" s="42"/>
      <c r="G141" s="42"/>
      <c r="H141" s="42"/>
      <c r="I141" s="42"/>
      <c r="J141" s="42"/>
      <c r="K141" s="53"/>
      <c r="L141" s="44"/>
      <c r="M141" s="42"/>
      <c r="N141" s="52" t="str">
        <f t="shared" si="70"/>
        <v>(,'','','1900-01-00','1900-01-00',,,),</v>
      </c>
    </row>
    <row r="142" spans="1:14" ht="20.100000000000001" customHeight="1" x14ac:dyDescent="0.25">
      <c r="A142" s="39"/>
      <c r="B142" s="40"/>
      <c r="C142" s="52"/>
      <c r="D142" s="19"/>
      <c r="E142" s="19"/>
      <c r="F142" s="42"/>
      <c r="G142" s="42"/>
      <c r="H142" s="42"/>
      <c r="I142" s="42"/>
      <c r="J142" s="42"/>
      <c r="K142" s="53"/>
      <c r="L142" s="44"/>
      <c r="M142" s="42"/>
      <c r="N142" s="52" t="str">
        <f t="shared" si="70"/>
        <v>(,'','','1900-01-00','1900-01-00',,,),</v>
      </c>
    </row>
    <row r="143" spans="1:14" ht="20.100000000000001" customHeight="1" x14ac:dyDescent="0.25">
      <c r="A143" s="39"/>
      <c r="B143" s="40"/>
      <c r="C143" s="52"/>
      <c r="D143" s="19"/>
      <c r="E143" s="19"/>
      <c r="F143" s="42"/>
      <c r="G143" s="42"/>
      <c r="H143" s="42"/>
      <c r="I143" s="42"/>
      <c r="J143" s="42"/>
      <c r="K143" s="53"/>
      <c r="L143" s="44"/>
      <c r="M143" s="42"/>
      <c r="N143" s="52" t="str">
        <f t="shared" si="70"/>
        <v>(,'','','1900-01-00','1900-01-00',,,),</v>
      </c>
    </row>
    <row r="144" spans="1:14" ht="20.100000000000001" customHeight="1" x14ac:dyDescent="0.25">
      <c r="A144" s="39"/>
      <c r="B144" s="40"/>
      <c r="C144" s="52"/>
      <c r="D144" s="19"/>
      <c r="E144" s="19"/>
      <c r="F144" s="42"/>
      <c r="G144" s="42"/>
      <c r="H144" s="42"/>
      <c r="I144" s="42"/>
      <c r="J144" s="42"/>
      <c r="K144" s="42"/>
      <c r="L144" s="42"/>
      <c r="M144" s="42"/>
      <c r="N144" s="52" t="str">
        <f t="shared" si="70"/>
        <v>(,'','','1900-01-00','1900-01-00',,,),</v>
      </c>
    </row>
    <row r="145" spans="1:14" ht="20.100000000000001" customHeight="1" x14ac:dyDescent="0.25">
      <c r="A145" s="39"/>
      <c r="B145" s="40"/>
      <c r="C145" s="52"/>
      <c r="D145" s="19"/>
      <c r="E145" s="19"/>
      <c r="F145" s="42"/>
      <c r="G145" s="42"/>
      <c r="H145" s="42"/>
      <c r="I145" s="42"/>
      <c r="J145" s="42"/>
      <c r="K145" s="42"/>
      <c r="L145" s="42"/>
      <c r="M145" s="42"/>
      <c r="N145" s="52" t="str">
        <f t="shared" si="70"/>
        <v>(,'','','1900-01-00','1900-01-00',,,),</v>
      </c>
    </row>
    <row r="146" spans="1:14" ht="20.100000000000001" customHeight="1" x14ac:dyDescent="0.25">
      <c r="A146" s="39"/>
      <c r="B146" s="40"/>
      <c r="C146" s="52"/>
      <c r="D146" s="19"/>
      <c r="E146" s="19"/>
      <c r="F146" s="42"/>
      <c r="G146" s="42"/>
      <c r="H146" s="42"/>
      <c r="I146" s="42"/>
      <c r="J146" s="42"/>
      <c r="K146" s="42"/>
      <c r="L146" s="42"/>
      <c r="M146" s="42"/>
      <c r="N146" s="52" t="str">
        <f t="shared" si="70"/>
        <v>(,'','','1900-01-00','1900-01-00',,,),</v>
      </c>
    </row>
    <row r="147" spans="1:14" ht="20.100000000000001" customHeight="1" x14ac:dyDescent="0.25">
      <c r="A147" s="39"/>
      <c r="B147" s="40"/>
      <c r="C147" s="52"/>
      <c r="D147" s="19"/>
      <c r="E147" s="19"/>
      <c r="F147" s="42"/>
      <c r="G147" s="42"/>
      <c r="H147" s="42"/>
      <c r="I147" s="42"/>
      <c r="J147" s="42"/>
      <c r="K147" s="42"/>
      <c r="L147" s="42"/>
      <c r="M147" s="42"/>
      <c r="N147" s="52" t="str">
        <f t="shared" si="70"/>
        <v>(,'','','1900-01-00','1900-01-00',,,),</v>
      </c>
    </row>
    <row r="148" spans="1:14" ht="20.100000000000001" customHeight="1" x14ac:dyDescent="0.25">
      <c r="A148" s="39"/>
      <c r="B148" s="40"/>
      <c r="C148" s="52"/>
      <c r="D148" s="19"/>
      <c r="E148" s="19"/>
      <c r="F148" s="42"/>
      <c r="G148" s="42"/>
      <c r="H148" s="42"/>
      <c r="I148" s="42"/>
      <c r="J148" s="42"/>
      <c r="K148" s="42"/>
      <c r="L148" s="42"/>
      <c r="M148" s="42"/>
      <c r="N148" s="52" t="str">
        <f t="shared" si="70"/>
        <v>(,'','','1900-01-00','1900-01-00',,,),</v>
      </c>
    </row>
    <row r="149" spans="1:14" ht="20.100000000000001" customHeight="1" x14ac:dyDescent="0.25">
      <c r="A149" s="39"/>
      <c r="B149" s="40"/>
      <c r="C149" s="52"/>
      <c r="D149" s="19"/>
      <c r="E149" s="19"/>
      <c r="F149" s="42"/>
      <c r="G149" s="42"/>
      <c r="H149" s="42"/>
      <c r="I149" s="42"/>
      <c r="J149" s="42"/>
      <c r="K149" s="42"/>
      <c r="L149" s="42"/>
      <c r="M149" s="42"/>
      <c r="N149" s="52" t="str">
        <f t="shared" si="70"/>
        <v>(,'','','1900-01-00','1900-01-00',,,),</v>
      </c>
    </row>
    <row r="150" spans="1:14" ht="20.100000000000001" customHeight="1" x14ac:dyDescent="0.25">
      <c r="A150" s="39"/>
      <c r="B150" s="40"/>
      <c r="C150" s="52"/>
      <c r="D150" s="19"/>
      <c r="E150" s="19"/>
      <c r="F150" s="42"/>
      <c r="G150" s="42"/>
      <c r="H150" s="42"/>
      <c r="I150" s="42"/>
      <c r="J150" s="42"/>
      <c r="K150" s="42"/>
      <c r="L150" s="42"/>
      <c r="M150" s="42"/>
      <c r="N150" s="52" t="str">
        <f t="shared" si="70"/>
        <v>(,'','','1900-01-00','1900-01-00',,,),</v>
      </c>
    </row>
    <row r="151" spans="1:14" ht="20.100000000000001" customHeight="1" x14ac:dyDescent="0.25">
      <c r="A151" s="39"/>
      <c r="B151" s="40"/>
      <c r="C151" s="52"/>
      <c r="D151" s="19"/>
      <c r="E151" s="19"/>
      <c r="F151" s="42"/>
      <c r="G151" s="42"/>
      <c r="H151" s="42"/>
      <c r="I151" s="42"/>
      <c r="J151" s="42"/>
      <c r="K151" s="42"/>
      <c r="L151" s="42"/>
      <c r="M151" s="42"/>
      <c r="N151" s="52" t="str">
        <f t="shared" si="70"/>
        <v>(,'','','1900-01-00','1900-01-00',,,),</v>
      </c>
    </row>
    <row r="152" spans="1:14" ht="20.100000000000001" customHeight="1" x14ac:dyDescent="0.25">
      <c r="A152" s="39"/>
      <c r="B152" s="40"/>
      <c r="C152" s="52"/>
      <c r="D152" s="19"/>
      <c r="E152" s="19"/>
      <c r="F152" s="42"/>
      <c r="G152" s="42"/>
      <c r="H152" s="42"/>
      <c r="I152" s="42"/>
      <c r="J152" s="42"/>
      <c r="K152" s="42"/>
      <c r="L152" s="42"/>
      <c r="M152" s="42"/>
      <c r="N152" s="52" t="str">
        <f t="shared" si="70"/>
        <v>(,'','','1900-01-00','1900-01-00',,,),</v>
      </c>
    </row>
    <row r="153" spans="1:14" ht="20.100000000000001" customHeight="1" x14ac:dyDescent="0.25">
      <c r="A153" s="39"/>
      <c r="B153" s="40"/>
      <c r="C153" s="52"/>
      <c r="D153" s="19"/>
      <c r="E153" s="19"/>
      <c r="F153" s="42"/>
      <c r="G153" s="42"/>
      <c r="H153" s="42"/>
      <c r="I153" s="42"/>
      <c r="J153" s="42"/>
      <c r="K153" s="42"/>
      <c r="L153" s="42"/>
      <c r="M153" s="42"/>
      <c r="N153" s="52" t="str">
        <f t="shared" si="70"/>
        <v>(,'','','1900-01-00','1900-01-00',,,),</v>
      </c>
    </row>
    <row r="154" spans="1:14" ht="20.100000000000001" customHeight="1" x14ac:dyDescent="0.25">
      <c r="A154" s="39"/>
      <c r="B154" s="40"/>
      <c r="C154" s="52"/>
      <c r="D154" s="19"/>
      <c r="E154" s="19"/>
      <c r="F154" s="42"/>
      <c r="G154" s="42"/>
      <c r="H154" s="42"/>
      <c r="I154" s="42"/>
      <c r="J154" s="42"/>
      <c r="K154" s="42"/>
      <c r="L154" s="42"/>
      <c r="M154" s="42"/>
      <c r="N154" s="52" t="str">
        <f t="shared" si="70"/>
        <v>(,'','','1900-01-00','1900-01-00',,,),</v>
      </c>
    </row>
    <row r="155" spans="1:14" ht="20.100000000000001" customHeight="1" x14ac:dyDescent="0.25">
      <c r="A155" s="39"/>
      <c r="B155" s="40"/>
      <c r="C155" s="52"/>
      <c r="D155" s="19"/>
      <c r="E155" s="19"/>
      <c r="F155" s="42"/>
      <c r="G155" s="42"/>
      <c r="H155" s="42"/>
      <c r="I155" s="42"/>
      <c r="J155" s="42"/>
      <c r="K155" s="42"/>
      <c r="L155" s="42"/>
      <c r="M155" s="42"/>
      <c r="N155" s="52" t="str">
        <f t="shared" si="70"/>
        <v>(,'','','1900-01-00','1900-01-00',,,),</v>
      </c>
    </row>
    <row r="156" spans="1:14" ht="20.100000000000001" customHeight="1" x14ac:dyDescent="0.25">
      <c r="A156" s="39"/>
      <c r="B156" s="40"/>
      <c r="C156" s="52"/>
      <c r="D156" s="19"/>
      <c r="E156" s="19"/>
      <c r="F156" s="42"/>
      <c r="G156" s="42"/>
      <c r="H156" s="42"/>
      <c r="I156" s="42"/>
      <c r="J156" s="42"/>
      <c r="K156" s="42"/>
      <c r="L156" s="42"/>
      <c r="M156" s="42"/>
      <c r="N156" s="52" t="str">
        <f t="shared" si="70"/>
        <v>(,'','','1900-01-00','1900-01-00',,,),</v>
      </c>
    </row>
    <row r="157" spans="1:14" ht="20.100000000000001" customHeight="1" x14ac:dyDescent="0.25">
      <c r="A157" s="39"/>
      <c r="B157" s="40"/>
      <c r="C157" s="52"/>
      <c r="D157" s="19"/>
      <c r="E157" s="19"/>
      <c r="F157" s="42"/>
      <c r="G157" s="42"/>
      <c r="H157" s="42"/>
      <c r="I157" s="42"/>
      <c r="J157" s="42"/>
      <c r="K157" s="42"/>
      <c r="L157" s="42"/>
      <c r="M157" s="42"/>
      <c r="N157" s="52" t="str">
        <f t="shared" si="70"/>
        <v>(,'','','1900-01-00','1900-01-00',,,),</v>
      </c>
    </row>
    <row r="158" spans="1:14" ht="20.100000000000001" customHeight="1" x14ac:dyDescent="0.25">
      <c r="A158" s="39"/>
      <c r="B158" s="40"/>
      <c r="C158" s="52"/>
      <c r="D158" s="19"/>
      <c r="E158" s="19"/>
      <c r="F158" s="42"/>
      <c r="G158" s="42"/>
      <c r="H158" s="42"/>
      <c r="I158" s="42"/>
      <c r="J158" s="42"/>
      <c r="K158" s="42"/>
      <c r="L158" s="42"/>
      <c r="M158" s="42"/>
      <c r="N158" s="52" t="str">
        <f t="shared" si="70"/>
        <v>(,'','','1900-01-00','1900-01-00',,,),</v>
      </c>
    </row>
    <row r="159" spans="1:14" ht="20.100000000000001" customHeight="1" x14ac:dyDescent="0.25">
      <c r="A159" s="39"/>
      <c r="B159" s="40"/>
      <c r="C159" s="52"/>
      <c r="D159" s="19"/>
      <c r="E159" s="19"/>
      <c r="F159" s="42"/>
      <c r="G159" s="42"/>
      <c r="H159" s="42"/>
      <c r="I159" s="42"/>
      <c r="J159" s="42"/>
      <c r="K159" s="42"/>
      <c r="L159" s="42"/>
      <c r="M159" s="42"/>
      <c r="N159" s="52" t="str">
        <f t="shared" si="70"/>
        <v>(,'','','1900-01-00','1900-01-00',,,),</v>
      </c>
    </row>
    <row r="160" spans="1:14" ht="20.100000000000001" customHeight="1" x14ac:dyDescent="0.25">
      <c r="A160" s="39"/>
      <c r="B160" s="40"/>
      <c r="C160" s="52"/>
      <c r="D160" s="19"/>
      <c r="E160" s="19"/>
      <c r="F160" s="42"/>
      <c r="G160" s="42"/>
      <c r="H160" s="42"/>
      <c r="I160" s="42"/>
      <c r="J160" s="42"/>
      <c r="K160" s="42"/>
      <c r="L160" s="42"/>
      <c r="M160" s="42"/>
      <c r="N160" s="52" t="str">
        <f t="shared" si="70"/>
        <v>(,'','','1900-01-00','1900-01-00',,,),</v>
      </c>
    </row>
    <row r="161" spans="1:14" ht="20.100000000000001" customHeight="1" x14ac:dyDescent="0.25">
      <c r="A161" s="39"/>
      <c r="B161" s="40"/>
      <c r="C161" s="52"/>
      <c r="D161" s="19"/>
      <c r="E161" s="19"/>
      <c r="F161" s="42"/>
      <c r="G161" s="42"/>
      <c r="H161" s="42"/>
      <c r="I161" s="42"/>
      <c r="J161" s="42"/>
      <c r="K161" s="42"/>
      <c r="L161" s="42"/>
      <c r="M161" s="42"/>
      <c r="N161" s="52" t="str">
        <f t="shared" si="70"/>
        <v>(,'','','1900-01-00','1900-01-00',,,),</v>
      </c>
    </row>
    <row r="162" spans="1:14" ht="20.100000000000001" customHeight="1" x14ac:dyDescent="0.25">
      <c r="A162" s="39"/>
      <c r="B162" s="40"/>
      <c r="C162" s="52"/>
      <c r="D162" s="19"/>
      <c r="E162" s="19"/>
      <c r="F162" s="42"/>
      <c r="G162" s="42"/>
      <c r="H162" s="42"/>
      <c r="I162" s="42"/>
      <c r="J162" s="42"/>
      <c r="K162" s="42"/>
      <c r="L162" s="42"/>
      <c r="M162" s="42"/>
      <c r="N162" s="52" t="str">
        <f t="shared" si="70"/>
        <v>(,'','','1900-01-00','1900-01-00',,,),</v>
      </c>
    </row>
    <row r="163" spans="1:14" ht="20.100000000000001" customHeight="1" x14ac:dyDescent="0.25">
      <c r="A163" s="39"/>
      <c r="B163" s="40"/>
      <c r="C163" s="52"/>
      <c r="D163" s="19"/>
      <c r="E163" s="19"/>
      <c r="F163" s="42"/>
      <c r="G163" s="42"/>
      <c r="H163" s="42"/>
      <c r="I163" s="42"/>
      <c r="J163" s="42"/>
      <c r="K163" s="42"/>
      <c r="L163" s="42"/>
      <c r="M163" s="42"/>
      <c r="N163" s="52" t="str">
        <f t="shared" si="70"/>
        <v>(,'','','1900-01-00','1900-01-00',,,),</v>
      </c>
    </row>
    <row r="164" spans="1:14" ht="20.100000000000001" customHeight="1" x14ac:dyDescent="0.25">
      <c r="A164" s="39"/>
      <c r="B164" s="40"/>
      <c r="C164" s="52"/>
      <c r="D164" s="19"/>
      <c r="E164" s="19"/>
      <c r="F164" s="42"/>
      <c r="G164" s="42"/>
      <c r="H164" s="42"/>
      <c r="I164" s="42"/>
      <c r="J164" s="42"/>
      <c r="K164" s="42"/>
      <c r="L164" s="42"/>
      <c r="M164" s="42"/>
      <c r="N164" s="52" t="str">
        <f t="shared" si="70"/>
        <v>(,'','','1900-01-00','1900-01-00',,,),</v>
      </c>
    </row>
    <row r="165" spans="1:14" ht="20.100000000000001" customHeight="1" x14ac:dyDescent="0.25">
      <c r="A165" s="39"/>
      <c r="B165" s="40"/>
      <c r="C165" s="52"/>
      <c r="D165" s="19"/>
      <c r="E165" s="19"/>
      <c r="F165" s="42"/>
      <c r="G165" s="42"/>
      <c r="H165" s="42"/>
      <c r="I165" s="42"/>
      <c r="J165" s="42"/>
      <c r="K165" s="42"/>
      <c r="L165" s="42"/>
      <c r="M165" s="42"/>
      <c r="N165" s="52" t="str">
        <f t="shared" si="70"/>
        <v>(,'','','1900-01-00','1900-01-00',,,),</v>
      </c>
    </row>
    <row r="166" spans="1:14" ht="20.100000000000001" customHeight="1" x14ac:dyDescent="0.25">
      <c r="A166" s="39"/>
      <c r="B166" s="40"/>
      <c r="C166" s="52"/>
      <c r="D166" s="19"/>
      <c r="E166" s="19"/>
      <c r="F166" s="42"/>
      <c r="G166" s="42"/>
      <c r="H166" s="42"/>
      <c r="I166" s="42"/>
      <c r="J166" s="42"/>
      <c r="K166" s="42"/>
      <c r="L166" s="42"/>
      <c r="M166" s="42"/>
      <c r="N166" s="52" t="str">
        <f t="shared" si="70"/>
        <v>(,'','','1900-01-00','1900-01-00',,,),</v>
      </c>
    </row>
    <row r="167" spans="1:14" ht="20.100000000000001" customHeight="1" x14ac:dyDescent="0.25">
      <c r="A167" s="39"/>
      <c r="B167" s="40"/>
      <c r="C167" s="5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52" t="str">
        <f t="shared" si="70"/>
        <v>(,'','','1900-01-00','1900-01-00',,,),</v>
      </c>
    </row>
    <row r="168" spans="1:14" ht="20.100000000000001" customHeight="1" x14ac:dyDescent="0.25">
      <c r="A168" s="39"/>
      <c r="B168" s="40"/>
      <c r="C168" s="5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52" t="str">
        <f t="shared" si="70"/>
        <v>(,'','','1900-01-00','1900-01-00',,,),</v>
      </c>
    </row>
    <row r="169" spans="1:14" ht="20.100000000000001" customHeight="1" x14ac:dyDescent="0.25">
      <c r="A169" s="39"/>
      <c r="B169" s="40"/>
      <c r="C169" s="52"/>
      <c r="D169" s="19"/>
      <c r="E169" s="19"/>
      <c r="F169" s="42"/>
      <c r="G169" s="42"/>
      <c r="H169" s="42"/>
      <c r="I169" s="42"/>
      <c r="J169" s="42"/>
      <c r="K169" s="42"/>
      <c r="L169" s="42"/>
      <c r="M169" s="42"/>
      <c r="N169" s="52" t="str">
        <f t="shared" si="70"/>
        <v>(,'','','1900-01-00','1900-01-00',,,),</v>
      </c>
    </row>
    <row r="170" spans="1:14" ht="20.100000000000001" customHeight="1" x14ac:dyDescent="0.25">
      <c r="A170" s="39"/>
      <c r="B170" s="40"/>
      <c r="C170" s="52"/>
      <c r="D170" s="19"/>
      <c r="E170" s="19"/>
      <c r="F170" s="42"/>
      <c r="G170" s="42"/>
      <c r="H170" s="42"/>
      <c r="I170" s="42"/>
      <c r="J170" s="42"/>
      <c r="K170" s="42"/>
      <c r="L170" s="42"/>
      <c r="M170" s="42"/>
      <c r="N170" s="52" t="str">
        <f t="shared" si="70"/>
        <v>(,'','','1900-01-00','1900-01-00',,,),</v>
      </c>
    </row>
    <row r="171" spans="1:14" ht="20.100000000000001" customHeight="1" x14ac:dyDescent="0.25">
      <c r="A171" s="39"/>
      <c r="B171" s="40"/>
      <c r="C171" s="52"/>
      <c r="D171" s="19"/>
      <c r="E171" s="19"/>
      <c r="F171" s="42"/>
      <c r="G171" s="42"/>
      <c r="H171" s="42"/>
      <c r="I171" s="42"/>
      <c r="J171" s="42"/>
      <c r="K171" s="42"/>
      <c r="L171" s="42"/>
      <c r="M171" s="42"/>
      <c r="N171" s="52" t="str">
        <f t="shared" si="70"/>
        <v>(,'','','1900-01-00','1900-01-00',,,),</v>
      </c>
    </row>
    <row r="172" spans="1:14" ht="20.100000000000001" customHeight="1" x14ac:dyDescent="0.25">
      <c r="A172" s="39"/>
      <c r="B172" s="40"/>
      <c r="C172" s="5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52" t="str">
        <f t="shared" si="70"/>
        <v>(,'','','1900-01-00','1900-01-00',,,),</v>
      </c>
    </row>
    <row r="173" spans="1:14" ht="20.100000000000001" customHeight="1" x14ac:dyDescent="0.25">
      <c r="A173" s="39"/>
      <c r="B173" s="40"/>
      <c r="C173" s="52"/>
      <c r="D173" s="19"/>
      <c r="E173" s="19"/>
      <c r="F173" s="42"/>
      <c r="G173" s="42"/>
      <c r="H173" s="42"/>
      <c r="I173" s="42"/>
      <c r="J173" s="42"/>
      <c r="K173" s="42"/>
      <c r="L173" s="42"/>
      <c r="M173" s="42"/>
      <c r="N173" s="52" t="str">
        <f t="shared" si="70"/>
        <v>(,'','','1900-01-00','1900-01-00',,,),</v>
      </c>
    </row>
    <row r="174" spans="1:14" ht="20.100000000000001" customHeight="1" x14ac:dyDescent="0.25">
      <c r="A174" s="39"/>
      <c r="B174" s="40"/>
      <c r="C174" s="52"/>
      <c r="D174" s="19"/>
      <c r="E174" s="19"/>
      <c r="F174" s="42"/>
      <c r="G174" s="42"/>
      <c r="H174" s="42"/>
      <c r="I174" s="42"/>
      <c r="J174" s="42"/>
      <c r="K174" s="42"/>
      <c r="L174" s="42"/>
      <c r="M174" s="42"/>
      <c r="N174" s="52" t="str">
        <f t="shared" si="70"/>
        <v>(,'','','1900-01-00','1900-01-00',,,),</v>
      </c>
    </row>
    <row r="175" spans="1:14" ht="20.100000000000001" customHeight="1" x14ac:dyDescent="0.25">
      <c r="A175" s="39"/>
      <c r="B175" s="48"/>
      <c r="C175" s="52"/>
      <c r="D175" s="19"/>
      <c r="E175" s="19"/>
      <c r="F175" s="42"/>
      <c r="G175" s="42"/>
      <c r="H175" s="42"/>
      <c r="I175" s="42"/>
      <c r="J175" s="42"/>
      <c r="K175" s="42"/>
      <c r="L175" s="42"/>
      <c r="M175" s="42"/>
      <c r="N175" s="52" t="str">
        <f t="shared" si="70"/>
        <v>(,'','','1900-01-00','1900-01-00',,,),</v>
      </c>
    </row>
    <row r="176" spans="1:14" ht="20.100000000000001" customHeight="1" x14ac:dyDescent="0.25">
      <c r="A176" s="39"/>
      <c r="B176" s="40"/>
      <c r="C176" s="52"/>
      <c r="D176" s="19"/>
      <c r="E176" s="19"/>
      <c r="F176" s="42"/>
      <c r="G176" s="42"/>
      <c r="H176" s="42"/>
      <c r="I176" s="42"/>
      <c r="J176" s="42"/>
      <c r="K176" s="42"/>
      <c r="L176" s="42"/>
      <c r="M176" s="42"/>
      <c r="N176" s="52" t="str">
        <f t="shared" si="70"/>
        <v>(,'','','1900-01-00','1900-01-00',,,),</v>
      </c>
    </row>
    <row r="177" spans="1:14" ht="20.100000000000001" customHeight="1" x14ac:dyDescent="0.25">
      <c r="A177" s="39"/>
      <c r="B177" s="40"/>
      <c r="C177" s="52"/>
      <c r="D177" s="19"/>
      <c r="E177" s="19"/>
      <c r="F177" s="42"/>
      <c r="G177" s="42"/>
      <c r="H177" s="42"/>
      <c r="I177" s="42"/>
      <c r="J177" s="42"/>
      <c r="K177" s="42"/>
      <c r="L177" s="42"/>
      <c r="M177" s="42"/>
      <c r="N177" s="52" t="str">
        <f t="shared" si="70"/>
        <v>(,'','','1900-01-00','1900-01-00',,,),</v>
      </c>
    </row>
    <row r="178" spans="1:14" ht="20.100000000000001" customHeight="1" x14ac:dyDescent="0.25">
      <c r="A178" s="39"/>
      <c r="B178" s="40"/>
      <c r="C178" s="52"/>
      <c r="D178" s="19"/>
      <c r="E178" s="19"/>
      <c r="F178" s="42"/>
      <c r="G178" s="42"/>
      <c r="H178" s="42"/>
      <c r="I178" s="42"/>
      <c r="J178" s="42"/>
      <c r="K178" s="42"/>
      <c r="L178" s="42"/>
      <c r="M178" s="42"/>
      <c r="N178" s="52" t="str">
        <f t="shared" si="70"/>
        <v>(,'','','1900-01-00','1900-01-00',,,),</v>
      </c>
    </row>
    <row r="179" spans="1:14" ht="20.100000000000001" customHeight="1" x14ac:dyDescent="0.25">
      <c r="A179" s="39"/>
      <c r="B179" s="40"/>
      <c r="C179" s="52"/>
      <c r="D179" s="19"/>
      <c r="E179" s="19"/>
      <c r="F179" s="42"/>
      <c r="G179" s="42"/>
      <c r="H179" s="42"/>
      <c r="I179" s="42"/>
      <c r="J179" s="42"/>
      <c r="K179" s="42"/>
      <c r="L179" s="42"/>
      <c r="M179" s="42"/>
      <c r="N179" s="52" t="str">
        <f t="shared" si="70"/>
        <v>(,'','','1900-01-00','1900-01-00',,,),</v>
      </c>
    </row>
    <row r="180" spans="1:14" ht="20.100000000000001" customHeight="1" x14ac:dyDescent="0.25">
      <c r="A180" s="39"/>
      <c r="B180" s="40"/>
      <c r="C180" s="52"/>
      <c r="D180" s="19"/>
      <c r="E180" s="19"/>
      <c r="F180" s="42"/>
      <c r="G180" s="42"/>
      <c r="H180" s="42"/>
      <c r="I180" s="42"/>
      <c r="J180" s="42"/>
      <c r="K180" s="42"/>
      <c r="L180" s="42"/>
      <c r="M180" s="42"/>
      <c r="N180" s="52" t="str">
        <f t="shared" si="70"/>
        <v>(,'','','1900-01-00','1900-01-00',,,),</v>
      </c>
    </row>
    <row r="181" spans="1:14" ht="20.100000000000001" customHeight="1" x14ac:dyDescent="0.25">
      <c r="A181" s="39"/>
      <c r="B181" s="40"/>
      <c r="C181" s="52"/>
      <c r="D181" s="19"/>
      <c r="E181" s="19"/>
      <c r="F181" s="42"/>
      <c r="G181" s="42"/>
      <c r="H181" s="42"/>
      <c r="I181" s="42"/>
      <c r="J181" s="42"/>
      <c r="K181" s="42"/>
      <c r="L181" s="42"/>
      <c r="M181" s="42"/>
      <c r="N181" s="52" t="str">
        <f t="shared" si="70"/>
        <v>(,'','','1900-01-00','1900-01-00',,,),</v>
      </c>
    </row>
    <row r="182" spans="1:14" ht="20.100000000000001" customHeight="1" x14ac:dyDescent="0.25">
      <c r="A182" s="39"/>
      <c r="B182" s="40"/>
      <c r="C182" s="52"/>
      <c r="D182" s="19"/>
      <c r="E182" s="19"/>
      <c r="F182" s="42"/>
      <c r="G182" s="42"/>
      <c r="H182" s="42"/>
      <c r="I182" s="42"/>
      <c r="J182" s="42"/>
      <c r="K182" s="42"/>
      <c r="L182" s="42"/>
      <c r="M182" s="42"/>
      <c r="N182" s="52" t="str">
        <f t="shared" si="70"/>
        <v>(,'','','1900-01-00','1900-01-00',,,),</v>
      </c>
    </row>
    <row r="183" spans="1:14" ht="20.100000000000001" customHeight="1" x14ac:dyDescent="0.25">
      <c r="A183" s="39"/>
      <c r="B183" s="40"/>
      <c r="C183" s="52"/>
      <c r="D183" s="19"/>
      <c r="E183" s="19"/>
      <c r="F183" s="42"/>
      <c r="G183" s="42"/>
      <c r="H183" s="42"/>
      <c r="I183" s="42"/>
      <c r="J183" s="42"/>
      <c r="K183" s="42"/>
      <c r="L183" s="42"/>
      <c r="M183" s="42"/>
      <c r="N183" s="52" t="str">
        <f t="shared" si="70"/>
        <v>(,'','','1900-01-00','1900-01-00',,,),</v>
      </c>
    </row>
    <row r="184" spans="1:14" ht="20.100000000000001" customHeight="1" x14ac:dyDescent="0.25">
      <c r="A184" s="39"/>
      <c r="B184" s="40"/>
      <c r="C184" s="52"/>
      <c r="D184" s="19"/>
      <c r="E184" s="19"/>
      <c r="F184" s="42"/>
      <c r="G184" s="42"/>
      <c r="H184" s="42"/>
      <c r="I184" s="42"/>
      <c r="J184" s="42"/>
      <c r="K184" s="42"/>
      <c r="L184" s="42"/>
      <c r="M184" s="42"/>
      <c r="N184" s="52" t="str">
        <f t="shared" si="70"/>
        <v>(,'','','1900-01-00','1900-01-00',,,),</v>
      </c>
    </row>
    <row r="185" spans="1:14" ht="20.100000000000001" customHeight="1" x14ac:dyDescent="0.25">
      <c r="A185" s="39"/>
      <c r="B185" s="40"/>
      <c r="C185" s="52"/>
      <c r="D185" s="19"/>
      <c r="E185" s="19"/>
      <c r="F185" s="42"/>
      <c r="G185" s="42"/>
      <c r="H185" s="42"/>
      <c r="I185" s="42"/>
      <c r="J185" s="42"/>
      <c r="K185" s="42"/>
      <c r="L185" s="42"/>
      <c r="M185" s="42"/>
      <c r="N185" s="52" t="str">
        <f t="shared" si="70"/>
        <v>(,'','','1900-01-00','1900-01-00',,,),</v>
      </c>
    </row>
    <row r="186" spans="1:14" ht="20.100000000000001" customHeight="1" x14ac:dyDescent="0.25">
      <c r="A186" s="39"/>
      <c r="B186" s="40"/>
      <c r="C186" s="52"/>
      <c r="D186" s="19"/>
      <c r="E186" s="19"/>
      <c r="F186" s="42"/>
      <c r="G186" s="42"/>
      <c r="H186" s="42"/>
      <c r="I186" s="42"/>
      <c r="J186" s="42"/>
      <c r="K186" s="42"/>
      <c r="L186" s="42"/>
      <c r="M186" s="42"/>
      <c r="N186" s="52" t="str">
        <f t="shared" si="70"/>
        <v>(,'','','1900-01-00','1900-01-00',,,),</v>
      </c>
    </row>
    <row r="187" spans="1:14" ht="20.100000000000001" customHeight="1" x14ac:dyDescent="0.25">
      <c r="A187" s="39"/>
      <c r="B187" s="40"/>
      <c r="C187" s="52"/>
      <c r="D187" s="19"/>
      <c r="E187" s="19"/>
      <c r="F187" s="42"/>
      <c r="G187" s="42"/>
      <c r="H187" s="42"/>
      <c r="I187" s="42"/>
      <c r="J187" s="42"/>
      <c r="K187" s="42"/>
      <c r="L187" s="42"/>
      <c r="M187" s="42"/>
      <c r="N187" s="52" t="str">
        <f t="shared" si="70"/>
        <v>(,'','','1900-01-00','1900-01-00',,,),</v>
      </c>
    </row>
    <row r="188" spans="1:14" ht="20.100000000000001" customHeight="1" x14ac:dyDescent="0.25">
      <c r="A188" s="39"/>
      <c r="B188" s="40"/>
      <c r="C188" s="52"/>
      <c r="D188" s="19"/>
      <c r="E188" s="19"/>
      <c r="F188" s="42"/>
      <c r="G188" s="42"/>
      <c r="H188" s="42"/>
      <c r="I188" s="42"/>
      <c r="J188" s="42"/>
      <c r="K188" s="42"/>
      <c r="L188" s="42"/>
      <c r="M188" s="42"/>
      <c r="N188" s="52" t="str">
        <f t="shared" si="70"/>
        <v>(,'','','1900-01-00','1900-01-00',,,),</v>
      </c>
    </row>
    <row r="189" spans="1:14" ht="20.100000000000001" customHeight="1" x14ac:dyDescent="0.25">
      <c r="A189" s="39"/>
      <c r="B189" s="40"/>
      <c r="C189" s="52"/>
      <c r="D189" s="19"/>
      <c r="E189" s="19"/>
      <c r="F189" s="42"/>
      <c r="G189" s="42"/>
      <c r="H189" s="42"/>
      <c r="I189" s="42"/>
      <c r="J189" s="42"/>
      <c r="K189" s="42"/>
      <c r="L189" s="42"/>
      <c r="M189" s="42"/>
      <c r="N189" s="52" t="str">
        <f t="shared" si="70"/>
        <v>(,'','','1900-01-00','1900-01-00',,,),</v>
      </c>
    </row>
    <row r="190" spans="1:14" ht="20.100000000000001" customHeight="1" x14ac:dyDescent="0.25">
      <c r="A190" s="39"/>
      <c r="B190" s="40"/>
      <c r="C190" s="52"/>
      <c r="D190" s="19"/>
      <c r="E190" s="42"/>
      <c r="F190" s="42"/>
      <c r="G190" s="42"/>
      <c r="H190" s="42"/>
      <c r="I190" s="42"/>
      <c r="J190" s="42"/>
      <c r="K190" s="42"/>
      <c r="L190" s="42"/>
      <c r="M190" s="42"/>
      <c r="N190" s="52" t="str">
        <f t="shared" si="70"/>
        <v>(,'','','1900-01-00','1900-01-00',,,),</v>
      </c>
    </row>
    <row r="191" spans="1:14" ht="20.100000000000001" customHeight="1" x14ac:dyDescent="0.25">
      <c r="A191" s="39"/>
      <c r="B191" s="40"/>
      <c r="C191" s="52"/>
      <c r="D191" s="19"/>
      <c r="E191" s="42"/>
      <c r="F191" s="42"/>
      <c r="G191" s="42"/>
      <c r="H191" s="42"/>
      <c r="I191" s="42"/>
      <c r="J191" s="42"/>
      <c r="K191" s="42"/>
      <c r="L191" s="42"/>
      <c r="M191" s="42"/>
      <c r="N191" s="52" t="str">
        <f t="shared" si="70"/>
        <v>(,'','','1900-01-00','1900-01-00',,,),</v>
      </c>
    </row>
    <row r="192" spans="1:14" ht="20.100000000000001" customHeight="1" x14ac:dyDescent="0.25">
      <c r="A192" s="39"/>
      <c r="B192" s="40"/>
      <c r="C192" s="52"/>
      <c r="D192" s="19"/>
      <c r="E192" s="19"/>
      <c r="F192" s="42"/>
      <c r="G192" s="42"/>
      <c r="H192" s="42"/>
      <c r="I192" s="42"/>
      <c r="J192" s="42"/>
      <c r="K192" s="42"/>
      <c r="L192" s="42"/>
      <c r="M192" s="42"/>
      <c r="N192" s="52" t="str">
        <f t="shared" si="70"/>
        <v>(,'','','1900-01-00','1900-01-00',,,),</v>
      </c>
    </row>
    <row r="193" spans="1:14" ht="20.100000000000001" customHeight="1" x14ac:dyDescent="0.25">
      <c r="A193" s="39"/>
      <c r="B193" s="40"/>
      <c r="C193" s="52"/>
      <c r="D193" s="19"/>
      <c r="E193" s="42"/>
      <c r="F193" s="42"/>
      <c r="G193" s="42"/>
      <c r="H193" s="42"/>
      <c r="I193" s="42"/>
      <c r="J193" s="42"/>
      <c r="K193" s="42"/>
      <c r="L193" s="42"/>
      <c r="M193" s="42"/>
      <c r="N193" s="52" t="str">
        <f t="shared" si="70"/>
        <v>(,'','','1900-01-00','1900-01-00',,,),</v>
      </c>
    </row>
    <row r="194" spans="1:14" ht="20.100000000000001" customHeight="1" x14ac:dyDescent="0.25">
      <c r="A194" s="39"/>
      <c r="B194" s="40"/>
      <c r="C194" s="52"/>
      <c r="D194" s="19"/>
      <c r="E194" s="42"/>
      <c r="F194" s="42"/>
      <c r="G194" s="42"/>
      <c r="H194" s="42"/>
      <c r="I194" s="42"/>
      <c r="J194" s="42"/>
      <c r="K194" s="42"/>
      <c r="L194" s="42"/>
      <c r="M194" s="42"/>
      <c r="N194" s="52" t="str">
        <f t="shared" si="70"/>
        <v>(,'','','1900-01-00','1900-01-00',,,),</v>
      </c>
    </row>
    <row r="195" spans="1:14" ht="20.100000000000001" customHeight="1" x14ac:dyDescent="0.25">
      <c r="A195" s="39"/>
      <c r="B195" s="40"/>
      <c r="C195" s="52"/>
      <c r="D195" s="19"/>
      <c r="E195" s="42"/>
      <c r="F195" s="42"/>
      <c r="G195" s="42"/>
      <c r="H195" s="42"/>
      <c r="I195" s="42"/>
      <c r="J195" s="42"/>
      <c r="K195" s="42"/>
      <c r="L195" s="42"/>
      <c r="M195" s="42"/>
      <c r="N195" s="52" t="str">
        <f t="shared" ref="N195:N237" si="71">CONCATENATE("(",A195,",'",B195,"','",C195,"','",TEXT(D195,"aaaa-mm-jj"),"','",TEXT(E195,"aaaa-mm-jj"),"',",F195,",",G195,",",H195,"),")</f>
        <v>(,'','','1900-01-00','1900-01-00',,,),</v>
      </c>
    </row>
    <row r="196" spans="1:14" ht="20.100000000000001" customHeight="1" x14ac:dyDescent="0.25">
      <c r="A196" s="39"/>
      <c r="B196" s="40"/>
      <c r="C196" s="52"/>
      <c r="D196" s="19"/>
      <c r="E196" s="19"/>
      <c r="F196" s="42"/>
      <c r="G196" s="42"/>
      <c r="H196" s="42"/>
      <c r="I196" s="42"/>
      <c r="J196" s="42"/>
      <c r="K196" s="42"/>
      <c r="L196" s="42"/>
      <c r="M196" s="42"/>
      <c r="N196" s="52" t="str">
        <f t="shared" si="71"/>
        <v>(,'','','1900-01-00','1900-01-00',,,),</v>
      </c>
    </row>
    <row r="197" spans="1:14" ht="20.100000000000001" customHeight="1" x14ac:dyDescent="0.25">
      <c r="A197" s="39"/>
      <c r="B197" s="40"/>
      <c r="C197" s="52"/>
      <c r="D197" s="19"/>
      <c r="E197" s="42"/>
      <c r="F197" s="42"/>
      <c r="G197" s="42"/>
      <c r="H197" s="42"/>
      <c r="I197" s="42"/>
      <c r="J197" s="42"/>
      <c r="K197" s="42"/>
      <c r="L197" s="42"/>
      <c r="M197" s="42"/>
      <c r="N197" s="52" t="str">
        <f t="shared" si="71"/>
        <v>(,'','','1900-01-00','1900-01-00',,,),</v>
      </c>
    </row>
    <row r="198" spans="1:14" ht="20.100000000000001" customHeight="1" x14ac:dyDescent="0.25">
      <c r="A198" s="39"/>
      <c r="B198" s="40"/>
      <c r="C198" s="52"/>
      <c r="D198" s="19"/>
      <c r="E198" s="42"/>
      <c r="F198" s="42"/>
      <c r="G198" s="42"/>
      <c r="H198" s="42"/>
      <c r="I198" s="42"/>
      <c r="J198" s="42"/>
      <c r="K198" s="42"/>
      <c r="L198" s="42"/>
      <c r="M198" s="42"/>
      <c r="N198" s="52" t="str">
        <f t="shared" si="71"/>
        <v>(,'','','1900-01-00','1900-01-00',,,),</v>
      </c>
    </row>
    <row r="199" spans="1:14" ht="20.100000000000001" customHeight="1" x14ac:dyDescent="0.25">
      <c r="A199" s="39"/>
      <c r="B199" s="40"/>
      <c r="C199" s="52"/>
      <c r="D199" s="19"/>
      <c r="E199" s="19"/>
      <c r="F199" s="42"/>
      <c r="G199" s="42"/>
      <c r="H199" s="42"/>
      <c r="I199" s="42"/>
      <c r="J199" s="42"/>
      <c r="K199" s="42"/>
      <c r="L199" s="42"/>
      <c r="M199" s="42"/>
      <c r="N199" s="52" t="str">
        <f t="shared" si="71"/>
        <v>(,'','','1900-01-00','1900-01-00',,,),</v>
      </c>
    </row>
    <row r="200" spans="1:14" ht="20.100000000000001" customHeight="1" x14ac:dyDescent="0.25">
      <c r="A200" s="39"/>
      <c r="B200" s="40"/>
      <c r="C200" s="52"/>
      <c r="D200" s="19"/>
      <c r="E200" s="19"/>
      <c r="F200" s="42"/>
      <c r="G200" s="42"/>
      <c r="H200" s="42"/>
      <c r="I200" s="42"/>
      <c r="J200" s="42"/>
      <c r="K200" s="42"/>
      <c r="L200" s="42"/>
      <c r="M200" s="42"/>
      <c r="N200" s="52" t="str">
        <f t="shared" si="71"/>
        <v>(,'','','1900-01-00','1900-01-00',,,),</v>
      </c>
    </row>
    <row r="201" spans="1:14" ht="20.100000000000001" customHeight="1" x14ac:dyDescent="0.25">
      <c r="A201" s="39"/>
      <c r="B201" s="40"/>
      <c r="C201" s="52"/>
      <c r="D201" s="19"/>
      <c r="E201" s="19"/>
      <c r="F201" s="42"/>
      <c r="G201" s="42"/>
      <c r="H201" s="42"/>
      <c r="I201" s="42"/>
      <c r="J201" s="42"/>
      <c r="K201" s="42"/>
      <c r="L201" s="42"/>
      <c r="M201" s="42"/>
      <c r="N201" s="52" t="str">
        <f t="shared" si="71"/>
        <v>(,'','','1900-01-00','1900-01-00',,,),</v>
      </c>
    </row>
    <row r="202" spans="1:14" ht="20.100000000000001" customHeight="1" x14ac:dyDescent="0.25">
      <c r="A202" s="39"/>
      <c r="B202" s="40"/>
      <c r="C202" s="52"/>
      <c r="D202" s="19"/>
      <c r="E202" s="19"/>
      <c r="F202" s="42"/>
      <c r="G202" s="42"/>
      <c r="H202" s="42"/>
      <c r="I202" s="42"/>
      <c r="J202" s="42"/>
      <c r="K202" s="42"/>
      <c r="L202" s="42"/>
      <c r="M202" s="42"/>
      <c r="N202" s="52" t="str">
        <f t="shared" si="71"/>
        <v>(,'','','1900-01-00','1900-01-00',,,),</v>
      </c>
    </row>
    <row r="203" spans="1:14" ht="20.100000000000001" customHeight="1" x14ac:dyDescent="0.25">
      <c r="A203" s="39"/>
      <c r="B203" s="40"/>
      <c r="C203" s="52"/>
      <c r="D203" s="19"/>
      <c r="E203" s="19"/>
      <c r="F203" s="42"/>
      <c r="G203" s="42"/>
      <c r="H203" s="42"/>
      <c r="I203" s="42"/>
      <c r="J203" s="42"/>
      <c r="K203" s="42"/>
      <c r="L203" s="42"/>
      <c r="M203" s="42"/>
      <c r="N203" s="52" t="str">
        <f t="shared" si="71"/>
        <v>(,'','','1900-01-00','1900-01-00',,,),</v>
      </c>
    </row>
    <row r="204" spans="1:14" ht="20.100000000000001" customHeight="1" x14ac:dyDescent="0.25">
      <c r="A204" s="39"/>
      <c r="B204" s="40"/>
      <c r="C204" s="52"/>
      <c r="D204" s="19"/>
      <c r="E204" s="19"/>
      <c r="F204" s="42"/>
      <c r="G204" s="42"/>
      <c r="H204" s="42"/>
      <c r="I204" s="42"/>
      <c r="J204" s="42"/>
      <c r="K204" s="42"/>
      <c r="L204" s="42"/>
      <c r="M204" s="42"/>
      <c r="N204" s="52" t="str">
        <f t="shared" si="71"/>
        <v>(,'','','1900-01-00','1900-01-00',,,),</v>
      </c>
    </row>
    <row r="205" spans="1:14" ht="20.100000000000001" customHeight="1" x14ac:dyDescent="0.25">
      <c r="A205" s="39"/>
      <c r="B205" s="40"/>
      <c r="C205" s="52"/>
      <c r="D205" s="19"/>
      <c r="E205" s="19"/>
      <c r="F205" s="42"/>
      <c r="G205" s="42"/>
      <c r="H205" s="42"/>
      <c r="I205" s="42"/>
      <c r="J205" s="42"/>
      <c r="K205" s="42"/>
      <c r="L205" s="42"/>
      <c r="M205" s="42"/>
      <c r="N205" s="52" t="str">
        <f t="shared" si="71"/>
        <v>(,'','','1900-01-00','1900-01-00',,,),</v>
      </c>
    </row>
    <row r="206" spans="1:14" ht="20.100000000000001" customHeight="1" x14ac:dyDescent="0.25">
      <c r="A206" s="39"/>
      <c r="B206" s="40"/>
      <c r="C206" s="52"/>
      <c r="D206" s="19"/>
      <c r="E206" s="19"/>
      <c r="F206" s="42"/>
      <c r="G206" s="42"/>
      <c r="H206" s="42"/>
      <c r="I206" s="42"/>
      <c r="J206" s="42"/>
      <c r="K206" s="42"/>
      <c r="L206" s="42"/>
      <c r="M206" s="42"/>
      <c r="N206" s="52" t="str">
        <f t="shared" si="71"/>
        <v>(,'','','1900-01-00','1900-01-00',,,),</v>
      </c>
    </row>
    <row r="207" spans="1:14" ht="20.100000000000001" customHeight="1" x14ac:dyDescent="0.25">
      <c r="A207" s="39"/>
      <c r="B207" s="40"/>
      <c r="C207" s="52"/>
      <c r="D207" s="19"/>
      <c r="E207" s="19"/>
      <c r="F207" s="42"/>
      <c r="G207" s="42"/>
      <c r="H207" s="42"/>
      <c r="I207" s="42"/>
      <c r="J207" s="42"/>
      <c r="K207" s="42"/>
      <c r="L207" s="42"/>
      <c r="M207" s="42"/>
      <c r="N207" s="52" t="str">
        <f t="shared" si="71"/>
        <v>(,'','','1900-01-00','1900-01-00',,,),</v>
      </c>
    </row>
    <row r="208" spans="1:14" ht="20.100000000000001" customHeight="1" x14ac:dyDescent="0.25">
      <c r="A208" s="39"/>
      <c r="B208" s="40"/>
      <c r="C208" s="52"/>
      <c r="D208" s="19"/>
      <c r="E208" s="19"/>
      <c r="F208" s="42"/>
      <c r="G208" s="42"/>
      <c r="H208" s="42"/>
      <c r="I208" s="42"/>
      <c r="J208" s="42"/>
      <c r="K208" s="42"/>
      <c r="L208" s="42"/>
      <c r="M208" s="42"/>
      <c r="N208" s="52" t="str">
        <f t="shared" si="71"/>
        <v>(,'','','1900-01-00','1900-01-00',,,),</v>
      </c>
    </row>
    <row r="209" spans="1:14" ht="20.100000000000001" customHeight="1" x14ac:dyDescent="0.25">
      <c r="A209" s="39"/>
      <c r="B209" s="40"/>
      <c r="C209" s="52"/>
      <c r="D209" s="19"/>
      <c r="E209" s="19"/>
      <c r="F209" s="42"/>
      <c r="G209" s="42"/>
      <c r="H209" s="42"/>
      <c r="I209" s="42"/>
      <c r="J209" s="42"/>
      <c r="K209" s="42"/>
      <c r="L209" s="42"/>
      <c r="M209" s="42"/>
      <c r="N209" s="52" t="str">
        <f t="shared" si="71"/>
        <v>(,'','','1900-01-00','1900-01-00',,,),</v>
      </c>
    </row>
    <row r="210" spans="1:14" ht="20.100000000000001" customHeight="1" x14ac:dyDescent="0.25">
      <c r="A210" s="39"/>
      <c r="B210" s="40"/>
      <c r="C210" s="52"/>
      <c r="D210" s="19"/>
      <c r="E210" s="19"/>
      <c r="F210" s="42"/>
      <c r="G210" s="42"/>
      <c r="H210" s="42"/>
      <c r="I210" s="42"/>
      <c r="J210" s="42"/>
      <c r="K210" s="42"/>
      <c r="L210" s="42"/>
      <c r="M210" s="42"/>
      <c r="N210" s="52" t="str">
        <f t="shared" si="71"/>
        <v>(,'','','1900-01-00','1900-01-00',,,),</v>
      </c>
    </row>
    <row r="211" spans="1:14" ht="20.100000000000001" customHeight="1" x14ac:dyDescent="0.25">
      <c r="A211" s="39"/>
      <c r="B211" s="40"/>
      <c r="C211" s="52"/>
      <c r="D211" s="19"/>
      <c r="E211" s="19"/>
      <c r="F211" s="42"/>
      <c r="G211" s="42"/>
      <c r="H211" s="42"/>
      <c r="I211" s="42"/>
      <c r="J211" s="42"/>
      <c r="K211" s="42"/>
      <c r="L211" s="42"/>
      <c r="M211" s="42"/>
      <c r="N211" s="52" t="str">
        <f t="shared" si="71"/>
        <v>(,'','','1900-01-00','1900-01-00',,,),</v>
      </c>
    </row>
    <row r="212" spans="1:14" ht="20.100000000000001" customHeight="1" x14ac:dyDescent="0.25">
      <c r="A212" s="39"/>
      <c r="B212" s="40"/>
      <c r="C212" s="52"/>
      <c r="D212" s="19"/>
      <c r="E212" s="19"/>
      <c r="F212" s="42"/>
      <c r="G212" s="42"/>
      <c r="H212" s="42"/>
      <c r="I212" s="42"/>
      <c r="J212" s="42"/>
      <c r="K212" s="42"/>
      <c r="L212" s="42"/>
      <c r="M212" s="42"/>
      <c r="N212" s="52" t="str">
        <f t="shared" si="71"/>
        <v>(,'','','1900-01-00','1900-01-00',,,),</v>
      </c>
    </row>
    <row r="213" spans="1:14" ht="20.100000000000001" customHeight="1" x14ac:dyDescent="0.25">
      <c r="A213" s="39"/>
      <c r="B213" s="40"/>
      <c r="C213" s="52"/>
      <c r="D213" s="19"/>
      <c r="E213" s="19"/>
      <c r="F213" s="42"/>
      <c r="G213" s="42"/>
      <c r="H213" s="42"/>
      <c r="I213" s="42"/>
      <c r="J213" s="42"/>
      <c r="K213" s="42"/>
      <c r="L213" s="42"/>
      <c r="M213" s="42"/>
      <c r="N213" s="52" t="str">
        <f t="shared" si="71"/>
        <v>(,'','','1900-01-00','1900-01-00',,,),</v>
      </c>
    </row>
    <row r="214" spans="1:14" ht="20.100000000000001" customHeight="1" x14ac:dyDescent="0.25">
      <c r="A214" s="39"/>
      <c r="B214" s="40"/>
      <c r="C214" s="52"/>
      <c r="D214" s="19"/>
      <c r="E214" s="19"/>
      <c r="F214" s="42"/>
      <c r="G214" s="42"/>
      <c r="H214" s="42"/>
      <c r="I214" s="42"/>
      <c r="J214" s="42"/>
      <c r="K214" s="42"/>
      <c r="L214" s="42"/>
      <c r="M214" s="42"/>
      <c r="N214" s="52" t="str">
        <f t="shared" si="71"/>
        <v>(,'','','1900-01-00','1900-01-00',,,),</v>
      </c>
    </row>
    <row r="215" spans="1:14" ht="20.100000000000001" customHeight="1" x14ac:dyDescent="0.25">
      <c r="A215" s="39"/>
      <c r="B215" s="40"/>
      <c r="C215" s="52"/>
      <c r="D215" s="19"/>
      <c r="E215" s="19"/>
      <c r="F215" s="42"/>
      <c r="G215" s="42"/>
      <c r="H215" s="42"/>
      <c r="I215" s="42"/>
      <c r="J215" s="42"/>
      <c r="K215" s="42"/>
      <c r="L215" s="42"/>
      <c r="M215" s="42"/>
      <c r="N215" s="52" t="str">
        <f t="shared" si="71"/>
        <v>(,'','','1900-01-00','1900-01-00',,,),</v>
      </c>
    </row>
    <row r="216" spans="1:14" ht="20.100000000000001" customHeight="1" x14ac:dyDescent="0.25">
      <c r="A216" s="39"/>
      <c r="B216" s="40"/>
      <c r="C216" s="52"/>
      <c r="D216" s="19"/>
      <c r="E216" s="19"/>
      <c r="F216" s="42"/>
      <c r="G216" s="42"/>
      <c r="H216" s="42"/>
      <c r="I216" s="42"/>
      <c r="J216" s="42"/>
      <c r="K216" s="42"/>
      <c r="L216" s="42"/>
      <c r="M216" s="42"/>
      <c r="N216" s="52" t="str">
        <f t="shared" si="71"/>
        <v>(,'','','1900-01-00','1900-01-00',,,),</v>
      </c>
    </row>
    <row r="217" spans="1:14" ht="20.100000000000001" customHeight="1" x14ac:dyDescent="0.25">
      <c r="A217" s="39"/>
      <c r="B217" s="40"/>
      <c r="C217" s="52"/>
      <c r="D217" s="19"/>
      <c r="E217" s="19"/>
      <c r="F217" s="42"/>
      <c r="G217" s="42"/>
      <c r="H217" s="42"/>
      <c r="I217" s="42"/>
      <c r="J217" s="42"/>
      <c r="K217" s="42"/>
      <c r="L217" s="42"/>
      <c r="M217" s="42"/>
      <c r="N217" s="52" t="str">
        <f t="shared" si="71"/>
        <v>(,'','','1900-01-00','1900-01-00',,,),</v>
      </c>
    </row>
    <row r="218" spans="1:14" ht="20.100000000000001" customHeight="1" x14ac:dyDescent="0.25">
      <c r="A218" s="39"/>
      <c r="B218" s="40"/>
      <c r="C218" s="52"/>
      <c r="D218" s="19"/>
      <c r="E218" s="19"/>
      <c r="F218" s="42"/>
      <c r="G218" s="42"/>
      <c r="H218" s="42"/>
      <c r="I218" s="42"/>
      <c r="J218" s="42"/>
      <c r="K218" s="42"/>
      <c r="L218" s="42"/>
      <c r="M218" s="42"/>
      <c r="N218" s="52" t="str">
        <f t="shared" si="71"/>
        <v>(,'','','1900-01-00','1900-01-00',,,),</v>
      </c>
    </row>
    <row r="219" spans="1:14" ht="20.100000000000001" customHeight="1" x14ac:dyDescent="0.25">
      <c r="A219" s="39"/>
      <c r="B219" s="40"/>
      <c r="C219" s="52"/>
      <c r="D219" s="19"/>
      <c r="E219" s="19"/>
      <c r="F219" s="42"/>
      <c r="G219" s="42"/>
      <c r="H219" s="42"/>
      <c r="I219" s="42"/>
      <c r="J219" s="42"/>
      <c r="K219" s="42"/>
      <c r="L219" s="42"/>
      <c r="M219" s="42"/>
      <c r="N219" s="52" t="str">
        <f t="shared" si="71"/>
        <v>(,'','','1900-01-00','1900-01-00',,,),</v>
      </c>
    </row>
    <row r="220" spans="1:14" ht="20.100000000000001" customHeight="1" x14ac:dyDescent="0.25">
      <c r="A220" s="39"/>
      <c r="B220" s="40"/>
      <c r="C220" s="52"/>
      <c r="D220" s="19"/>
      <c r="E220" s="42"/>
      <c r="F220" s="42"/>
      <c r="G220" s="42"/>
      <c r="H220" s="42"/>
      <c r="I220" s="42"/>
      <c r="J220" s="42"/>
      <c r="K220" s="42"/>
      <c r="L220" s="42"/>
      <c r="M220" s="42"/>
      <c r="N220" s="52" t="str">
        <f t="shared" si="71"/>
        <v>(,'','','1900-01-00','1900-01-00',,,),</v>
      </c>
    </row>
    <row r="221" spans="1:14" ht="20.100000000000001" customHeight="1" x14ac:dyDescent="0.25">
      <c r="A221" s="39"/>
      <c r="B221" s="40"/>
      <c r="C221" s="52"/>
      <c r="D221" s="19"/>
      <c r="E221" s="42"/>
      <c r="F221" s="42"/>
      <c r="G221" s="42"/>
      <c r="H221" s="42"/>
      <c r="I221" s="42"/>
      <c r="J221" s="42"/>
      <c r="K221" s="42"/>
      <c r="L221" s="42"/>
      <c r="M221" s="42"/>
      <c r="N221" s="52" t="str">
        <f t="shared" si="71"/>
        <v>(,'','','1900-01-00','1900-01-00',,,),</v>
      </c>
    </row>
    <row r="222" spans="1:14" ht="20.100000000000001" customHeight="1" x14ac:dyDescent="0.25">
      <c r="A222" s="39"/>
      <c r="B222" s="40"/>
      <c r="C222" s="52"/>
      <c r="D222" s="19"/>
      <c r="E222" s="42"/>
      <c r="F222" s="42"/>
      <c r="G222" s="42"/>
      <c r="H222" s="42"/>
      <c r="I222" s="42"/>
      <c r="J222" s="42"/>
      <c r="K222" s="42"/>
      <c r="L222" s="42"/>
      <c r="M222" s="42"/>
      <c r="N222" s="52" t="str">
        <f t="shared" si="71"/>
        <v>(,'','','1900-01-00','1900-01-00',,,),</v>
      </c>
    </row>
    <row r="223" spans="1:14" ht="20.100000000000001" customHeight="1" x14ac:dyDescent="0.25">
      <c r="A223" s="39"/>
      <c r="B223" s="40"/>
      <c r="C223" s="52"/>
      <c r="D223" s="19"/>
      <c r="E223" s="42"/>
      <c r="F223" s="42"/>
      <c r="G223" s="42"/>
      <c r="H223" s="42"/>
      <c r="I223" s="42"/>
      <c r="J223" s="42"/>
      <c r="K223" s="42"/>
      <c r="L223" s="42"/>
      <c r="M223" s="42"/>
      <c r="N223" s="52" t="str">
        <f t="shared" si="71"/>
        <v>(,'','','1900-01-00','1900-01-00',,,),</v>
      </c>
    </row>
    <row r="224" spans="1:14" ht="20.100000000000001" customHeight="1" x14ac:dyDescent="0.25">
      <c r="A224" s="39"/>
      <c r="B224" s="40"/>
      <c r="C224" s="52"/>
      <c r="D224" s="19"/>
      <c r="E224" s="42"/>
      <c r="F224" s="42"/>
      <c r="G224" s="42"/>
      <c r="H224" s="42"/>
      <c r="I224" s="42"/>
      <c r="J224" s="42"/>
      <c r="K224" s="42"/>
      <c r="L224" s="42"/>
      <c r="M224" s="42"/>
      <c r="N224" s="52" t="str">
        <f t="shared" si="71"/>
        <v>(,'','','1900-01-00','1900-01-00',,,),</v>
      </c>
    </row>
    <row r="225" spans="1:14" ht="20.100000000000001" customHeight="1" x14ac:dyDescent="0.25">
      <c r="A225" s="39"/>
      <c r="B225" s="40"/>
      <c r="C225" s="52"/>
      <c r="D225" s="19"/>
      <c r="E225" s="42"/>
      <c r="F225" s="42"/>
      <c r="G225" s="42"/>
      <c r="H225" s="42"/>
      <c r="I225" s="42"/>
      <c r="J225" s="42"/>
      <c r="K225" s="42"/>
      <c r="L225" s="42"/>
      <c r="M225" s="42"/>
      <c r="N225" s="52" t="str">
        <f t="shared" si="71"/>
        <v>(,'','','1900-01-00','1900-01-00',,,),</v>
      </c>
    </row>
    <row r="226" spans="1:14" ht="20.100000000000001" customHeight="1" x14ac:dyDescent="0.25">
      <c r="A226" s="39"/>
      <c r="B226" s="40"/>
      <c r="C226" s="52"/>
      <c r="D226" s="19"/>
      <c r="E226" s="42"/>
      <c r="F226" s="42"/>
      <c r="G226" s="42"/>
      <c r="H226" s="42"/>
      <c r="I226" s="42"/>
      <c r="J226" s="42"/>
      <c r="K226" s="42"/>
      <c r="L226" s="42"/>
      <c r="M226" s="42"/>
      <c r="N226" s="52" t="str">
        <f t="shared" si="71"/>
        <v>(,'','','1900-01-00','1900-01-00',,,),</v>
      </c>
    </row>
    <row r="227" spans="1:14" ht="20.100000000000001" customHeight="1" x14ac:dyDescent="0.25">
      <c r="A227" s="39"/>
      <c r="B227" s="40"/>
      <c r="C227" s="52"/>
      <c r="D227" s="19"/>
      <c r="E227" s="42"/>
      <c r="F227" s="42"/>
      <c r="G227" s="42"/>
      <c r="H227" s="42"/>
      <c r="I227" s="42"/>
      <c r="J227" s="42"/>
      <c r="K227" s="42"/>
      <c r="L227" s="42"/>
      <c r="M227" s="42"/>
      <c r="N227" s="52" t="str">
        <f t="shared" si="71"/>
        <v>(,'','','1900-01-00','1900-01-00',,,),</v>
      </c>
    </row>
    <row r="228" spans="1:14" ht="20.100000000000001" customHeight="1" x14ac:dyDescent="0.25">
      <c r="A228" s="39"/>
      <c r="B228" s="40"/>
      <c r="C228" s="52"/>
      <c r="D228" s="19"/>
      <c r="E228" s="42"/>
      <c r="F228" s="42"/>
      <c r="G228" s="42"/>
      <c r="H228" s="42"/>
      <c r="I228" s="42"/>
      <c r="J228" s="42"/>
      <c r="K228" s="42"/>
      <c r="L228" s="42"/>
      <c r="M228" s="42"/>
      <c r="N228" s="52" t="str">
        <f t="shared" si="71"/>
        <v>(,'','','1900-01-00','1900-01-00',,,),</v>
      </c>
    </row>
    <row r="229" spans="1:14" ht="20.100000000000001" customHeight="1" x14ac:dyDescent="0.25">
      <c r="A229" s="39"/>
      <c r="B229" s="40"/>
      <c r="C229" s="52"/>
      <c r="D229" s="19"/>
      <c r="E229" s="42"/>
      <c r="F229" s="42"/>
      <c r="G229" s="42"/>
      <c r="H229" s="42"/>
      <c r="I229" s="42"/>
      <c r="J229" s="42"/>
      <c r="K229" s="42"/>
      <c r="L229" s="42"/>
      <c r="M229" s="42"/>
      <c r="N229" s="52" t="str">
        <f t="shared" si="71"/>
        <v>(,'','','1900-01-00','1900-01-00',,,),</v>
      </c>
    </row>
    <row r="230" spans="1:14" ht="20.100000000000001" customHeight="1" x14ac:dyDescent="0.25">
      <c r="A230" s="39"/>
      <c r="B230" s="40"/>
      <c r="C230" s="52"/>
      <c r="D230" s="19"/>
      <c r="E230" s="42"/>
      <c r="F230" s="42"/>
      <c r="G230" s="42"/>
      <c r="H230" s="42"/>
      <c r="I230" s="42"/>
      <c r="J230" s="42"/>
      <c r="K230" s="42"/>
      <c r="L230" s="42"/>
      <c r="M230" s="42"/>
      <c r="N230" s="52" t="str">
        <f t="shared" si="71"/>
        <v>(,'','','1900-01-00','1900-01-00',,,),</v>
      </c>
    </row>
    <row r="231" spans="1:14" ht="20.100000000000001" customHeight="1" x14ac:dyDescent="0.25">
      <c r="A231" s="39"/>
      <c r="B231" s="40"/>
      <c r="C231" s="52"/>
      <c r="D231" s="19"/>
      <c r="E231" s="42"/>
      <c r="F231" s="42"/>
      <c r="G231" s="42"/>
      <c r="H231" s="42"/>
      <c r="I231" s="42"/>
      <c r="J231" s="42"/>
      <c r="K231" s="42"/>
      <c r="L231" s="42"/>
      <c r="M231" s="42"/>
      <c r="N231" s="52" t="str">
        <f t="shared" si="71"/>
        <v>(,'','','1900-01-00','1900-01-00',,,),</v>
      </c>
    </row>
    <row r="232" spans="1:14" ht="20.100000000000001" customHeight="1" x14ac:dyDescent="0.25">
      <c r="A232" s="39"/>
      <c r="B232" s="40"/>
      <c r="C232" s="52"/>
      <c r="D232" s="19"/>
      <c r="E232" s="42"/>
      <c r="F232" s="42"/>
      <c r="G232" s="42"/>
      <c r="H232" s="42"/>
      <c r="I232" s="42"/>
      <c r="J232" s="42"/>
      <c r="K232" s="42"/>
      <c r="L232" s="42"/>
      <c r="M232" s="42"/>
      <c r="N232" s="52" t="str">
        <f t="shared" si="71"/>
        <v>(,'','','1900-01-00','1900-01-00',,,),</v>
      </c>
    </row>
    <row r="233" spans="1:14" ht="20.100000000000001" customHeight="1" x14ac:dyDescent="0.25">
      <c r="A233" s="39"/>
      <c r="B233" s="40"/>
      <c r="C233" s="52"/>
      <c r="D233" s="19"/>
      <c r="E233" s="42"/>
      <c r="F233" s="42"/>
      <c r="G233" s="42"/>
      <c r="H233" s="42"/>
      <c r="I233" s="42"/>
      <c r="J233" s="42"/>
      <c r="K233" s="42"/>
      <c r="L233" s="42"/>
      <c r="M233" s="42"/>
      <c r="N233" s="52" t="str">
        <f t="shared" si="71"/>
        <v>(,'','','1900-01-00','1900-01-00',,,),</v>
      </c>
    </row>
    <row r="234" spans="1:14" ht="20.100000000000001" customHeight="1" x14ac:dyDescent="0.25">
      <c r="A234" s="39"/>
      <c r="B234" s="40"/>
      <c r="C234" s="52"/>
      <c r="D234" s="19"/>
      <c r="E234" s="42"/>
      <c r="F234" s="42"/>
      <c r="G234" s="42"/>
      <c r="H234" s="42"/>
      <c r="I234" s="42"/>
      <c r="J234" s="42"/>
      <c r="K234" s="42"/>
      <c r="L234" s="42"/>
      <c r="M234" s="42"/>
      <c r="N234" s="52" t="str">
        <f t="shared" si="71"/>
        <v>(,'','','1900-01-00','1900-01-00',,,),</v>
      </c>
    </row>
    <row r="235" spans="1:14" ht="20.100000000000001" customHeight="1" x14ac:dyDescent="0.25">
      <c r="A235" s="39"/>
      <c r="B235" s="40"/>
      <c r="C235" s="52"/>
      <c r="D235" s="19"/>
      <c r="E235" s="42"/>
      <c r="F235" s="42"/>
      <c r="G235" s="42"/>
      <c r="H235" s="42"/>
      <c r="I235" s="42"/>
      <c r="J235" s="42"/>
      <c r="K235" s="42"/>
      <c r="L235" s="42"/>
      <c r="M235" s="42"/>
      <c r="N235" s="52" t="str">
        <f t="shared" si="71"/>
        <v>(,'','','1900-01-00','1900-01-00',,,),</v>
      </c>
    </row>
    <row r="236" spans="1:14" ht="20.100000000000001" customHeight="1" x14ac:dyDescent="0.25">
      <c r="A236" s="39"/>
      <c r="B236" s="40"/>
      <c r="C236" s="52"/>
      <c r="D236" s="19"/>
      <c r="E236" s="42"/>
      <c r="F236" s="42"/>
      <c r="G236" s="42"/>
      <c r="H236" s="42"/>
      <c r="I236" s="42"/>
      <c r="J236" s="42"/>
      <c r="K236" s="42"/>
      <c r="L236" s="42"/>
      <c r="M236" s="42"/>
      <c r="N236" s="52" t="str">
        <f t="shared" si="71"/>
        <v>(,'','','1900-01-00','1900-01-00',,,),</v>
      </c>
    </row>
    <row r="237" spans="1:14" ht="20.100000000000001" customHeight="1" x14ac:dyDescent="0.25">
      <c r="A237" s="39"/>
      <c r="B237" s="40"/>
      <c r="C237" s="52"/>
      <c r="D237" s="19"/>
      <c r="E237" s="42"/>
      <c r="F237" s="42"/>
      <c r="G237" s="42"/>
      <c r="H237" s="42"/>
      <c r="I237" s="42"/>
      <c r="J237" s="42"/>
      <c r="K237" s="42"/>
      <c r="L237" s="42"/>
      <c r="M237" s="42"/>
      <c r="N237" s="52" t="str">
        <f t="shared" si="71"/>
        <v>(,'','','1900-01-00','1900-01-00',,,),</v>
      </c>
    </row>
  </sheetData>
  <autoFilter ref="A2:N237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37"/>
  <sheetViews>
    <sheetView zoomScaleNormal="100" workbookViewId="0">
      <pane ySplit="2" topLeftCell="A156" activePane="bottomLeft" state="frozen"/>
      <selection activeCell="L2" sqref="L2"/>
      <selection pane="bottomLeft" activeCell="J167" sqref="J167"/>
    </sheetView>
  </sheetViews>
  <sheetFormatPr baseColWidth="10" defaultColWidth="10.85546875" defaultRowHeight="15.75" x14ac:dyDescent="0.25"/>
  <cols>
    <col min="1" max="1" width="6.85546875" style="2" bestFit="1" customWidth="1"/>
    <col min="2" max="2" width="15.7109375" style="2" bestFit="1" customWidth="1"/>
    <col min="3" max="3" width="24.5703125" style="2" bestFit="1" customWidth="1"/>
    <col min="4" max="5" width="15.5703125" style="2" customWidth="1"/>
    <col min="6" max="6" width="17.28515625" style="2" customWidth="1"/>
    <col min="7" max="8" width="15.5703125" style="2" customWidth="1"/>
    <col min="9" max="9" width="12.140625" style="2" bestFit="1" customWidth="1"/>
    <col min="10" max="10" width="15.5703125" style="2" customWidth="1"/>
    <col min="11" max="12" width="10.5703125" style="2" customWidth="1"/>
    <col min="13" max="13" width="27.42578125" style="2" bestFit="1" customWidth="1"/>
    <col min="14" max="14" width="89.5703125" style="2" bestFit="1" customWidth="1"/>
    <col min="15" max="16384" width="10.85546875" style="2"/>
  </cols>
  <sheetData>
    <row r="1" spans="1:1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696</v>
      </c>
      <c r="J1" s="1"/>
      <c r="K1" s="1"/>
      <c r="L1" s="1"/>
      <c r="M1" s="1"/>
      <c r="N1" s="1" t="s">
        <v>8</v>
      </c>
    </row>
    <row r="2" spans="1:14" ht="20.100000000000001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/>
      <c r="J2" s="1"/>
      <c r="K2" s="1"/>
      <c r="L2" s="1"/>
      <c r="M2" s="1"/>
      <c r="N2" s="1" t="s">
        <v>17</v>
      </c>
    </row>
    <row r="3" spans="1:14" ht="20.100000000000001" customHeight="1" x14ac:dyDescent="0.25">
      <c r="A3" s="39">
        <v>1</v>
      </c>
      <c r="B3" s="48" t="str">
        <f>CONCATENATE("PPUR-",TEXT(A3,"00"),"-",I3)</f>
        <v>PPUR-01-GK1</v>
      </c>
      <c r="C3" s="52" t="str">
        <f>CONCATENATE("Poste de Purge n°",TEXT(A3,"00")," ",I3)</f>
        <v>Poste de Purge n°01 GK1</v>
      </c>
      <c r="D3" s="19">
        <v>25934</v>
      </c>
      <c r="E3" s="19">
        <v>28491</v>
      </c>
      <c r="F3" s="42"/>
      <c r="G3" s="42"/>
      <c r="H3" s="42"/>
      <c r="I3" s="42" t="s">
        <v>398</v>
      </c>
      <c r="J3" s="42" t="s">
        <v>2099</v>
      </c>
      <c r="K3" s="53">
        <f>VALUE(RIGHT(J3,LEN(J3)-SEARCH("/",J3)))</f>
        <v>690</v>
      </c>
      <c r="L3" s="44">
        <f>VALUE(SUBSTITUTE(LEFT(J3,SEARCH("/",J3)-1),"+",","))</f>
        <v>45.564</v>
      </c>
      <c r="M3" s="42" t="s">
        <v>2078</v>
      </c>
      <c r="N3" s="52" t="str">
        <f t="shared" ref="N3:N66" si="0">CONCATENATE("(",A3,",'",B3,"','",C3,"','",TEXT(D3,"aaaa-mm-jj"),"','",TEXT(E3,"aaaa-mm-jj"),"',",F3,",",G3,",",H3,"),")</f>
        <v>(1,'PPUR-01-GK1','Poste de Purge n°01 GK1','1971-01-01','1978-01-01',,,),</v>
      </c>
    </row>
    <row r="4" spans="1:14" ht="20.100000000000001" customHeight="1" x14ac:dyDescent="0.25">
      <c r="A4" s="39">
        <v>2</v>
      </c>
      <c r="B4" s="48" t="str">
        <f t="shared" ref="B4:B11" si="1">CONCATENATE("PPUR-",TEXT(A4,"00"),"-",I4)</f>
        <v>PPUR-02-GK1</v>
      </c>
      <c r="C4" s="52" t="str">
        <f t="shared" ref="C4:C11" si="2">CONCATENATE("Poste de Purge n°",TEXT(A4,"00")," ",I4)</f>
        <v>Poste de Purge n°02 GK1</v>
      </c>
      <c r="D4" s="19">
        <v>25934</v>
      </c>
      <c r="E4" s="19">
        <v>28491</v>
      </c>
      <c r="F4" s="42"/>
      <c r="G4" s="42"/>
      <c r="H4" s="42"/>
      <c r="I4" s="42" t="s">
        <v>398</v>
      </c>
      <c r="J4" s="42" t="s">
        <v>2100</v>
      </c>
      <c r="K4" s="53">
        <f t="shared" ref="K4:K67" si="3">VALUE(RIGHT(J4,LEN(J4)-SEARCH("/",J4)))</f>
        <v>264</v>
      </c>
      <c r="L4" s="44">
        <f t="shared" ref="L4:L10" si="4">VALUE(SUBSTITUTE(LEFT(J4,SEARCH("/",J4)-1),"+",","))</f>
        <v>249.256</v>
      </c>
      <c r="M4" s="64" t="s">
        <v>2079</v>
      </c>
      <c r="N4" s="52" t="str">
        <f t="shared" si="0"/>
        <v>(2,'PPUR-02-GK1','Poste de Purge n°02 GK1','1971-01-01','1978-01-01',,,),</v>
      </c>
    </row>
    <row r="5" spans="1:14" ht="20.100000000000001" customHeight="1" x14ac:dyDescent="0.25">
      <c r="A5" s="39">
        <v>3</v>
      </c>
      <c r="B5" s="48" t="str">
        <f t="shared" si="1"/>
        <v>PPUR-03-GK1</v>
      </c>
      <c r="C5" s="52" t="str">
        <f t="shared" si="2"/>
        <v>Poste de Purge n°03 GK1</v>
      </c>
      <c r="D5" s="19">
        <v>25934</v>
      </c>
      <c r="E5" s="19">
        <v>28491</v>
      </c>
      <c r="F5" s="42"/>
      <c r="G5" s="42"/>
      <c r="H5" s="42"/>
      <c r="I5" s="42" t="s">
        <v>398</v>
      </c>
      <c r="J5" s="42" t="s">
        <v>2101</v>
      </c>
      <c r="K5" s="53">
        <f t="shared" si="3"/>
        <v>330</v>
      </c>
      <c r="L5" s="44">
        <f t="shared" si="4"/>
        <v>282.48700000000002</v>
      </c>
      <c r="M5" s="64" t="s">
        <v>2079</v>
      </c>
      <c r="N5" s="52" t="str">
        <f t="shared" si="0"/>
        <v>(3,'PPUR-03-GK1','Poste de Purge n°03 GK1','1971-01-01','1978-01-01',,,),</v>
      </c>
    </row>
    <row r="6" spans="1:14" ht="20.100000000000001" customHeight="1" x14ac:dyDescent="0.25">
      <c r="A6" s="39">
        <v>4</v>
      </c>
      <c r="B6" s="48" t="str">
        <f t="shared" si="1"/>
        <v>PPUR-04-GK1</v>
      </c>
      <c r="C6" s="52" t="str">
        <f t="shared" si="2"/>
        <v>Poste de Purge n°04 GK1</v>
      </c>
      <c r="D6" s="19">
        <v>25934</v>
      </c>
      <c r="E6" s="19">
        <v>28491</v>
      </c>
      <c r="F6" s="42"/>
      <c r="G6" s="42"/>
      <c r="H6" s="42"/>
      <c r="I6" s="42" t="s">
        <v>398</v>
      </c>
      <c r="J6" s="42" t="s">
        <v>2102</v>
      </c>
      <c r="K6" s="53">
        <f t="shared" si="3"/>
        <v>328</v>
      </c>
      <c r="L6" s="44">
        <f t="shared" si="4"/>
        <v>299.08800000000002</v>
      </c>
      <c r="M6" s="62" t="s">
        <v>2080</v>
      </c>
      <c r="N6" s="52" t="str">
        <f t="shared" si="0"/>
        <v>(4,'PPUR-04-GK1','Poste de Purge n°04 GK1','1971-01-01','1978-01-01',,,),</v>
      </c>
    </row>
    <row r="7" spans="1:14" ht="20.100000000000001" customHeight="1" x14ac:dyDescent="0.25">
      <c r="A7" s="39">
        <v>5</v>
      </c>
      <c r="B7" s="48" t="str">
        <f t="shared" si="1"/>
        <v>PPUR-05-GK1</v>
      </c>
      <c r="C7" s="52" t="str">
        <f t="shared" si="2"/>
        <v>Poste de Purge n°05 GK1</v>
      </c>
      <c r="D7" s="19">
        <v>25934</v>
      </c>
      <c r="E7" s="19">
        <v>28491</v>
      </c>
      <c r="F7" s="42"/>
      <c r="G7" s="42"/>
      <c r="H7" s="42"/>
      <c r="I7" s="42" t="s">
        <v>398</v>
      </c>
      <c r="J7" s="42" t="s">
        <v>2103</v>
      </c>
      <c r="K7" s="53">
        <f t="shared" si="3"/>
        <v>863</v>
      </c>
      <c r="L7" s="44">
        <f t="shared" si="4"/>
        <v>422.66899999999998</v>
      </c>
      <c r="M7" s="42" t="s">
        <v>2107</v>
      </c>
      <c r="N7" s="52" t="str">
        <f t="shared" si="0"/>
        <v>(5,'PPUR-05-GK1','Poste de Purge n°05 GK1','1971-01-01','1978-01-01',,,),</v>
      </c>
    </row>
    <row r="8" spans="1:14" ht="20.100000000000001" customHeight="1" x14ac:dyDescent="0.25">
      <c r="A8" s="39">
        <v>6</v>
      </c>
      <c r="B8" s="48" t="str">
        <f t="shared" si="1"/>
        <v>PPUR-06-GK1</v>
      </c>
      <c r="C8" s="52" t="str">
        <f t="shared" si="2"/>
        <v>Poste de Purge n°06 GK1</v>
      </c>
      <c r="D8" s="19">
        <v>25934</v>
      </c>
      <c r="E8" s="19">
        <v>28491</v>
      </c>
      <c r="F8" s="42"/>
      <c r="G8" s="42"/>
      <c r="H8" s="42"/>
      <c r="I8" s="42" t="s">
        <v>398</v>
      </c>
      <c r="J8" s="42" t="s">
        <v>2104</v>
      </c>
      <c r="K8" s="53">
        <f t="shared" si="3"/>
        <v>485</v>
      </c>
      <c r="L8" s="44">
        <f t="shared" si="4"/>
        <v>523.45399999999995</v>
      </c>
      <c r="M8" s="42" t="s">
        <v>2087</v>
      </c>
      <c r="N8" s="52" t="str">
        <f t="shared" si="0"/>
        <v>(6,'PPUR-06-GK1','Poste de Purge n°06 GK1','1971-01-01','1978-01-01',,,),</v>
      </c>
    </row>
    <row r="9" spans="1:14" ht="20.100000000000001" customHeight="1" x14ac:dyDescent="0.25">
      <c r="A9" s="39">
        <v>7</v>
      </c>
      <c r="B9" s="48" t="str">
        <f t="shared" si="1"/>
        <v>PPUR-07-GK1</v>
      </c>
      <c r="C9" s="52" t="str">
        <f t="shared" si="2"/>
        <v>Poste de Purge n°07 GK1</v>
      </c>
      <c r="D9" s="19">
        <v>25934</v>
      </c>
      <c r="E9" s="19">
        <v>28491</v>
      </c>
      <c r="F9" s="42"/>
      <c r="G9" s="42"/>
      <c r="H9" s="42"/>
      <c r="I9" s="42" t="s">
        <v>398</v>
      </c>
      <c r="J9" s="42" t="s">
        <v>2105</v>
      </c>
      <c r="K9" s="53">
        <f t="shared" si="3"/>
        <v>50</v>
      </c>
      <c r="L9" s="44">
        <f t="shared" si="4"/>
        <v>556.95000000000005</v>
      </c>
      <c r="M9" s="62" t="s">
        <v>2090</v>
      </c>
      <c r="N9" s="52" t="str">
        <f t="shared" si="0"/>
        <v>(7,'PPUR-07-GK1','Poste de Purge n°07 GK1','1971-01-01','1978-01-01',,,),</v>
      </c>
    </row>
    <row r="10" spans="1:14" ht="20.100000000000001" customHeight="1" x14ac:dyDescent="0.25">
      <c r="A10" s="39">
        <v>8</v>
      </c>
      <c r="B10" s="48" t="str">
        <f t="shared" si="1"/>
        <v>PPUR-08-GK1</v>
      </c>
      <c r="C10" s="52" t="str">
        <f t="shared" si="2"/>
        <v>Poste de Purge n°08 GK1</v>
      </c>
      <c r="D10" s="19">
        <v>25934</v>
      </c>
      <c r="E10" s="19">
        <v>28491</v>
      </c>
      <c r="F10" s="42"/>
      <c r="G10" s="42"/>
      <c r="H10" s="42"/>
      <c r="I10" s="42" t="s">
        <v>398</v>
      </c>
      <c r="J10" s="42" t="s">
        <v>2106</v>
      </c>
      <c r="K10" s="53">
        <f t="shared" si="3"/>
        <v>52</v>
      </c>
      <c r="L10" s="44">
        <f t="shared" si="4"/>
        <v>561.96400000000006</v>
      </c>
      <c r="M10" s="62" t="s">
        <v>2090</v>
      </c>
      <c r="N10" s="52" t="str">
        <f t="shared" si="0"/>
        <v>(8,'PPUR-08-GK1','Poste de Purge n°08 GK1','1971-01-01','1978-01-01',,,),</v>
      </c>
    </row>
    <row r="11" spans="1:14" ht="20.100000000000001" customHeight="1" x14ac:dyDescent="0.25">
      <c r="A11" s="39">
        <v>1</v>
      </c>
      <c r="B11" s="48" t="str">
        <f t="shared" si="1"/>
        <v>PPUR-01-GK2</v>
      </c>
      <c r="C11" s="52" t="str">
        <f t="shared" si="2"/>
        <v>Poste de Purge n°01 GK2</v>
      </c>
      <c r="D11" s="19">
        <v>35796</v>
      </c>
      <c r="E11" s="19">
        <v>36892</v>
      </c>
      <c r="F11" s="42"/>
      <c r="G11" s="42"/>
      <c r="H11" s="42"/>
      <c r="I11" s="42" t="s">
        <v>402</v>
      </c>
      <c r="J11" s="42" t="s">
        <v>2108</v>
      </c>
      <c r="K11" s="53">
        <f t="shared" si="3"/>
        <v>697</v>
      </c>
      <c r="L11" s="44">
        <f t="shared" ref="L11:L19" si="5">VALUE(SUBSTITUTE(LEFT(J11,SEARCH("/",J11)-1),"+",","))</f>
        <v>45.478000000000002</v>
      </c>
      <c r="M11" s="42" t="s">
        <v>2078</v>
      </c>
      <c r="N11" s="52" t="str">
        <f t="shared" si="0"/>
        <v>(1,'PPUR-01-GK2','Poste de Purge n°01 GK2','1998-01-01','2001-01-01',,,),</v>
      </c>
    </row>
    <row r="12" spans="1:14" ht="20.100000000000001" customHeight="1" x14ac:dyDescent="0.25">
      <c r="A12" s="39">
        <v>2</v>
      </c>
      <c r="B12" s="48" t="str">
        <f t="shared" ref="B12:B21" si="6">CONCATENATE("PPUR-",TEXT(A12,"00"),"-",I12)</f>
        <v>PPUR-02-GK2</v>
      </c>
      <c r="C12" s="52" t="str">
        <f t="shared" ref="C12:C21" si="7">CONCATENATE("Poste de Purge n°",TEXT(A12,"00")," ",I12)</f>
        <v>Poste de Purge n°02 GK2</v>
      </c>
      <c r="D12" s="19">
        <v>35796</v>
      </c>
      <c r="E12" s="19">
        <v>36892</v>
      </c>
      <c r="F12" s="42"/>
      <c r="G12" s="42"/>
      <c r="H12" s="42"/>
      <c r="I12" s="42" t="s">
        <v>402</v>
      </c>
      <c r="J12" s="42" t="s">
        <v>2109</v>
      </c>
      <c r="K12" s="53">
        <f t="shared" si="3"/>
        <v>244</v>
      </c>
      <c r="L12" s="44">
        <f t="shared" si="5"/>
        <v>249.29400000000001</v>
      </c>
      <c r="M12" s="42" t="s">
        <v>2079</v>
      </c>
      <c r="N12" s="52" t="str">
        <f t="shared" si="0"/>
        <v>(2,'PPUR-02-GK2','Poste de Purge n°02 GK2','1998-01-01','2001-01-01',,,),</v>
      </c>
    </row>
    <row r="13" spans="1:14" ht="20.100000000000001" customHeight="1" x14ac:dyDescent="0.25">
      <c r="A13" s="39">
        <v>3</v>
      </c>
      <c r="B13" s="48" t="str">
        <f t="shared" si="6"/>
        <v>PPUR-03-GK2</v>
      </c>
      <c r="C13" s="52" t="str">
        <f t="shared" si="7"/>
        <v>Poste de Purge n°03 GK2</v>
      </c>
      <c r="D13" s="19">
        <v>35796</v>
      </c>
      <c r="E13" s="19">
        <v>36892</v>
      </c>
      <c r="F13" s="42"/>
      <c r="G13" s="42"/>
      <c r="H13" s="42"/>
      <c r="I13" s="42" t="s">
        <v>402</v>
      </c>
      <c r="J13" s="42" t="s">
        <v>2110</v>
      </c>
      <c r="K13" s="53">
        <f t="shared" si="3"/>
        <v>288</v>
      </c>
      <c r="L13" s="44">
        <f t="shared" si="5"/>
        <v>282.48700000000002</v>
      </c>
      <c r="M13" s="42" t="s">
        <v>2079</v>
      </c>
      <c r="N13" s="52" t="str">
        <f t="shared" si="0"/>
        <v>(3,'PPUR-03-GK2','Poste de Purge n°03 GK2','1998-01-01','2001-01-01',,,),</v>
      </c>
    </row>
    <row r="14" spans="1:14" ht="20.100000000000001" customHeight="1" x14ac:dyDescent="0.25">
      <c r="A14" s="39">
        <v>4</v>
      </c>
      <c r="B14" s="48" t="str">
        <f t="shared" si="6"/>
        <v>PPUR-04-GK2</v>
      </c>
      <c r="C14" s="52" t="str">
        <f t="shared" si="7"/>
        <v>Poste de Purge n°04 GK2</v>
      </c>
      <c r="D14" s="19">
        <v>35796</v>
      </c>
      <c r="E14" s="19">
        <v>36892</v>
      </c>
      <c r="F14" s="42"/>
      <c r="G14" s="42"/>
      <c r="H14" s="42"/>
      <c r="I14" s="42" t="s">
        <v>402</v>
      </c>
      <c r="J14" s="42" t="s">
        <v>2111</v>
      </c>
      <c r="K14" s="53">
        <f t="shared" si="3"/>
        <v>316</v>
      </c>
      <c r="L14" s="44">
        <f t="shared" si="5"/>
        <v>299.18799999999999</v>
      </c>
      <c r="M14" s="42" t="s">
        <v>2080</v>
      </c>
      <c r="N14" s="52" t="str">
        <f t="shared" si="0"/>
        <v>(4,'PPUR-04-GK2','Poste de Purge n°04 GK2','1998-01-01','2001-01-01',,,),</v>
      </c>
    </row>
    <row r="15" spans="1:14" ht="20.100000000000001" customHeight="1" x14ac:dyDescent="0.25">
      <c r="A15" s="39">
        <v>5</v>
      </c>
      <c r="B15" s="48" t="str">
        <f t="shared" si="6"/>
        <v>PPUR-05-GK2</v>
      </c>
      <c r="C15" s="52" t="str">
        <f t="shared" si="7"/>
        <v>Poste de Purge n°05 GK2</v>
      </c>
      <c r="D15" s="19">
        <v>35796</v>
      </c>
      <c r="E15" s="19">
        <v>36892</v>
      </c>
      <c r="F15" s="42"/>
      <c r="G15" s="42"/>
      <c r="H15" s="42"/>
      <c r="I15" s="42" t="s">
        <v>402</v>
      </c>
      <c r="J15" s="42" t="s">
        <v>2112</v>
      </c>
      <c r="K15" s="53">
        <f t="shared" si="3"/>
        <v>872</v>
      </c>
      <c r="L15" s="44">
        <f t="shared" si="5"/>
        <v>422.976</v>
      </c>
      <c r="M15" s="42" t="s">
        <v>2107</v>
      </c>
      <c r="N15" s="52" t="str">
        <f t="shared" si="0"/>
        <v>(5,'PPUR-05-GK2','Poste de Purge n°05 GK2','1998-01-01','2001-01-01',,,),</v>
      </c>
    </row>
    <row r="16" spans="1:14" ht="20.100000000000001" customHeight="1" x14ac:dyDescent="0.25">
      <c r="A16" s="39">
        <v>6</v>
      </c>
      <c r="B16" s="48" t="str">
        <f t="shared" si="6"/>
        <v>PPUR-06-GK2</v>
      </c>
      <c r="C16" s="52" t="str">
        <f t="shared" si="7"/>
        <v>Poste de Purge n°06 GK2</v>
      </c>
      <c r="D16" s="19">
        <v>35796</v>
      </c>
      <c r="E16" s="19">
        <v>36892</v>
      </c>
      <c r="F16" s="42"/>
      <c r="G16" s="42"/>
      <c r="H16" s="42"/>
      <c r="I16" s="42" t="s">
        <v>402</v>
      </c>
      <c r="J16" s="42" t="s">
        <v>2113</v>
      </c>
      <c r="K16" s="53">
        <f t="shared" si="3"/>
        <v>663</v>
      </c>
      <c r="L16" s="44">
        <f t="shared" si="5"/>
        <v>485.04</v>
      </c>
      <c r="M16" s="42" t="s">
        <v>2117</v>
      </c>
      <c r="N16" s="52" t="str">
        <f t="shared" si="0"/>
        <v>(6,'PPUR-06-GK2','Poste de Purge n°06 GK2','1998-01-01','2001-01-01',,,),</v>
      </c>
    </row>
    <row r="17" spans="1:14" ht="20.100000000000001" customHeight="1" x14ac:dyDescent="0.25">
      <c r="A17" s="39">
        <v>7</v>
      </c>
      <c r="B17" s="48" t="str">
        <f t="shared" si="6"/>
        <v>PPUR-07-GK2</v>
      </c>
      <c r="C17" s="52" t="str">
        <f t="shared" si="7"/>
        <v>Poste de Purge n°07 GK2</v>
      </c>
      <c r="D17" s="19">
        <v>35796</v>
      </c>
      <c r="E17" s="19">
        <v>36892</v>
      </c>
      <c r="F17" s="42"/>
      <c r="G17" s="42"/>
      <c r="H17" s="42"/>
      <c r="I17" s="42" t="s">
        <v>402</v>
      </c>
      <c r="J17" s="42" t="s">
        <v>2114</v>
      </c>
      <c r="K17" s="53">
        <f t="shared" si="3"/>
        <v>422</v>
      </c>
      <c r="L17" s="44">
        <f t="shared" si="5"/>
        <v>523.92700000000002</v>
      </c>
      <c r="M17" s="42" t="s">
        <v>2087</v>
      </c>
      <c r="N17" s="52" t="str">
        <f t="shared" si="0"/>
        <v>(7,'PPUR-07-GK2','Poste de Purge n°07 GK2','1998-01-01','2001-01-01',,,),</v>
      </c>
    </row>
    <row r="18" spans="1:14" ht="20.100000000000001" customHeight="1" x14ac:dyDescent="0.25">
      <c r="A18" s="39">
        <v>8</v>
      </c>
      <c r="B18" s="48" t="str">
        <f t="shared" si="6"/>
        <v>PPUR-08-GK2</v>
      </c>
      <c r="C18" s="52" t="str">
        <f t="shared" si="7"/>
        <v>Poste de Purge n°08 GK2</v>
      </c>
      <c r="D18" s="19">
        <v>35796</v>
      </c>
      <c r="E18" s="19">
        <v>36892</v>
      </c>
      <c r="F18" s="42"/>
      <c r="G18" s="42"/>
      <c r="H18" s="42"/>
      <c r="I18" s="42" t="s">
        <v>402</v>
      </c>
      <c r="J18" s="42" t="s">
        <v>2115</v>
      </c>
      <c r="K18" s="53">
        <f t="shared" si="3"/>
        <v>50</v>
      </c>
      <c r="L18" s="44">
        <f t="shared" si="5"/>
        <v>558.25400000000002</v>
      </c>
      <c r="M18" s="42" t="s">
        <v>2090</v>
      </c>
      <c r="N18" s="52" t="str">
        <f t="shared" si="0"/>
        <v>(8,'PPUR-08-GK2','Poste de Purge n°08 GK2','1998-01-01','2001-01-01',,,),</v>
      </c>
    </row>
    <row r="19" spans="1:14" ht="20.100000000000001" customHeight="1" x14ac:dyDescent="0.25">
      <c r="A19" s="39">
        <v>9</v>
      </c>
      <c r="B19" s="48" t="str">
        <f t="shared" si="6"/>
        <v>PPUR-09-GK2</v>
      </c>
      <c r="C19" s="52" t="str">
        <f t="shared" si="7"/>
        <v>Poste de Purge n°09 GK2</v>
      </c>
      <c r="D19" s="19">
        <v>35796</v>
      </c>
      <c r="E19" s="19">
        <v>36892</v>
      </c>
      <c r="F19" s="42"/>
      <c r="G19" s="42"/>
      <c r="H19" s="42"/>
      <c r="I19" s="42" t="s">
        <v>402</v>
      </c>
      <c r="J19" s="42" t="s">
        <v>2116</v>
      </c>
      <c r="K19" s="53">
        <f t="shared" si="3"/>
        <v>72</v>
      </c>
      <c r="L19" s="44">
        <f t="shared" si="5"/>
        <v>562.91399999999999</v>
      </c>
      <c r="M19" s="42" t="s">
        <v>2090</v>
      </c>
      <c r="N19" s="52" t="str">
        <f t="shared" si="0"/>
        <v>(9,'PPUR-09-GK2','Poste de Purge n°09 GK2','1998-01-01','2001-01-01',,,),</v>
      </c>
    </row>
    <row r="20" spans="1:14" ht="20.100000000000001" customHeight="1" x14ac:dyDescent="0.25">
      <c r="A20" s="39">
        <v>1</v>
      </c>
      <c r="B20" s="48" t="str">
        <f t="shared" si="6"/>
        <v>PPUR-01-GK3</v>
      </c>
      <c r="C20" s="52" t="str">
        <f t="shared" si="7"/>
        <v>Poste de Purge n°01 GK3</v>
      </c>
      <c r="D20" s="19">
        <v>40909</v>
      </c>
      <c r="E20" s="19">
        <v>40909</v>
      </c>
      <c r="F20" s="42"/>
      <c r="G20" s="42"/>
      <c r="H20" s="42"/>
      <c r="I20" s="42" t="s">
        <v>659</v>
      </c>
      <c r="J20" s="42" t="s">
        <v>2221</v>
      </c>
      <c r="K20" s="53">
        <f t="shared" si="3"/>
        <v>246.64</v>
      </c>
      <c r="L20" s="44">
        <f t="shared" ref="L20:L33" si="8">VALUE(SUBSTITUTE(LEFT(J20,SEARCH("/",J20)-1),"+",","))</f>
        <v>248.441</v>
      </c>
      <c r="M20" s="42" t="s">
        <v>2079</v>
      </c>
      <c r="N20" s="52" t="str">
        <f t="shared" si="0"/>
        <v>(1,'PPUR-01-GK3','Poste de Purge n°01 GK3','2012-01-01','2012-01-01',,,),</v>
      </c>
    </row>
    <row r="21" spans="1:14" ht="20.100000000000001" customHeight="1" x14ac:dyDescent="0.25">
      <c r="A21" s="39">
        <v>2</v>
      </c>
      <c r="B21" s="48" t="str">
        <f t="shared" si="6"/>
        <v>PPUR-02-GK3</v>
      </c>
      <c r="C21" s="52" t="str">
        <f t="shared" si="7"/>
        <v>Poste de Purge n°02 GK3</v>
      </c>
      <c r="D21" s="19">
        <v>40909</v>
      </c>
      <c r="E21" s="19">
        <v>40909</v>
      </c>
      <c r="F21" s="42"/>
      <c r="G21" s="42"/>
      <c r="H21" s="42"/>
      <c r="I21" s="42" t="s">
        <v>659</v>
      </c>
      <c r="J21" s="42" t="s">
        <v>2222</v>
      </c>
      <c r="K21" s="53">
        <f t="shared" si="3"/>
        <v>297.69</v>
      </c>
      <c r="L21" s="44">
        <f t="shared" si="8"/>
        <v>281.464</v>
      </c>
      <c r="M21" s="42" t="s">
        <v>949</v>
      </c>
      <c r="N21" s="52" t="str">
        <f t="shared" si="0"/>
        <v>(2,'PPUR-02-GK3','Poste de Purge n°02 GK3','2012-01-01','2012-01-01',,,),</v>
      </c>
    </row>
    <row r="22" spans="1:14" ht="20.100000000000001" customHeight="1" x14ac:dyDescent="0.25">
      <c r="A22" s="39">
        <v>3</v>
      </c>
      <c r="B22" s="48" t="str">
        <f t="shared" ref="B22:B25" si="9">CONCATENATE("PPUR-",TEXT(A22,"00"),"-",I22)</f>
        <v>PPUR-03-GK3</v>
      </c>
      <c r="C22" s="52" t="str">
        <f t="shared" ref="C22:C25" si="10">CONCATENATE("Poste de Purge n°",TEXT(A22,"00")," ",I22)</f>
        <v>Poste de Purge n°03 GK3</v>
      </c>
      <c r="D22" s="19">
        <v>40909</v>
      </c>
      <c r="E22" s="19">
        <v>40909</v>
      </c>
      <c r="F22" s="42"/>
      <c r="G22" s="42"/>
      <c r="H22" s="42"/>
      <c r="I22" s="42" t="s">
        <v>659</v>
      </c>
      <c r="J22" s="42" t="s">
        <v>2223</v>
      </c>
      <c r="K22" s="53">
        <f t="shared" si="3"/>
        <v>343.77</v>
      </c>
      <c r="L22" s="44">
        <f t="shared" si="8"/>
        <v>298.72500000000002</v>
      </c>
      <c r="M22" s="42" t="s">
        <v>2080</v>
      </c>
      <c r="N22" s="52" t="str">
        <f t="shared" si="0"/>
        <v>(3,'PPUR-03-GK3','Poste de Purge n°03 GK3','2012-01-01','2012-01-01',,,),</v>
      </c>
    </row>
    <row r="23" spans="1:14" ht="20.100000000000001" customHeight="1" x14ac:dyDescent="0.25">
      <c r="A23" s="39">
        <v>4</v>
      </c>
      <c r="B23" s="48" t="str">
        <f t="shared" si="9"/>
        <v>PPUR-04-GK3</v>
      </c>
      <c r="C23" s="52" t="str">
        <f t="shared" si="10"/>
        <v>Poste de Purge n°04 GK3</v>
      </c>
      <c r="D23" s="19">
        <v>40909</v>
      </c>
      <c r="E23" s="19">
        <v>40909</v>
      </c>
      <c r="F23" s="42"/>
      <c r="G23" s="42"/>
      <c r="H23" s="42"/>
      <c r="I23" s="42" t="s">
        <v>659</v>
      </c>
      <c r="J23" s="42" t="s">
        <v>2224</v>
      </c>
      <c r="K23" s="53">
        <f t="shared" si="3"/>
        <v>888.6</v>
      </c>
      <c r="L23" s="44">
        <f t="shared" si="8"/>
        <v>421.1</v>
      </c>
      <c r="M23" s="42" t="s">
        <v>2185</v>
      </c>
      <c r="N23" s="52" t="str">
        <f t="shared" si="0"/>
        <v>(4,'PPUR-04-GK3','Poste de Purge n°04 GK3','2012-01-01','2012-01-01',,,),</v>
      </c>
    </row>
    <row r="24" spans="1:14" ht="20.100000000000001" customHeight="1" x14ac:dyDescent="0.25">
      <c r="A24" s="39">
        <v>1</v>
      </c>
      <c r="B24" s="48" t="str">
        <f t="shared" si="9"/>
        <v>PPUR-01-GK3 Bis</v>
      </c>
      <c r="C24" s="52" t="str">
        <f t="shared" si="10"/>
        <v>Poste de Purge n°01 GK3 Bis</v>
      </c>
      <c r="D24" s="19">
        <v>40909</v>
      </c>
      <c r="E24" s="19">
        <v>40909</v>
      </c>
      <c r="F24" s="42"/>
      <c r="G24" s="42"/>
      <c r="H24" s="42"/>
      <c r="I24" s="42" t="s">
        <v>1010</v>
      </c>
      <c r="J24" s="42" t="s">
        <v>2225</v>
      </c>
      <c r="K24" s="53">
        <f t="shared" si="3"/>
        <v>731.37</v>
      </c>
      <c r="L24" s="44">
        <f t="shared" si="8"/>
        <v>71.432000000000002</v>
      </c>
      <c r="M24" s="42" t="s">
        <v>2191</v>
      </c>
      <c r="N24" s="52" t="str">
        <f t="shared" si="0"/>
        <v>(1,'PPUR-01-GK3 Bis','Poste de Purge n°01 GK3 Bis','2012-01-01','2012-01-01',,,),</v>
      </c>
    </row>
    <row r="25" spans="1:14" ht="20.100000000000001" customHeight="1" x14ac:dyDescent="0.25">
      <c r="A25" s="39">
        <v>2</v>
      </c>
      <c r="B25" s="48" t="str">
        <f t="shared" si="9"/>
        <v>PPUR-02-GK3 Bis</v>
      </c>
      <c r="C25" s="52" t="str">
        <f t="shared" si="10"/>
        <v>Poste de Purge n°02 GK3 Bis</v>
      </c>
      <c r="D25" s="19">
        <v>40909</v>
      </c>
      <c r="E25" s="19">
        <v>40909</v>
      </c>
      <c r="F25" s="42"/>
      <c r="G25" s="42"/>
      <c r="H25" s="42"/>
      <c r="I25" s="42" t="s">
        <v>1010</v>
      </c>
      <c r="J25" s="42" t="s">
        <v>2226</v>
      </c>
      <c r="K25" s="53">
        <f t="shared" si="3"/>
        <v>768.74</v>
      </c>
      <c r="L25" s="44">
        <f t="shared" si="8"/>
        <v>135.893</v>
      </c>
      <c r="M25" s="42" t="s">
        <v>2196</v>
      </c>
      <c r="N25" s="52" t="str">
        <f t="shared" si="0"/>
        <v>(2,'PPUR-02-GK3 Bis','Poste de Purge n°02 GK3 Bis','2012-01-01','2012-01-01',,,),</v>
      </c>
    </row>
    <row r="26" spans="1:14" ht="20.100000000000001" customHeight="1" x14ac:dyDescent="0.25">
      <c r="A26" s="39">
        <v>3</v>
      </c>
      <c r="B26" s="48" t="str">
        <f t="shared" ref="B26:B30" si="11">CONCATENATE("PPUR-",TEXT(A26,"00"),"-",I26)</f>
        <v>PPUR-03-GK3 Bis</v>
      </c>
      <c r="C26" s="52" t="str">
        <f t="shared" ref="C26:C30" si="12">CONCATENATE("Poste de Purge n°",TEXT(A26,"00")," ",I26)</f>
        <v>Poste de Purge n°03 GK3 Bis</v>
      </c>
      <c r="D26" s="19">
        <v>40909</v>
      </c>
      <c r="E26" s="19">
        <v>40909</v>
      </c>
      <c r="F26" s="42"/>
      <c r="G26" s="42"/>
      <c r="H26" s="42"/>
      <c r="I26" s="42" t="s">
        <v>1010</v>
      </c>
      <c r="J26" s="42" t="s">
        <v>2227</v>
      </c>
      <c r="K26" s="53">
        <f t="shared" si="3"/>
        <v>104.98</v>
      </c>
      <c r="L26" s="44">
        <f t="shared" si="8"/>
        <v>189.976</v>
      </c>
      <c r="M26" s="42" t="s">
        <v>2199</v>
      </c>
      <c r="N26" s="52" t="str">
        <f t="shared" si="0"/>
        <v>(3,'PPUR-03-GK3 Bis','Poste de Purge n°03 GK3 Bis','2012-01-01','2012-01-01',,,),</v>
      </c>
    </row>
    <row r="27" spans="1:14" ht="20.100000000000001" customHeight="1" x14ac:dyDescent="0.25">
      <c r="A27" s="39">
        <v>4</v>
      </c>
      <c r="B27" s="48" t="str">
        <f t="shared" si="11"/>
        <v>PPUR-04-GK3 Bis</v>
      </c>
      <c r="C27" s="52" t="str">
        <f t="shared" si="12"/>
        <v>Poste de Purge n°04 GK3 Bis</v>
      </c>
      <c r="D27" s="19">
        <v>40909</v>
      </c>
      <c r="E27" s="19">
        <v>40909</v>
      </c>
      <c r="F27" s="42"/>
      <c r="G27" s="42"/>
      <c r="H27" s="42"/>
      <c r="I27" s="42" t="s">
        <v>1010</v>
      </c>
      <c r="J27" s="42" t="s">
        <v>2228</v>
      </c>
      <c r="K27" s="53">
        <f t="shared" si="3"/>
        <v>67.16</v>
      </c>
      <c r="L27" s="44">
        <f t="shared" si="8"/>
        <v>212.37100000000001</v>
      </c>
      <c r="M27" s="42" t="s">
        <v>2201</v>
      </c>
      <c r="N27" s="52" t="str">
        <f t="shared" si="0"/>
        <v>(4,'PPUR-04-GK3 Bis','Poste de Purge n°04 GK3 Bis','2012-01-01','2012-01-01',,,),</v>
      </c>
    </row>
    <row r="28" spans="1:14" ht="20.100000000000001" customHeight="1" x14ac:dyDescent="0.25">
      <c r="A28" s="39">
        <v>5</v>
      </c>
      <c r="B28" s="48" t="str">
        <f t="shared" si="11"/>
        <v>PPUR-05-GK3 Bis</v>
      </c>
      <c r="C28" s="52" t="str">
        <f t="shared" si="12"/>
        <v>Poste de Purge n°05 GK3 Bis</v>
      </c>
      <c r="D28" s="19">
        <v>40909</v>
      </c>
      <c r="E28" s="19">
        <v>40909</v>
      </c>
      <c r="F28" s="42"/>
      <c r="G28" s="42"/>
      <c r="H28" s="42"/>
      <c r="I28" s="42" t="s">
        <v>1010</v>
      </c>
      <c r="J28" s="42" t="s">
        <v>2229</v>
      </c>
      <c r="K28" s="53">
        <f t="shared" si="3"/>
        <v>75</v>
      </c>
      <c r="L28" s="44">
        <f t="shared" si="8"/>
        <v>236.55099999999999</v>
      </c>
      <c r="M28" s="42" t="s">
        <v>2203</v>
      </c>
      <c r="N28" s="52" t="str">
        <f t="shared" si="0"/>
        <v>(5,'PPUR-05-GK3 Bis','Poste de Purge n°05 GK3 Bis','2012-01-01','2012-01-01',,,),</v>
      </c>
    </row>
    <row r="29" spans="1:14" ht="20.100000000000001" customHeight="1" x14ac:dyDescent="0.25">
      <c r="A29" s="39">
        <v>6</v>
      </c>
      <c r="B29" s="48" t="str">
        <f t="shared" si="11"/>
        <v>PPUR-06-GK3 Bis</v>
      </c>
      <c r="C29" s="52" t="str">
        <f t="shared" si="12"/>
        <v>Poste de Purge n°06 GK3 Bis</v>
      </c>
      <c r="D29" s="19">
        <v>40909</v>
      </c>
      <c r="E29" s="19">
        <v>40909</v>
      </c>
      <c r="F29" s="42"/>
      <c r="G29" s="42"/>
      <c r="H29" s="42"/>
      <c r="I29" s="42" t="s">
        <v>1010</v>
      </c>
      <c r="J29" s="42" t="s">
        <v>2230</v>
      </c>
      <c r="K29" s="53">
        <f t="shared" si="3"/>
        <v>77.290000000000006</v>
      </c>
      <c r="L29" s="44">
        <f t="shared" si="8"/>
        <v>264.738</v>
      </c>
      <c r="M29" s="42" t="s">
        <v>2204</v>
      </c>
      <c r="N29" s="52" t="str">
        <f t="shared" si="0"/>
        <v>(6,'PPUR-06-GK3 Bis','Poste de Purge n°06 GK3 Bis','2012-01-01','2012-01-01',,,),</v>
      </c>
    </row>
    <row r="30" spans="1:14" ht="20.100000000000001" customHeight="1" x14ac:dyDescent="0.25">
      <c r="A30" s="39">
        <v>1</v>
      </c>
      <c r="B30" s="48" t="str">
        <f t="shared" si="11"/>
        <v>PPUR-01-GK3 Ter</v>
      </c>
      <c r="C30" s="52" t="str">
        <f t="shared" si="12"/>
        <v>Poste de Purge n°01 GK3 Ter</v>
      </c>
      <c r="D30" s="19">
        <v>40909</v>
      </c>
      <c r="E30" s="19">
        <v>40909</v>
      </c>
      <c r="F30" s="42"/>
      <c r="G30" s="42"/>
      <c r="H30" s="42"/>
      <c r="I30" s="42" t="s">
        <v>2235</v>
      </c>
      <c r="J30" s="42" t="s">
        <v>2231</v>
      </c>
      <c r="K30" s="53">
        <f t="shared" si="3"/>
        <v>738.89300000000003</v>
      </c>
      <c r="L30" s="44">
        <f t="shared" si="8"/>
        <v>31.844999999999999</v>
      </c>
      <c r="M30" s="42" t="s">
        <v>2205</v>
      </c>
      <c r="N30" s="52" t="str">
        <f t="shared" si="0"/>
        <v>(1,'PPUR-01-GK3 Ter','Poste de Purge n°01 GK3 Ter','2012-01-01','2012-01-01',,,),</v>
      </c>
    </row>
    <row r="31" spans="1:14" ht="20.100000000000001" customHeight="1" x14ac:dyDescent="0.25">
      <c r="A31" s="39">
        <v>2</v>
      </c>
      <c r="B31" s="48" t="str">
        <f t="shared" ref="B31:B47" si="13">CONCATENATE("PPUR-",TEXT(A31,"00"),"-",I31)</f>
        <v>PPUR-02-GK3 Ter</v>
      </c>
      <c r="C31" s="52" t="str">
        <f t="shared" ref="C31:C47" si="14">CONCATENATE("Poste de Purge n°",TEXT(A31,"00")," ",I31)</f>
        <v>Poste de Purge n°02 GK3 Ter</v>
      </c>
      <c r="D31" s="19">
        <v>40909</v>
      </c>
      <c r="E31" s="19">
        <v>40909</v>
      </c>
      <c r="F31" s="42"/>
      <c r="G31" s="42"/>
      <c r="H31" s="42"/>
      <c r="I31" s="42" t="s">
        <v>2235</v>
      </c>
      <c r="J31" s="42" t="s">
        <v>2232</v>
      </c>
      <c r="K31" s="53">
        <f t="shared" si="3"/>
        <v>667.29600000000005</v>
      </c>
      <c r="L31" s="44">
        <f t="shared" si="8"/>
        <v>42.594000000000001</v>
      </c>
      <c r="M31" s="42" t="s">
        <v>2206</v>
      </c>
      <c r="N31" s="52" t="str">
        <f t="shared" si="0"/>
        <v>(2,'PPUR-02-GK3 Ter','Poste de Purge n°02 GK3 Ter','2012-01-01','2012-01-01',,,),</v>
      </c>
    </row>
    <row r="32" spans="1:14" ht="20.100000000000001" customHeight="1" x14ac:dyDescent="0.25">
      <c r="A32" s="39">
        <v>3</v>
      </c>
      <c r="B32" s="48" t="str">
        <f t="shared" si="13"/>
        <v>PPUR-03-GK3 Ter</v>
      </c>
      <c r="C32" s="52" t="str">
        <f t="shared" si="14"/>
        <v>Poste de Purge n°03 GK3 Ter</v>
      </c>
      <c r="D32" s="19">
        <v>40909</v>
      </c>
      <c r="E32" s="19">
        <v>40909</v>
      </c>
      <c r="F32" s="42"/>
      <c r="G32" s="42"/>
      <c r="H32" s="42"/>
      <c r="I32" s="42" t="s">
        <v>2235</v>
      </c>
      <c r="J32" s="42" t="s">
        <v>2233</v>
      </c>
      <c r="K32" s="53">
        <f t="shared" si="3"/>
        <v>170.94800000000001</v>
      </c>
      <c r="L32" s="44">
        <f t="shared" si="8"/>
        <v>68.311999999999998</v>
      </c>
      <c r="M32" s="42" t="s">
        <v>2090</v>
      </c>
      <c r="N32" s="52" t="str">
        <f t="shared" si="0"/>
        <v>(3,'PPUR-03-GK3 Ter','Poste de Purge n°03 GK3 Ter','2012-01-01','2012-01-01',,,),</v>
      </c>
    </row>
    <row r="33" spans="1:14" ht="20.100000000000001" customHeight="1" x14ac:dyDescent="0.25">
      <c r="A33" s="39">
        <v>4</v>
      </c>
      <c r="B33" s="48" t="str">
        <f t="shared" si="13"/>
        <v>PPUR-04-GK3 Ter</v>
      </c>
      <c r="C33" s="52" t="str">
        <f t="shared" si="14"/>
        <v>Poste de Purge n°04 GK3 Ter</v>
      </c>
      <c r="D33" s="19">
        <v>40909</v>
      </c>
      <c r="E33" s="19">
        <v>40909</v>
      </c>
      <c r="F33" s="42"/>
      <c r="G33" s="42"/>
      <c r="H33" s="42"/>
      <c r="I33" s="42" t="s">
        <v>2235</v>
      </c>
      <c r="J33" s="42" t="s">
        <v>2234</v>
      </c>
      <c r="K33" s="53">
        <f t="shared" si="3"/>
        <v>58.326000000000001</v>
      </c>
      <c r="L33" s="44">
        <f t="shared" si="8"/>
        <v>85.97</v>
      </c>
      <c r="M33" s="42" t="s">
        <v>2236</v>
      </c>
      <c r="N33" s="52" t="str">
        <f t="shared" si="0"/>
        <v>(4,'PPUR-04-GK3 Ter','Poste de Purge n°04 GK3 Ter','2012-01-01','2012-01-01',,,),</v>
      </c>
    </row>
    <row r="34" spans="1:14" ht="20.100000000000001" customHeight="1" x14ac:dyDescent="0.25">
      <c r="A34" s="39">
        <v>1</v>
      </c>
      <c r="B34" s="48" t="str">
        <f t="shared" si="13"/>
        <v>PPUR-01-GG1</v>
      </c>
      <c r="C34" s="52" t="str">
        <f t="shared" si="14"/>
        <v>Poste de Purge n°01 GG1</v>
      </c>
      <c r="D34" s="19">
        <v>29587</v>
      </c>
      <c r="E34" s="19">
        <v>29587</v>
      </c>
      <c r="F34" s="42"/>
      <c r="G34" s="42"/>
      <c r="H34" s="42"/>
      <c r="I34" s="42" t="s">
        <v>411</v>
      </c>
      <c r="J34" s="42" t="s">
        <v>2284</v>
      </c>
      <c r="K34" s="53">
        <f t="shared" si="3"/>
        <v>665</v>
      </c>
      <c r="L34" s="44">
        <f t="shared" ref="L34:L42" si="15">VALUE(SUBSTITUTE(LEFT(J34,SEARCH("/",J34)-1),"+",","))</f>
        <v>102.05</v>
      </c>
      <c r="M34" s="42" t="s">
        <v>2292</v>
      </c>
      <c r="N34" s="52" t="str">
        <f t="shared" si="0"/>
        <v>(1,'PPUR-01-GG1','Poste de Purge n°01 GG1','1981-01-01','1981-01-01',,,),</v>
      </c>
    </row>
    <row r="35" spans="1:14" ht="20.100000000000001" customHeight="1" x14ac:dyDescent="0.25">
      <c r="A35" s="39">
        <v>2</v>
      </c>
      <c r="B35" s="48" t="str">
        <f t="shared" si="13"/>
        <v>PPUR-02-GG1</v>
      </c>
      <c r="C35" s="52" t="str">
        <f t="shared" si="14"/>
        <v>Poste de Purge n°02 GG1</v>
      </c>
      <c r="D35" s="19">
        <v>29587</v>
      </c>
      <c r="E35" s="19">
        <v>29587</v>
      </c>
      <c r="F35" s="42"/>
      <c r="G35" s="42"/>
      <c r="H35" s="42"/>
      <c r="I35" s="42" t="s">
        <v>411</v>
      </c>
      <c r="J35" s="42" t="s">
        <v>2285</v>
      </c>
      <c r="K35" s="53">
        <f t="shared" si="3"/>
        <v>374</v>
      </c>
      <c r="L35" s="44">
        <f t="shared" si="15"/>
        <v>319.05</v>
      </c>
      <c r="M35" s="42" t="s">
        <v>2243</v>
      </c>
      <c r="N35" s="52" t="str">
        <f t="shared" si="0"/>
        <v>(2,'PPUR-02-GG1','Poste de Purge n°02 GG1','1981-01-01','1981-01-01',,,),</v>
      </c>
    </row>
    <row r="36" spans="1:14" ht="20.100000000000001" customHeight="1" x14ac:dyDescent="0.25">
      <c r="A36" s="39">
        <v>3</v>
      </c>
      <c r="B36" s="48" t="str">
        <f t="shared" si="13"/>
        <v>PPUR-03-GG1</v>
      </c>
      <c r="C36" s="52" t="str">
        <f t="shared" si="14"/>
        <v>Poste de Purge n°03 GG1</v>
      </c>
      <c r="D36" s="19">
        <v>29587</v>
      </c>
      <c r="E36" s="19">
        <v>29587</v>
      </c>
      <c r="F36" s="42"/>
      <c r="G36" s="42"/>
      <c r="H36" s="42"/>
      <c r="I36" s="42" t="s">
        <v>411</v>
      </c>
      <c r="J36" s="42" t="s">
        <v>2286</v>
      </c>
      <c r="K36" s="53">
        <f t="shared" si="3"/>
        <v>558</v>
      </c>
      <c r="L36" s="44">
        <f t="shared" si="15"/>
        <v>387.5</v>
      </c>
      <c r="M36" s="42" t="s">
        <v>2279</v>
      </c>
      <c r="N36" s="52" t="str">
        <f t="shared" si="0"/>
        <v>(3,'PPUR-03-GG1','Poste de Purge n°03 GG1','1981-01-01','1981-01-01',,,),</v>
      </c>
    </row>
    <row r="37" spans="1:14" ht="20.100000000000001" customHeight="1" x14ac:dyDescent="0.25">
      <c r="A37" s="39">
        <v>1</v>
      </c>
      <c r="B37" s="48" t="str">
        <f t="shared" si="13"/>
        <v>PPUR-01-RGG1</v>
      </c>
      <c r="C37" s="52" t="str">
        <f t="shared" si="14"/>
        <v>Poste de Purge n°01 RGG1</v>
      </c>
      <c r="D37" s="19">
        <v>43466</v>
      </c>
      <c r="E37" s="19">
        <v>43466</v>
      </c>
      <c r="F37" s="42"/>
      <c r="G37" s="42"/>
      <c r="H37" s="42"/>
      <c r="I37" s="42" t="s">
        <v>414</v>
      </c>
      <c r="J37" s="42" t="s">
        <v>2287</v>
      </c>
      <c r="K37" s="53">
        <f t="shared" si="3"/>
        <v>577</v>
      </c>
      <c r="L37" s="44">
        <f t="shared" si="15"/>
        <v>87.32</v>
      </c>
      <c r="M37" s="42" t="s">
        <v>2243</v>
      </c>
      <c r="N37" s="52" t="str">
        <f t="shared" si="0"/>
        <v>(1,'PPUR-01-RGG1','Poste de Purge n°01 RGG1','2019-01-01','2019-01-01',,,),</v>
      </c>
    </row>
    <row r="38" spans="1:14" ht="20.100000000000001" customHeight="1" x14ac:dyDescent="0.25">
      <c r="A38" s="39">
        <v>2</v>
      </c>
      <c r="B38" s="48" t="str">
        <f t="shared" si="13"/>
        <v>PPUR-02-RGG1</v>
      </c>
      <c r="C38" s="52" t="str">
        <f t="shared" si="14"/>
        <v>Poste de Purge n°02 RGG1</v>
      </c>
      <c r="D38" s="19">
        <v>43466</v>
      </c>
      <c r="E38" s="19">
        <v>43466</v>
      </c>
      <c r="F38" s="42"/>
      <c r="G38" s="42"/>
      <c r="H38" s="42"/>
      <c r="I38" s="42" t="s">
        <v>414</v>
      </c>
      <c r="J38" s="42" t="s">
        <v>2288</v>
      </c>
      <c r="K38" s="53">
        <f t="shared" si="3"/>
        <v>800</v>
      </c>
      <c r="L38" s="44">
        <f t="shared" si="15"/>
        <v>135.41200000000001</v>
      </c>
      <c r="M38" s="42" t="s">
        <v>2293</v>
      </c>
      <c r="N38" s="52" t="str">
        <f t="shared" si="0"/>
        <v>(2,'PPUR-02-RGG1','Poste de Purge n°02 RGG1','2019-01-01','2019-01-01',,,),</v>
      </c>
    </row>
    <row r="39" spans="1:14" ht="20.100000000000001" customHeight="1" x14ac:dyDescent="0.25">
      <c r="A39" s="39">
        <v>3</v>
      </c>
      <c r="B39" s="48" t="str">
        <f t="shared" si="13"/>
        <v>PPUR-03-RGG1</v>
      </c>
      <c r="C39" s="52" t="str">
        <f t="shared" si="14"/>
        <v>Poste de Purge n°03 RGG1</v>
      </c>
      <c r="D39" s="19">
        <v>43466</v>
      </c>
      <c r="E39" s="19">
        <v>43466</v>
      </c>
      <c r="F39" s="42"/>
      <c r="G39" s="42"/>
      <c r="H39" s="42"/>
      <c r="I39" s="42" t="s">
        <v>414</v>
      </c>
      <c r="J39" s="42" t="s">
        <v>2289</v>
      </c>
      <c r="K39" s="53">
        <f t="shared" si="3"/>
        <v>394</v>
      </c>
      <c r="L39" s="44">
        <f t="shared" si="15"/>
        <v>172.255</v>
      </c>
      <c r="M39" s="42" t="s">
        <v>2281</v>
      </c>
      <c r="N39" s="52" t="str">
        <f t="shared" si="0"/>
        <v>(3,'PPUR-03-RGG1','Poste de Purge n°03 RGG1','2019-01-01','2019-01-01',,,),</v>
      </c>
    </row>
    <row r="40" spans="1:14" ht="20.100000000000001" customHeight="1" x14ac:dyDescent="0.25">
      <c r="A40" s="39">
        <v>4</v>
      </c>
      <c r="B40" s="48" t="str">
        <f t="shared" si="13"/>
        <v>PPUR-04-RGG1</v>
      </c>
      <c r="C40" s="52" t="str">
        <f t="shared" si="14"/>
        <v>Poste de Purge n°04 RGG1</v>
      </c>
      <c r="D40" s="19">
        <v>43466</v>
      </c>
      <c r="E40" s="19">
        <v>43466</v>
      </c>
      <c r="F40" s="42"/>
      <c r="G40" s="42"/>
      <c r="H40" s="42"/>
      <c r="I40" s="42" t="s">
        <v>414</v>
      </c>
      <c r="J40" s="42" t="s">
        <v>2290</v>
      </c>
      <c r="K40" s="53">
        <f t="shared" si="3"/>
        <v>260</v>
      </c>
      <c r="L40" s="44">
        <f t="shared" si="15"/>
        <v>181.667</v>
      </c>
      <c r="M40" s="42" t="s">
        <v>2294</v>
      </c>
      <c r="N40" s="52" t="str">
        <f t="shared" si="0"/>
        <v>(4,'PPUR-04-RGG1','Poste de Purge n°04 RGG1','2019-01-01','2019-01-01',,,),</v>
      </c>
    </row>
    <row r="41" spans="1:14" ht="20.100000000000001" customHeight="1" x14ac:dyDescent="0.25">
      <c r="A41" s="39">
        <v>5</v>
      </c>
      <c r="B41" s="48" t="str">
        <f t="shared" si="13"/>
        <v>PPUR-05-RGG1</v>
      </c>
      <c r="C41" s="52" t="str">
        <f t="shared" si="14"/>
        <v>Poste de Purge n°05 RGG1</v>
      </c>
      <c r="D41" s="19">
        <v>43466</v>
      </c>
      <c r="E41" s="19">
        <v>43466</v>
      </c>
      <c r="F41" s="42"/>
      <c r="G41" s="42"/>
      <c r="H41" s="42"/>
      <c r="I41" s="42" t="s">
        <v>414</v>
      </c>
      <c r="J41" s="42" t="s">
        <v>2291</v>
      </c>
      <c r="K41" s="53">
        <f t="shared" si="3"/>
        <v>89</v>
      </c>
      <c r="L41" s="44">
        <f t="shared" si="15"/>
        <v>206.72</v>
      </c>
      <c r="M41" s="42" t="s">
        <v>2295</v>
      </c>
      <c r="N41" s="52" t="str">
        <f t="shared" si="0"/>
        <v>(5,'PPUR-05-RGG1','Poste de Purge n°05 RGG1','2019-01-01','2019-01-01',,,),</v>
      </c>
    </row>
    <row r="42" spans="1:14" ht="20.100000000000001" customHeight="1" x14ac:dyDescent="0.25">
      <c r="A42" s="39">
        <v>1</v>
      </c>
      <c r="B42" s="48" t="str">
        <f t="shared" si="13"/>
        <v>PPUR-01-GPDF</v>
      </c>
      <c r="C42" s="52" t="str">
        <f t="shared" si="14"/>
        <v>Poste de Purge n°01 GPDF</v>
      </c>
      <c r="D42" s="19">
        <v>35065</v>
      </c>
      <c r="E42" s="19">
        <v>35065</v>
      </c>
      <c r="F42" s="42"/>
      <c r="G42" s="42"/>
      <c r="H42" s="42"/>
      <c r="I42" s="42" t="s">
        <v>438</v>
      </c>
      <c r="J42" s="42" t="s">
        <v>2369</v>
      </c>
      <c r="K42" s="53">
        <f t="shared" si="3"/>
        <v>1165</v>
      </c>
      <c r="L42" s="44">
        <f t="shared" si="15"/>
        <v>518.55499999999995</v>
      </c>
      <c r="M42" s="42" t="s">
        <v>2354</v>
      </c>
      <c r="N42" s="52" t="str">
        <f t="shared" si="0"/>
        <v>(1,'PPUR-01-GPDF','Poste de Purge n°01 GPDF','1996-01-01','1996-01-01',,,),</v>
      </c>
    </row>
    <row r="43" spans="1:14" ht="20.100000000000001" customHeight="1" x14ac:dyDescent="0.25">
      <c r="A43" s="39">
        <v>1</v>
      </c>
      <c r="B43" s="48" t="str">
        <f t="shared" si="13"/>
        <v>PPUR-01-EGPDF</v>
      </c>
      <c r="C43" s="52" t="str">
        <f t="shared" si="14"/>
        <v>Poste de Purge n°01 EGPDF</v>
      </c>
      <c r="D43" s="19">
        <v>44197</v>
      </c>
      <c r="E43" s="19">
        <v>44197</v>
      </c>
      <c r="F43" s="42"/>
      <c r="G43" s="42"/>
      <c r="H43" s="42"/>
      <c r="I43" s="42" t="s">
        <v>440</v>
      </c>
      <c r="J43" s="42" t="s">
        <v>2370</v>
      </c>
      <c r="K43" s="53">
        <f t="shared" si="3"/>
        <v>1246</v>
      </c>
      <c r="L43" s="44">
        <f t="shared" ref="L43:L45" si="16">VALUE(SUBSTITUTE(LEFT(J43,SEARCH("/",J43)-1),"+",","))</f>
        <v>93.736999999999995</v>
      </c>
      <c r="M43" s="42" t="s">
        <v>2355</v>
      </c>
      <c r="N43" s="52" t="str">
        <f t="shared" si="0"/>
        <v>(1,'PPUR-01-EGPDF','Poste de Purge n°01 EGPDF','2021-01-01','2021-01-01',,,),</v>
      </c>
    </row>
    <row r="44" spans="1:14" ht="20.100000000000001" customHeight="1" x14ac:dyDescent="0.25">
      <c r="A44" s="39">
        <v>2</v>
      </c>
      <c r="B44" s="48" t="str">
        <f t="shared" si="13"/>
        <v>PPUR-02-EGPDF</v>
      </c>
      <c r="C44" s="52" t="str">
        <f t="shared" si="14"/>
        <v>Poste de Purge n°02 EGPDF</v>
      </c>
      <c r="D44" s="19">
        <v>44197</v>
      </c>
      <c r="E44" s="19">
        <v>44197</v>
      </c>
      <c r="F44" s="42"/>
      <c r="G44" s="42"/>
      <c r="H44" s="42"/>
      <c r="I44" s="42" t="s">
        <v>440</v>
      </c>
      <c r="J44" s="42" t="s">
        <v>2371</v>
      </c>
      <c r="K44" s="53">
        <f t="shared" si="3"/>
        <v>782</v>
      </c>
      <c r="L44" s="44">
        <f t="shared" si="16"/>
        <v>133.14699999999999</v>
      </c>
      <c r="M44" s="42" t="s">
        <v>2373</v>
      </c>
      <c r="N44" s="52" t="str">
        <f t="shared" si="0"/>
        <v>(2,'PPUR-02-EGPDF','Poste de Purge n°02 EGPDF','2021-01-01','2021-01-01',,,),</v>
      </c>
    </row>
    <row r="45" spans="1:14" ht="20.100000000000001" customHeight="1" x14ac:dyDescent="0.25">
      <c r="A45" s="39">
        <v>3</v>
      </c>
      <c r="B45" s="48" t="str">
        <f t="shared" si="13"/>
        <v>PPUR-03-EGPDF</v>
      </c>
      <c r="C45" s="52" t="str">
        <f t="shared" si="14"/>
        <v>Poste de Purge n°03 EGPDF</v>
      </c>
      <c r="D45" s="19">
        <v>44197</v>
      </c>
      <c r="E45" s="19">
        <v>44197</v>
      </c>
      <c r="F45" s="42"/>
      <c r="G45" s="42"/>
      <c r="H45" s="42"/>
      <c r="I45" s="42" t="s">
        <v>440</v>
      </c>
      <c r="J45" s="42" t="s">
        <v>2372</v>
      </c>
      <c r="K45" s="53">
        <f t="shared" si="3"/>
        <v>390</v>
      </c>
      <c r="L45" s="44">
        <f t="shared" si="16"/>
        <v>178.59200000000001</v>
      </c>
      <c r="M45" s="42" t="s">
        <v>2360</v>
      </c>
      <c r="N45" s="52" t="str">
        <f t="shared" si="0"/>
        <v>(3,'PPUR-03-EGPDF','Poste de Purge n°03 EGPDF','2021-01-01','2021-01-01',,,),</v>
      </c>
    </row>
    <row r="46" spans="1:14" ht="20.100000000000001" customHeight="1" x14ac:dyDescent="0.25">
      <c r="A46" s="39">
        <v>1</v>
      </c>
      <c r="B46" s="48" t="str">
        <f t="shared" si="13"/>
        <v>PPUR-01-GO1</v>
      </c>
      <c r="C46" s="52" t="str">
        <f t="shared" si="14"/>
        <v>Poste de Purge n°01 GO1</v>
      </c>
      <c r="D46" s="19">
        <v>29952</v>
      </c>
      <c r="E46" s="19">
        <v>29952</v>
      </c>
      <c r="F46" s="42"/>
      <c r="G46" s="42"/>
      <c r="H46" s="42"/>
      <c r="I46" s="42" t="s">
        <v>443</v>
      </c>
      <c r="J46" s="42" t="s">
        <v>2447</v>
      </c>
      <c r="K46" s="53">
        <f t="shared" si="3"/>
        <v>450.92</v>
      </c>
      <c r="L46" s="44">
        <f t="shared" ref="L46:L80" si="17">VALUE(SUBSTITUTE(LEFT(J46,SEARCH("/",J46)-1),"+",","))</f>
        <v>166.93100000000001</v>
      </c>
      <c r="M46" s="42"/>
      <c r="N46" s="52" t="str">
        <f t="shared" si="0"/>
        <v>(1,'PPUR-01-GO1','Poste de Purge n°01 GO1','1982-01-01','1982-01-01',,,),</v>
      </c>
    </row>
    <row r="47" spans="1:14" ht="20.100000000000001" customHeight="1" x14ac:dyDescent="0.25">
      <c r="A47" s="39">
        <v>2</v>
      </c>
      <c r="B47" s="48" t="str">
        <f t="shared" si="13"/>
        <v>PPUR-02-GO1</v>
      </c>
      <c r="C47" s="52" t="str">
        <f t="shared" si="14"/>
        <v>Poste de Purge n°02 GO1</v>
      </c>
      <c r="D47" s="19">
        <v>29952</v>
      </c>
      <c r="E47" s="19">
        <v>29952</v>
      </c>
      <c r="F47" s="42"/>
      <c r="G47" s="42"/>
      <c r="H47" s="42"/>
      <c r="I47" s="42" t="s">
        <v>443</v>
      </c>
      <c r="J47" s="42" t="s">
        <v>2448</v>
      </c>
      <c r="K47" s="53">
        <f t="shared" si="3"/>
        <v>448.13</v>
      </c>
      <c r="L47" s="44">
        <f t="shared" si="17"/>
        <v>168.78</v>
      </c>
      <c r="M47" s="42"/>
      <c r="N47" s="52" t="str">
        <f t="shared" si="0"/>
        <v>(2,'PPUR-02-GO1','Poste de Purge n°02 GO1','1982-01-01','1982-01-01',,,),</v>
      </c>
    </row>
    <row r="48" spans="1:14" ht="20.100000000000001" customHeight="1" x14ac:dyDescent="0.25">
      <c r="A48" s="39">
        <v>3</v>
      </c>
      <c r="B48" s="48" t="str">
        <f t="shared" ref="B48:B66" si="18">CONCATENATE("PPUR-",TEXT(A48,"00"),"-",I48)</f>
        <v>PPUR-03-GO1</v>
      </c>
      <c r="C48" s="52" t="str">
        <f t="shared" ref="C48:C66" si="19">CONCATENATE("Poste de Purge n°",TEXT(A48,"00")," ",I48)</f>
        <v>Poste de Purge n°03 GO1</v>
      </c>
      <c r="D48" s="19">
        <v>29952</v>
      </c>
      <c r="E48" s="19">
        <v>29952</v>
      </c>
      <c r="F48" s="42"/>
      <c r="G48" s="42"/>
      <c r="H48" s="42"/>
      <c r="I48" s="42" t="s">
        <v>443</v>
      </c>
      <c r="J48" s="42" t="s">
        <v>2449</v>
      </c>
      <c r="K48" s="53">
        <f t="shared" si="3"/>
        <v>-10.33</v>
      </c>
      <c r="L48" s="44">
        <f t="shared" si="17"/>
        <v>342.37</v>
      </c>
      <c r="M48" s="42"/>
      <c r="N48" s="52" t="str">
        <f t="shared" si="0"/>
        <v>(3,'PPUR-03-GO1','Poste de Purge n°03 GO1','1982-01-01','1982-01-01',,,),</v>
      </c>
    </row>
    <row r="49" spans="1:14" ht="20.100000000000001" customHeight="1" x14ac:dyDescent="0.25">
      <c r="A49" s="39">
        <v>4</v>
      </c>
      <c r="B49" s="48" t="str">
        <f t="shared" si="18"/>
        <v>PPUR-04-GO1</v>
      </c>
      <c r="C49" s="52" t="str">
        <f t="shared" si="19"/>
        <v>Poste de Purge n°04 GO1</v>
      </c>
      <c r="D49" s="19">
        <v>29952</v>
      </c>
      <c r="E49" s="19">
        <v>29952</v>
      </c>
      <c r="F49" s="42"/>
      <c r="G49" s="42"/>
      <c r="H49" s="42"/>
      <c r="I49" s="42" t="s">
        <v>443</v>
      </c>
      <c r="J49" s="42" t="s">
        <v>2450</v>
      </c>
      <c r="K49" s="53">
        <f t="shared" si="3"/>
        <v>-0.28000000000000003</v>
      </c>
      <c r="L49" s="44">
        <f t="shared" si="17"/>
        <v>349.02</v>
      </c>
      <c r="M49" s="42"/>
      <c r="N49" s="52" t="str">
        <f t="shared" si="0"/>
        <v>(4,'PPUR-04-GO1','Poste de Purge n°04 GO1','1982-01-01','1982-01-01',,,),</v>
      </c>
    </row>
    <row r="50" spans="1:14" ht="20.100000000000001" customHeight="1" x14ac:dyDescent="0.25">
      <c r="A50" s="39">
        <v>5</v>
      </c>
      <c r="B50" s="48" t="str">
        <f t="shared" si="18"/>
        <v>PPUR-05-GO1</v>
      </c>
      <c r="C50" s="52" t="str">
        <f t="shared" si="19"/>
        <v>Poste de Purge n°05 GO1</v>
      </c>
      <c r="D50" s="19">
        <v>29952</v>
      </c>
      <c r="E50" s="19">
        <v>29952</v>
      </c>
      <c r="F50" s="42"/>
      <c r="G50" s="42"/>
      <c r="H50" s="42"/>
      <c r="I50" s="42" t="s">
        <v>443</v>
      </c>
      <c r="J50" s="42" t="s">
        <v>2451</v>
      </c>
      <c r="K50" s="53">
        <f t="shared" si="3"/>
        <v>8.7100000000000009</v>
      </c>
      <c r="L50" s="44">
        <f t="shared" si="17"/>
        <v>453.67500000000001</v>
      </c>
      <c r="M50" s="42"/>
      <c r="N50" s="52" t="str">
        <f t="shared" si="0"/>
        <v>(5,'PPUR-05-GO1','Poste de Purge n°05 GO1','1982-01-01','1982-01-01',,,),</v>
      </c>
    </row>
    <row r="51" spans="1:14" ht="20.100000000000001" customHeight="1" x14ac:dyDescent="0.25">
      <c r="A51" s="39">
        <v>6</v>
      </c>
      <c r="B51" s="48" t="str">
        <f t="shared" si="18"/>
        <v>PPUR-06-GO1</v>
      </c>
      <c r="C51" s="52" t="str">
        <f t="shared" si="19"/>
        <v>Poste de Purge n°06 GO1</v>
      </c>
      <c r="D51" s="19">
        <v>29952</v>
      </c>
      <c r="E51" s="19">
        <v>29952</v>
      </c>
      <c r="F51" s="42"/>
      <c r="G51" s="42"/>
      <c r="H51" s="42"/>
      <c r="I51" s="42" t="s">
        <v>443</v>
      </c>
      <c r="J51" s="42" t="s">
        <v>2452</v>
      </c>
      <c r="K51" s="53">
        <f t="shared" si="3"/>
        <v>26.69</v>
      </c>
      <c r="L51" s="44">
        <f t="shared" si="17"/>
        <v>362.71699999999998</v>
      </c>
      <c r="M51" s="42"/>
      <c r="N51" s="52" t="str">
        <f t="shared" si="0"/>
        <v>(6,'PPUR-06-GO1','Poste de Purge n°06 GO1','1982-01-01','1982-01-01',,,),</v>
      </c>
    </row>
    <row r="52" spans="1:14" ht="20.100000000000001" customHeight="1" x14ac:dyDescent="0.25">
      <c r="A52" s="39">
        <v>7</v>
      </c>
      <c r="B52" s="48" t="str">
        <f t="shared" si="18"/>
        <v>PPUR-07-GO1</v>
      </c>
      <c r="C52" s="52" t="str">
        <f t="shared" si="19"/>
        <v>Poste de Purge n°07 GO1</v>
      </c>
      <c r="D52" s="19">
        <v>29952</v>
      </c>
      <c r="E52" s="19">
        <v>29952</v>
      </c>
      <c r="F52" s="42"/>
      <c r="G52" s="42"/>
      <c r="H52" s="42"/>
      <c r="I52" s="42" t="s">
        <v>443</v>
      </c>
      <c r="J52" s="42" t="s">
        <v>2453</v>
      </c>
      <c r="K52" s="53">
        <f t="shared" si="3"/>
        <v>669.2</v>
      </c>
      <c r="L52" s="44">
        <f t="shared" si="17"/>
        <v>546.90300000000002</v>
      </c>
      <c r="M52" s="42"/>
      <c r="N52" s="52" t="str">
        <f t="shared" si="0"/>
        <v>(7,'PPUR-07-GO1','Poste de Purge n°07 GO1','1982-01-01','1982-01-01',,,),</v>
      </c>
    </row>
    <row r="53" spans="1:14" ht="20.100000000000001" customHeight="1" x14ac:dyDescent="0.25">
      <c r="A53" s="39">
        <v>1</v>
      </c>
      <c r="B53" s="48" t="str">
        <f t="shared" si="18"/>
        <v>PPUR-01-GO2</v>
      </c>
      <c r="C53" s="52" t="str">
        <f t="shared" si="19"/>
        <v>Poste de Purge n°01 GO2</v>
      </c>
      <c r="D53" s="19">
        <v>31778</v>
      </c>
      <c r="E53" s="19">
        <v>31778</v>
      </c>
      <c r="F53" s="42"/>
      <c r="G53" s="42"/>
      <c r="H53" s="42"/>
      <c r="I53" s="42" t="s">
        <v>445</v>
      </c>
      <c r="J53" s="42" t="s">
        <v>2454</v>
      </c>
      <c r="K53" s="53">
        <f t="shared" si="3"/>
        <v>451.9</v>
      </c>
      <c r="L53" s="44">
        <f t="shared" si="17"/>
        <v>166.96600000000001</v>
      </c>
      <c r="M53" s="42"/>
      <c r="N53" s="52" t="str">
        <f t="shared" si="0"/>
        <v>(1,'PPUR-01-GO2','Poste de Purge n°01 GO2','1987-01-01','1987-01-01',,,),</v>
      </c>
    </row>
    <row r="54" spans="1:14" ht="20.100000000000001" customHeight="1" x14ac:dyDescent="0.25">
      <c r="A54" s="39">
        <v>2</v>
      </c>
      <c r="B54" s="48" t="str">
        <f t="shared" si="18"/>
        <v>PPUR-02-GO2</v>
      </c>
      <c r="C54" s="52" t="str">
        <f t="shared" si="19"/>
        <v>Poste de Purge n°02 GO2</v>
      </c>
      <c r="D54" s="19">
        <v>31778</v>
      </c>
      <c r="E54" s="19">
        <v>31778</v>
      </c>
      <c r="F54" s="42"/>
      <c r="G54" s="42"/>
      <c r="H54" s="42"/>
      <c r="I54" s="42" t="s">
        <v>445</v>
      </c>
      <c r="J54" s="42" t="s">
        <v>2455</v>
      </c>
      <c r="K54" s="53">
        <f t="shared" si="3"/>
        <v>448.13</v>
      </c>
      <c r="L54" s="44">
        <f t="shared" si="17"/>
        <v>168.81</v>
      </c>
      <c r="M54" s="42"/>
      <c r="N54" s="52" t="str">
        <f t="shared" si="0"/>
        <v>(2,'PPUR-02-GO2','Poste de Purge n°02 GO2','1987-01-01','1987-01-01',,,),</v>
      </c>
    </row>
    <row r="55" spans="1:14" ht="20.100000000000001" customHeight="1" x14ac:dyDescent="0.25">
      <c r="A55" s="39">
        <v>3</v>
      </c>
      <c r="B55" s="48" t="str">
        <f t="shared" si="18"/>
        <v>PPUR-03-GO2</v>
      </c>
      <c r="C55" s="52" t="str">
        <f t="shared" si="19"/>
        <v>Poste de Purge n°03 GO2</v>
      </c>
      <c r="D55" s="19">
        <v>31778</v>
      </c>
      <c r="E55" s="19">
        <v>31778</v>
      </c>
      <c r="F55" s="42"/>
      <c r="G55" s="42"/>
      <c r="H55" s="42"/>
      <c r="I55" s="42" t="s">
        <v>445</v>
      </c>
      <c r="J55" s="42" t="s">
        <v>2456</v>
      </c>
      <c r="K55" s="53">
        <f t="shared" si="3"/>
        <v>-10.33</v>
      </c>
      <c r="L55" s="44">
        <f t="shared" si="17"/>
        <v>342.30500000000001</v>
      </c>
      <c r="M55" s="42"/>
      <c r="N55" s="52" t="str">
        <f t="shared" si="0"/>
        <v>(3,'PPUR-03-GO2','Poste de Purge n°03 GO2','1987-01-01','1987-01-01',,,),</v>
      </c>
    </row>
    <row r="56" spans="1:14" ht="20.100000000000001" customHeight="1" x14ac:dyDescent="0.25">
      <c r="A56" s="39">
        <v>4</v>
      </c>
      <c r="B56" s="48" t="str">
        <f t="shared" si="18"/>
        <v>PPUR-04-GO2</v>
      </c>
      <c r="C56" s="52" t="str">
        <f t="shared" si="19"/>
        <v>Poste de Purge n°04 GO2</v>
      </c>
      <c r="D56" s="19">
        <v>31778</v>
      </c>
      <c r="E56" s="19">
        <v>31778</v>
      </c>
      <c r="F56" s="42"/>
      <c r="G56" s="42"/>
      <c r="H56" s="42"/>
      <c r="I56" s="42" t="s">
        <v>445</v>
      </c>
      <c r="J56" s="42" t="s">
        <v>2457</v>
      </c>
      <c r="K56" s="53">
        <f t="shared" si="3"/>
        <v>-0.28000000000000003</v>
      </c>
      <c r="L56" s="44">
        <f t="shared" si="17"/>
        <v>349.08499999999998</v>
      </c>
      <c r="M56" s="42"/>
      <c r="N56" s="52" t="str">
        <f t="shared" si="0"/>
        <v>(4,'PPUR-04-GO2','Poste de Purge n°04 GO2','1987-01-01','1987-01-01',,,),</v>
      </c>
    </row>
    <row r="57" spans="1:14" ht="20.100000000000001" customHeight="1" x14ac:dyDescent="0.25">
      <c r="A57" s="39">
        <v>5</v>
      </c>
      <c r="B57" s="48" t="str">
        <f t="shared" si="18"/>
        <v>PPUR-05-GO2</v>
      </c>
      <c r="C57" s="52" t="str">
        <f t="shared" si="19"/>
        <v>Poste de Purge n°05 GO2</v>
      </c>
      <c r="D57" s="19">
        <v>31778</v>
      </c>
      <c r="E57" s="19">
        <v>31778</v>
      </c>
      <c r="F57" s="42"/>
      <c r="G57" s="42"/>
      <c r="H57" s="42"/>
      <c r="I57" s="42" t="s">
        <v>445</v>
      </c>
      <c r="J57" s="42" t="s">
        <v>2458</v>
      </c>
      <c r="K57" s="53">
        <f t="shared" si="3"/>
        <v>8.7100000000000009</v>
      </c>
      <c r="L57" s="44">
        <f t="shared" si="17"/>
        <v>453.72500000000002</v>
      </c>
      <c r="M57" s="42"/>
      <c r="N57" s="52" t="str">
        <f t="shared" si="0"/>
        <v>(5,'PPUR-05-GO2','Poste de Purge n°05 GO2','1987-01-01','1987-01-01',,,),</v>
      </c>
    </row>
    <row r="58" spans="1:14" ht="20.100000000000001" customHeight="1" x14ac:dyDescent="0.25">
      <c r="A58" s="39">
        <v>6</v>
      </c>
      <c r="B58" s="48" t="str">
        <f t="shared" si="18"/>
        <v>PPUR-06-GO2</v>
      </c>
      <c r="C58" s="52" t="str">
        <f t="shared" si="19"/>
        <v>Poste de Purge n°06 GO2</v>
      </c>
      <c r="D58" s="19">
        <v>31778</v>
      </c>
      <c r="E58" s="19">
        <v>31778</v>
      </c>
      <c r="F58" s="42"/>
      <c r="G58" s="42"/>
      <c r="H58" s="42"/>
      <c r="I58" s="42" t="s">
        <v>445</v>
      </c>
      <c r="J58" s="42" t="s">
        <v>2459</v>
      </c>
      <c r="K58" s="53">
        <f t="shared" si="3"/>
        <v>26.69</v>
      </c>
      <c r="L58" s="44">
        <f t="shared" si="17"/>
        <v>462.82</v>
      </c>
      <c r="M58" s="42"/>
      <c r="N58" s="52" t="str">
        <f t="shared" si="0"/>
        <v>(6,'PPUR-06-GO2','Poste de Purge n°06 GO2','1987-01-01','1987-01-01',,,),</v>
      </c>
    </row>
    <row r="59" spans="1:14" ht="20.100000000000001" customHeight="1" x14ac:dyDescent="0.25">
      <c r="A59" s="39">
        <v>7</v>
      </c>
      <c r="B59" s="48" t="str">
        <f t="shared" si="18"/>
        <v>PPUR-07-GO2</v>
      </c>
      <c r="C59" s="52" t="str">
        <f t="shared" si="19"/>
        <v>Poste de Purge n°07 GO2</v>
      </c>
      <c r="D59" s="19">
        <v>31778</v>
      </c>
      <c r="E59" s="19">
        <v>31778</v>
      </c>
      <c r="F59" s="42"/>
      <c r="G59" s="42"/>
      <c r="H59" s="42"/>
      <c r="I59" s="42" t="s">
        <v>445</v>
      </c>
      <c r="J59" s="42" t="s">
        <v>2460</v>
      </c>
      <c r="K59" s="53">
        <f t="shared" si="3"/>
        <v>669.2</v>
      </c>
      <c r="L59" s="44">
        <f t="shared" si="17"/>
        <v>546.952</v>
      </c>
      <c r="M59" s="42"/>
      <c r="N59" s="52" t="str">
        <f t="shared" si="0"/>
        <v>(7,'PPUR-07-GO2','Poste de Purge n°07 GO2','1987-01-01','1987-01-01',,,),</v>
      </c>
    </row>
    <row r="60" spans="1:14" ht="20.100000000000001" customHeight="1" x14ac:dyDescent="0.25">
      <c r="A60" s="39">
        <v>1</v>
      </c>
      <c r="B60" s="48" t="str">
        <f t="shared" si="18"/>
        <v>PPUR-01-GO3</v>
      </c>
      <c r="C60" s="52" t="str">
        <f t="shared" si="19"/>
        <v>Poste de Purge n°01 GO3</v>
      </c>
      <c r="D60" s="19">
        <v>39448</v>
      </c>
      <c r="E60" s="19">
        <v>39448</v>
      </c>
      <c r="F60" s="42"/>
      <c r="G60" s="42"/>
      <c r="H60" s="42"/>
      <c r="I60" s="42" t="s">
        <v>448</v>
      </c>
      <c r="J60" s="42" t="s">
        <v>2461</v>
      </c>
      <c r="K60" s="53">
        <f t="shared" si="3"/>
        <v>452.34</v>
      </c>
      <c r="L60" s="44">
        <f t="shared" si="17"/>
        <v>167.42</v>
      </c>
      <c r="M60" s="42"/>
      <c r="N60" s="52" t="str">
        <f t="shared" si="0"/>
        <v>(1,'PPUR-01-GO3','Poste de Purge n°01 GO3','2008-01-01','2008-01-01',,,),</v>
      </c>
    </row>
    <row r="61" spans="1:14" ht="20.100000000000001" customHeight="1" x14ac:dyDescent="0.25">
      <c r="A61" s="39">
        <v>3</v>
      </c>
      <c r="B61" s="48" t="str">
        <f t="shared" si="18"/>
        <v>PPUR-03-GO3</v>
      </c>
      <c r="C61" s="52" t="str">
        <f t="shared" si="19"/>
        <v>Poste de Purge n°03 GO3</v>
      </c>
      <c r="D61" s="19">
        <v>39448</v>
      </c>
      <c r="E61" s="19">
        <v>39448</v>
      </c>
      <c r="F61" s="42"/>
      <c r="G61" s="42"/>
      <c r="H61" s="42"/>
      <c r="I61" s="42" t="s">
        <v>448</v>
      </c>
      <c r="J61" s="42" t="s">
        <v>2462</v>
      </c>
      <c r="K61" s="53">
        <f t="shared" si="3"/>
        <v>-10.57</v>
      </c>
      <c r="L61" s="44">
        <f t="shared" si="17"/>
        <v>342.86</v>
      </c>
      <c r="M61" s="42"/>
      <c r="N61" s="52" t="str">
        <f t="shared" si="0"/>
        <v>(3,'PPUR-03-GO3','Poste de Purge n°03 GO3','2008-01-01','2008-01-01',,,),</v>
      </c>
    </row>
    <row r="62" spans="1:14" ht="20.100000000000001" customHeight="1" x14ac:dyDescent="0.25">
      <c r="A62" s="39">
        <v>4</v>
      </c>
      <c r="B62" s="48" t="str">
        <f t="shared" si="18"/>
        <v>PPUR-04-GO3</v>
      </c>
      <c r="C62" s="52" t="str">
        <f t="shared" si="19"/>
        <v>Poste de Purge n°04 GO3</v>
      </c>
      <c r="D62" s="19">
        <v>39448</v>
      </c>
      <c r="E62" s="19">
        <v>39448</v>
      </c>
      <c r="F62" s="42"/>
      <c r="G62" s="42"/>
      <c r="H62" s="42"/>
      <c r="I62" s="42" t="s">
        <v>448</v>
      </c>
      <c r="J62" s="42" t="s">
        <v>2463</v>
      </c>
      <c r="K62" s="53">
        <f t="shared" si="3"/>
        <v>-0.28000000000000003</v>
      </c>
      <c r="L62" s="44">
        <f t="shared" si="17"/>
        <v>349.12</v>
      </c>
      <c r="M62" s="42"/>
      <c r="N62" s="52" t="str">
        <f t="shared" si="0"/>
        <v>(4,'PPUR-04-GO3','Poste de Purge n°04 GO3','2008-01-01','2008-01-01',,,),</v>
      </c>
    </row>
    <row r="63" spans="1:14" ht="20.100000000000001" customHeight="1" x14ac:dyDescent="0.25">
      <c r="A63" s="39">
        <v>6</v>
      </c>
      <c r="B63" s="48" t="str">
        <f t="shared" si="18"/>
        <v>PPUR-06-GO3</v>
      </c>
      <c r="C63" s="52" t="str">
        <f t="shared" si="19"/>
        <v>Poste de Purge n°06 GO3</v>
      </c>
      <c r="D63" s="19">
        <v>39448</v>
      </c>
      <c r="E63" s="19">
        <v>39448</v>
      </c>
      <c r="F63" s="42"/>
      <c r="G63" s="42"/>
      <c r="H63" s="42"/>
      <c r="I63" s="42" t="s">
        <v>448</v>
      </c>
      <c r="J63" s="42" t="s">
        <v>2464</v>
      </c>
      <c r="K63" s="53">
        <f t="shared" si="3"/>
        <v>24.37</v>
      </c>
      <c r="L63" s="44">
        <f t="shared" si="17"/>
        <v>461.75</v>
      </c>
      <c r="M63" s="42"/>
      <c r="N63" s="52" t="str">
        <f t="shared" si="0"/>
        <v>(6,'PPUR-06-GO3','Poste de Purge n°06 GO3','2008-01-01','2008-01-01',,,),</v>
      </c>
    </row>
    <row r="64" spans="1:14" ht="20.100000000000001" customHeight="1" x14ac:dyDescent="0.25">
      <c r="A64" s="39">
        <v>7</v>
      </c>
      <c r="B64" s="48" t="str">
        <f t="shared" si="18"/>
        <v>PPUR-07-GO3</v>
      </c>
      <c r="C64" s="52" t="str">
        <f t="shared" si="19"/>
        <v>Poste de Purge n°07 GO3</v>
      </c>
      <c r="D64" s="19">
        <v>39448</v>
      </c>
      <c r="E64" s="19">
        <v>39448</v>
      </c>
      <c r="F64" s="42"/>
      <c r="G64" s="42"/>
      <c r="H64" s="42"/>
      <c r="I64" s="42" t="s">
        <v>448</v>
      </c>
      <c r="J64" s="42" t="s">
        <v>2465</v>
      </c>
      <c r="K64" s="53">
        <f t="shared" si="3"/>
        <v>675.86</v>
      </c>
      <c r="L64" s="44">
        <f t="shared" si="17"/>
        <v>546.88</v>
      </c>
      <c r="M64" s="42"/>
      <c r="N64" s="52" t="str">
        <f t="shared" si="0"/>
        <v>(7,'PPUR-07-GO3','Poste de Purge n°07 GO3','2008-01-01','2008-01-01',,,),</v>
      </c>
    </row>
    <row r="65" spans="1:14" ht="20.100000000000001" customHeight="1" x14ac:dyDescent="0.25">
      <c r="A65" s="39">
        <v>1</v>
      </c>
      <c r="B65" s="48" t="str">
        <f t="shared" si="18"/>
        <v>PPUR-01-GR1</v>
      </c>
      <c r="C65" s="52" t="str">
        <f t="shared" si="19"/>
        <v>Poste de Purge n°01 GR1</v>
      </c>
      <c r="D65" s="19">
        <v>35065</v>
      </c>
      <c r="E65" s="19">
        <v>35065</v>
      </c>
      <c r="F65" s="42"/>
      <c r="G65" s="42"/>
      <c r="H65" s="42"/>
      <c r="I65" s="42" t="s">
        <v>419</v>
      </c>
      <c r="J65" s="42" t="s">
        <v>2639</v>
      </c>
      <c r="K65" s="53">
        <f t="shared" si="3"/>
        <v>570</v>
      </c>
      <c r="L65" s="44">
        <f t="shared" si="17"/>
        <v>93.79</v>
      </c>
      <c r="M65" s="42" t="s">
        <v>987</v>
      </c>
      <c r="N65" s="52" t="str">
        <f t="shared" si="0"/>
        <v>(1,'PPUR-01-GR1','Poste de Purge n°01 GR1','1996-01-01','1996-01-01',,,),</v>
      </c>
    </row>
    <row r="66" spans="1:14" ht="20.100000000000001" customHeight="1" x14ac:dyDescent="0.25">
      <c r="A66" s="39">
        <v>2</v>
      </c>
      <c r="B66" s="48" t="str">
        <f t="shared" si="18"/>
        <v>PPUR-02-GR1</v>
      </c>
      <c r="C66" s="52" t="str">
        <f t="shared" si="19"/>
        <v>Poste de Purge n°02 GR1</v>
      </c>
      <c r="D66" s="19">
        <v>35065</v>
      </c>
      <c r="E66" s="19">
        <v>35065</v>
      </c>
      <c r="F66" s="42"/>
      <c r="G66" s="42"/>
      <c r="H66" s="42"/>
      <c r="I66" s="42" t="s">
        <v>419</v>
      </c>
      <c r="J66" s="42" t="s">
        <v>2640</v>
      </c>
      <c r="K66" s="53">
        <f t="shared" si="3"/>
        <v>450</v>
      </c>
      <c r="L66" s="44">
        <f t="shared" si="17"/>
        <v>200.27</v>
      </c>
      <c r="M66" s="42" t="s">
        <v>1812</v>
      </c>
      <c r="N66" s="52" t="str">
        <f t="shared" si="0"/>
        <v>(2,'PPUR-02-GR1','Poste de Purge n°02 GR1','1996-01-01','1996-01-01',,,),</v>
      </c>
    </row>
    <row r="67" spans="1:14" ht="20.100000000000001" customHeight="1" x14ac:dyDescent="0.25">
      <c r="A67" s="39">
        <v>3</v>
      </c>
      <c r="B67" s="48" t="str">
        <f t="shared" ref="B67:B92" si="20">CONCATENATE("PPUR-",TEXT(A67,"00"),"-",I67)</f>
        <v>PPUR-03-GR1</v>
      </c>
      <c r="C67" s="52" t="str">
        <f t="shared" ref="C67:C92" si="21">CONCATENATE("Poste de Purge n°",TEXT(A67,"00")," ",I67)</f>
        <v>Poste de Purge n°03 GR1</v>
      </c>
      <c r="D67" s="19">
        <v>35065</v>
      </c>
      <c r="E67" s="19">
        <v>35065</v>
      </c>
      <c r="F67" s="42"/>
      <c r="G67" s="42"/>
      <c r="H67" s="42"/>
      <c r="I67" s="42" t="s">
        <v>419</v>
      </c>
      <c r="J67" s="42" t="s">
        <v>2641</v>
      </c>
      <c r="K67" s="53">
        <f t="shared" si="3"/>
        <v>380</v>
      </c>
      <c r="L67" s="44">
        <f t="shared" si="17"/>
        <v>251.99</v>
      </c>
      <c r="M67" s="42" t="s">
        <v>1812</v>
      </c>
      <c r="N67" s="52" t="str">
        <f t="shared" ref="N67:N130" si="22">CONCATENATE("(",A67,",'",B67,"','",C67,"','",TEXT(D67,"aaaa-mm-jj"),"','",TEXT(E67,"aaaa-mm-jj"),"',",F67,",",G67,",",H67,"),")</f>
        <v>(3,'PPUR-03-GR1','Poste de Purge n°03 GR1','1996-01-01','1996-01-01',,,),</v>
      </c>
    </row>
    <row r="68" spans="1:14" ht="20.100000000000001" customHeight="1" x14ac:dyDescent="0.25">
      <c r="A68" s="39">
        <v>4</v>
      </c>
      <c r="B68" s="48" t="str">
        <f t="shared" si="20"/>
        <v>PPUR-04-GR1</v>
      </c>
      <c r="C68" s="52" t="str">
        <f t="shared" si="21"/>
        <v>Poste de Purge n°04 GR1</v>
      </c>
      <c r="D68" s="19">
        <v>35065</v>
      </c>
      <c r="E68" s="19">
        <v>35065</v>
      </c>
      <c r="F68" s="42"/>
      <c r="G68" s="42"/>
      <c r="H68" s="42"/>
      <c r="I68" s="42" t="s">
        <v>419</v>
      </c>
      <c r="J68" s="42" t="s">
        <v>2642</v>
      </c>
      <c r="K68" s="53">
        <f t="shared" ref="K68:K80" si="23">VALUE(RIGHT(J68,LEN(J68)-SEARCH("/",J68)))</f>
        <v>360</v>
      </c>
      <c r="L68" s="44">
        <f t="shared" si="17"/>
        <v>281.27</v>
      </c>
      <c r="M68" s="42" t="s">
        <v>1812</v>
      </c>
      <c r="N68" s="52" t="str">
        <f t="shared" si="22"/>
        <v>(4,'PPUR-04-GR1','Poste de Purge n°04 GR1','1996-01-01','1996-01-01',,,),</v>
      </c>
    </row>
    <row r="69" spans="1:14" ht="20.100000000000001" customHeight="1" x14ac:dyDescent="0.25">
      <c r="A69" s="39">
        <v>5</v>
      </c>
      <c r="B69" s="48" t="str">
        <f t="shared" si="20"/>
        <v>PPUR-05-GR1</v>
      </c>
      <c r="C69" s="52" t="str">
        <f t="shared" si="21"/>
        <v>Poste de Purge n°05 GR1</v>
      </c>
      <c r="D69" s="19">
        <v>35065</v>
      </c>
      <c r="E69" s="19">
        <v>35065</v>
      </c>
      <c r="F69" s="42"/>
      <c r="G69" s="42"/>
      <c r="H69" s="42"/>
      <c r="I69" s="42" t="s">
        <v>419</v>
      </c>
      <c r="J69" s="42" t="s">
        <v>2643</v>
      </c>
      <c r="K69" s="53">
        <f t="shared" si="23"/>
        <v>330</v>
      </c>
      <c r="L69" s="44">
        <f t="shared" si="17"/>
        <v>309.10000000000002</v>
      </c>
      <c r="M69" s="42" t="s">
        <v>1812</v>
      </c>
      <c r="N69" s="52" t="str">
        <f t="shared" si="22"/>
        <v>(5,'PPUR-05-GR1','Poste de Purge n°05 GR1','1996-01-01','1996-01-01',,,),</v>
      </c>
    </row>
    <row r="70" spans="1:14" ht="20.100000000000001" customHeight="1" x14ac:dyDescent="0.25">
      <c r="A70" s="39">
        <v>6</v>
      </c>
      <c r="B70" s="48" t="str">
        <f t="shared" si="20"/>
        <v>PPUR-06-GR1</v>
      </c>
      <c r="C70" s="52" t="str">
        <f t="shared" si="21"/>
        <v>Poste de Purge n°06 GR1</v>
      </c>
      <c r="D70" s="19">
        <v>35065</v>
      </c>
      <c r="E70" s="19">
        <v>35065</v>
      </c>
      <c r="F70" s="42"/>
      <c r="G70" s="42"/>
      <c r="H70" s="42"/>
      <c r="I70" s="42" t="s">
        <v>419</v>
      </c>
      <c r="J70" s="42" t="s">
        <v>2644</v>
      </c>
      <c r="K70" s="53">
        <f t="shared" si="23"/>
        <v>310</v>
      </c>
      <c r="L70" s="44">
        <f t="shared" si="17"/>
        <v>330.92</v>
      </c>
      <c r="M70" s="42" t="s">
        <v>1812</v>
      </c>
      <c r="N70" s="52" t="str">
        <f t="shared" si="22"/>
        <v>(6,'PPUR-06-GR1','Poste de Purge n°06 GR1','1996-01-01','1996-01-01',,,),</v>
      </c>
    </row>
    <row r="71" spans="1:14" ht="20.100000000000001" customHeight="1" x14ac:dyDescent="0.25">
      <c r="A71" s="39">
        <v>7</v>
      </c>
      <c r="B71" s="48" t="str">
        <f t="shared" si="20"/>
        <v>PPUR-07-GR1</v>
      </c>
      <c r="C71" s="52" t="str">
        <f t="shared" si="21"/>
        <v>Poste de Purge n°07 GR1</v>
      </c>
      <c r="D71" s="19">
        <v>35065</v>
      </c>
      <c r="E71" s="19">
        <v>35065</v>
      </c>
      <c r="F71" s="42"/>
      <c r="G71" s="42"/>
      <c r="H71" s="42"/>
      <c r="I71" s="42" t="s">
        <v>419</v>
      </c>
      <c r="J71" s="42" t="s">
        <v>2645</v>
      </c>
      <c r="K71" s="53">
        <f t="shared" si="23"/>
        <v>206</v>
      </c>
      <c r="L71" s="44">
        <f t="shared" si="17"/>
        <v>502.81</v>
      </c>
      <c r="M71" s="42" t="s">
        <v>1006</v>
      </c>
      <c r="N71" s="52" t="str">
        <f t="shared" si="22"/>
        <v>(7,'PPUR-07-GR1','Poste de Purge n°07 GR1','1996-01-01','1996-01-01',,,),</v>
      </c>
    </row>
    <row r="72" spans="1:14" ht="20.100000000000001" customHeight="1" x14ac:dyDescent="0.25">
      <c r="A72" s="39">
        <v>8</v>
      </c>
      <c r="B72" s="48" t="str">
        <f t="shared" si="20"/>
        <v>PPUR-08-GR1</v>
      </c>
      <c r="C72" s="52" t="str">
        <f t="shared" si="21"/>
        <v>Poste de Purge n°08 GR1</v>
      </c>
      <c r="D72" s="19">
        <v>35065</v>
      </c>
      <c r="E72" s="19">
        <v>35065</v>
      </c>
      <c r="F72" s="42"/>
      <c r="G72" s="42"/>
      <c r="H72" s="42"/>
      <c r="I72" s="42" t="s">
        <v>419</v>
      </c>
      <c r="J72" s="42" t="s">
        <v>2646</v>
      </c>
      <c r="K72" s="53">
        <f t="shared" si="23"/>
        <v>189</v>
      </c>
      <c r="L72" s="44">
        <f t="shared" si="17"/>
        <v>586.69000000000005</v>
      </c>
      <c r="M72" s="42" t="s">
        <v>1006</v>
      </c>
      <c r="N72" s="52" t="str">
        <f t="shared" si="22"/>
        <v>(8,'PPUR-08-GR1','Poste de Purge n°08 GR1','1996-01-01','1996-01-01',,,),</v>
      </c>
    </row>
    <row r="73" spans="1:14" ht="20.100000000000001" customHeight="1" x14ac:dyDescent="0.25">
      <c r="A73" s="39">
        <v>9</v>
      </c>
      <c r="B73" s="48" t="str">
        <f t="shared" si="20"/>
        <v>PPUR-09-GR1</v>
      </c>
      <c r="C73" s="52" t="str">
        <f t="shared" si="21"/>
        <v>Poste de Purge n°09 GR1</v>
      </c>
      <c r="D73" s="19">
        <v>35065</v>
      </c>
      <c r="E73" s="19">
        <v>35065</v>
      </c>
      <c r="F73" s="42"/>
      <c r="G73" s="42"/>
      <c r="H73" s="42"/>
      <c r="I73" s="42" t="s">
        <v>419</v>
      </c>
      <c r="J73" s="42" t="s">
        <v>2647</v>
      </c>
      <c r="K73" s="53">
        <f t="shared" si="23"/>
        <v>175</v>
      </c>
      <c r="L73" s="44">
        <f t="shared" si="17"/>
        <v>631.98</v>
      </c>
      <c r="M73" s="42" t="s">
        <v>1006</v>
      </c>
      <c r="N73" s="52" t="str">
        <f t="shared" si="22"/>
        <v>(9,'PPUR-09-GR1','Poste de Purge n°09 GR1','1996-01-01','1996-01-01',,,),</v>
      </c>
    </row>
    <row r="74" spans="1:14" ht="20.100000000000001" customHeight="1" x14ac:dyDescent="0.25">
      <c r="A74" s="39">
        <v>10</v>
      </c>
      <c r="B74" s="48" t="str">
        <f t="shared" si="20"/>
        <v>PPUR-10-GR1</v>
      </c>
      <c r="C74" s="52" t="str">
        <f t="shared" si="21"/>
        <v>Poste de Purge n°10 GR1</v>
      </c>
      <c r="D74" s="19">
        <v>35065</v>
      </c>
      <c r="E74" s="19">
        <v>35065</v>
      </c>
      <c r="F74" s="42"/>
      <c r="G74" s="42"/>
      <c r="H74" s="42"/>
      <c r="I74" s="42" t="s">
        <v>419</v>
      </c>
      <c r="J74" s="42" t="s">
        <v>2648</v>
      </c>
      <c r="K74" s="53">
        <f t="shared" si="23"/>
        <v>168</v>
      </c>
      <c r="L74" s="44">
        <f t="shared" si="17"/>
        <v>653.70000000000005</v>
      </c>
      <c r="M74" s="42" t="s">
        <v>1006</v>
      </c>
      <c r="N74" s="52" t="str">
        <f t="shared" si="22"/>
        <v>(10,'PPUR-10-GR1','Poste de Purge n°10 GR1','1996-01-01','1996-01-01',,,),</v>
      </c>
    </row>
    <row r="75" spans="1:14" ht="20.100000000000001" customHeight="1" x14ac:dyDescent="0.25">
      <c r="A75" s="39">
        <v>11</v>
      </c>
      <c r="B75" s="48" t="str">
        <f t="shared" si="20"/>
        <v>PPUR-11-GR1</v>
      </c>
      <c r="C75" s="52" t="str">
        <f t="shared" si="21"/>
        <v>Poste de Purge n°11 GR1</v>
      </c>
      <c r="D75" s="19">
        <v>35065</v>
      </c>
      <c r="E75" s="19">
        <v>35065</v>
      </c>
      <c r="F75" s="42"/>
      <c r="G75" s="42"/>
      <c r="H75" s="42"/>
      <c r="I75" s="42" t="s">
        <v>419</v>
      </c>
      <c r="J75" s="42" t="s">
        <v>2649</v>
      </c>
      <c r="K75" s="53">
        <f t="shared" si="23"/>
        <v>160</v>
      </c>
      <c r="L75" s="44">
        <f t="shared" si="17"/>
        <v>693.73</v>
      </c>
      <c r="M75" s="42" t="s">
        <v>2552</v>
      </c>
      <c r="N75" s="52" t="str">
        <f t="shared" si="22"/>
        <v>(11,'PPUR-11-GR1','Poste de Purge n°11 GR1','1996-01-01','1996-01-01',,,),</v>
      </c>
    </row>
    <row r="76" spans="1:14" ht="20.100000000000001" customHeight="1" x14ac:dyDescent="0.25">
      <c r="A76" s="39">
        <v>12</v>
      </c>
      <c r="B76" s="48" t="str">
        <f t="shared" si="20"/>
        <v>PPUR-12-GR1</v>
      </c>
      <c r="C76" s="52" t="str">
        <f t="shared" si="21"/>
        <v>Poste de Purge n°12 GR1</v>
      </c>
      <c r="D76" s="19">
        <v>35065</v>
      </c>
      <c r="E76" s="19">
        <v>35065</v>
      </c>
      <c r="F76" s="42"/>
      <c r="G76" s="42"/>
      <c r="H76" s="42"/>
      <c r="I76" s="42" t="s">
        <v>419</v>
      </c>
      <c r="J76" s="42" t="s">
        <v>2650</v>
      </c>
      <c r="K76" s="53">
        <f t="shared" si="23"/>
        <v>220</v>
      </c>
      <c r="L76" s="44">
        <f t="shared" si="17"/>
        <v>741.66</v>
      </c>
      <c r="M76" s="42" t="s">
        <v>2553</v>
      </c>
      <c r="N76" s="52" t="str">
        <f t="shared" si="22"/>
        <v>(12,'PPUR-12-GR1','Poste de Purge n°12 GR1','1996-01-01','1996-01-01',,,),</v>
      </c>
    </row>
    <row r="77" spans="1:14" ht="20.100000000000001" customHeight="1" x14ac:dyDescent="0.25">
      <c r="A77" s="39">
        <v>13</v>
      </c>
      <c r="B77" s="48" t="str">
        <f t="shared" si="20"/>
        <v>PPUR-13-GR1</v>
      </c>
      <c r="C77" s="52" t="str">
        <f t="shared" si="21"/>
        <v>Poste de Purge n°13 GR1</v>
      </c>
      <c r="D77" s="19">
        <v>35065</v>
      </c>
      <c r="E77" s="19">
        <v>35065</v>
      </c>
      <c r="F77" s="42"/>
      <c r="G77" s="42"/>
      <c r="H77" s="42"/>
      <c r="I77" s="42" t="s">
        <v>419</v>
      </c>
      <c r="J77" s="42" t="s">
        <v>2651</v>
      </c>
      <c r="K77" s="53">
        <f t="shared" si="23"/>
        <v>150</v>
      </c>
      <c r="L77" s="44">
        <f t="shared" si="17"/>
        <v>800.4</v>
      </c>
      <c r="M77" s="42" t="s">
        <v>752</v>
      </c>
      <c r="N77" s="52" t="str">
        <f t="shared" si="22"/>
        <v>(13,'PPUR-13-GR1','Poste de Purge n°13 GR1','1996-01-01','1996-01-01',,,),</v>
      </c>
    </row>
    <row r="78" spans="1:14" ht="20.100000000000001" customHeight="1" x14ac:dyDescent="0.25">
      <c r="A78" s="39">
        <v>14</v>
      </c>
      <c r="B78" s="48" t="str">
        <f t="shared" si="20"/>
        <v>PPUR-14-GR1</v>
      </c>
      <c r="C78" s="52" t="str">
        <f t="shared" si="21"/>
        <v>Poste de Purge n°14 GR1</v>
      </c>
      <c r="D78" s="19">
        <v>35065</v>
      </c>
      <c r="E78" s="19">
        <v>35065</v>
      </c>
      <c r="F78" s="42"/>
      <c r="G78" s="42"/>
      <c r="H78" s="42"/>
      <c r="I78" s="42" t="s">
        <v>419</v>
      </c>
      <c r="J78" s="42" t="s">
        <v>2652</v>
      </c>
      <c r="K78" s="53">
        <f t="shared" si="23"/>
        <v>455</v>
      </c>
      <c r="L78" s="44">
        <f t="shared" si="17"/>
        <v>862</v>
      </c>
      <c r="M78" s="42" t="s">
        <v>753</v>
      </c>
      <c r="N78" s="52" t="str">
        <f t="shared" si="22"/>
        <v>(14,'PPUR-14-GR1','Poste de Purge n°14 GR1','1996-01-01','1996-01-01',,,),</v>
      </c>
    </row>
    <row r="79" spans="1:14" ht="20.100000000000001" customHeight="1" x14ac:dyDescent="0.25">
      <c r="A79" s="39">
        <v>15</v>
      </c>
      <c r="B79" s="48" t="str">
        <f t="shared" si="20"/>
        <v>PPUR-15-GR1</v>
      </c>
      <c r="C79" s="52" t="str">
        <f t="shared" si="21"/>
        <v>Poste de Purge n°15 GR1</v>
      </c>
      <c r="D79" s="19">
        <v>35065</v>
      </c>
      <c r="E79" s="19">
        <v>35065</v>
      </c>
      <c r="F79" s="42"/>
      <c r="G79" s="42"/>
      <c r="H79" s="42"/>
      <c r="I79" s="42" t="s">
        <v>419</v>
      </c>
      <c r="J79" s="42" t="s">
        <v>2653</v>
      </c>
      <c r="K79" s="53">
        <f t="shared" si="23"/>
        <v>685</v>
      </c>
      <c r="L79" s="44">
        <f t="shared" si="17"/>
        <v>922</v>
      </c>
      <c r="M79" s="42" t="s">
        <v>2554</v>
      </c>
      <c r="N79" s="52" t="str">
        <f t="shared" si="22"/>
        <v>(15,'PPUR-15-GR1','Poste de Purge n°15 GR1','1996-01-01','1996-01-01',,,),</v>
      </c>
    </row>
    <row r="80" spans="1:14" ht="20.100000000000001" customHeight="1" x14ac:dyDescent="0.25">
      <c r="A80" s="39">
        <v>16</v>
      </c>
      <c r="B80" s="48" t="str">
        <f t="shared" si="20"/>
        <v>PPUR-16-GR1</v>
      </c>
      <c r="C80" s="52" t="str">
        <f t="shared" si="21"/>
        <v>Poste de Purge n°16 GR1</v>
      </c>
      <c r="D80" s="19">
        <v>35065</v>
      </c>
      <c r="E80" s="19">
        <v>35065</v>
      </c>
      <c r="F80" s="42"/>
      <c r="G80" s="42"/>
      <c r="H80" s="42"/>
      <c r="I80" s="42" t="s">
        <v>419</v>
      </c>
      <c r="J80" s="42" t="s">
        <v>2654</v>
      </c>
      <c r="K80" s="53">
        <f t="shared" si="23"/>
        <v>778</v>
      </c>
      <c r="L80" s="44">
        <f t="shared" si="17"/>
        <v>961.55</v>
      </c>
      <c r="M80" s="42" t="s">
        <v>798</v>
      </c>
      <c r="N80" s="52" t="str">
        <f t="shared" si="22"/>
        <v>(16,'PPUR-16-GR1','Poste de Purge n°16 GR1','1996-01-01','1996-01-01',,,),</v>
      </c>
    </row>
    <row r="81" spans="1:14" ht="20.100000000000001" customHeight="1" x14ac:dyDescent="0.25">
      <c r="A81" s="39">
        <v>1</v>
      </c>
      <c r="B81" s="40" t="str">
        <f t="shared" si="20"/>
        <v>PPUR-01-GR4</v>
      </c>
      <c r="C81" s="52" t="str">
        <f t="shared" si="21"/>
        <v>Poste de Purge n°01 GR4</v>
      </c>
      <c r="D81" s="19">
        <v>41640</v>
      </c>
      <c r="E81" s="19">
        <v>41640</v>
      </c>
      <c r="F81" s="42"/>
      <c r="G81" s="42"/>
      <c r="H81" s="42"/>
      <c r="I81" s="42" t="s">
        <v>427</v>
      </c>
      <c r="J81" s="42" t="s">
        <v>2655</v>
      </c>
      <c r="K81" s="69">
        <v>0</v>
      </c>
      <c r="L81" s="44">
        <f>VALUE(SUBSTITUTE(J81,"+",","))</f>
        <v>329.39600000000002</v>
      </c>
      <c r="M81" s="42" t="s">
        <v>752</v>
      </c>
      <c r="N81" s="52" t="str">
        <f t="shared" si="22"/>
        <v>(1,'PPUR-01-GR4','Poste de Purge n°01 GR4','2014-01-01','2014-01-01',,,),</v>
      </c>
    </row>
    <row r="82" spans="1:14" ht="20.100000000000001" customHeight="1" x14ac:dyDescent="0.25">
      <c r="A82" s="39">
        <v>2</v>
      </c>
      <c r="B82" s="40" t="str">
        <f t="shared" si="20"/>
        <v>PPUR-02-GR4</v>
      </c>
      <c r="C82" s="52" t="str">
        <f t="shared" si="21"/>
        <v>Poste de Purge n°02 GR4</v>
      </c>
      <c r="D82" s="19">
        <v>41640</v>
      </c>
      <c r="E82" s="19">
        <v>41640</v>
      </c>
      <c r="F82" s="42"/>
      <c r="G82" s="42"/>
      <c r="H82" s="42"/>
      <c r="I82" s="42" t="s">
        <v>427</v>
      </c>
      <c r="J82" s="42" t="s">
        <v>2656</v>
      </c>
      <c r="K82" s="69">
        <v>0</v>
      </c>
      <c r="L82" s="44">
        <f t="shared" ref="L82:L90" si="24">VALUE(SUBSTITUTE(J82,"+",","))</f>
        <v>417.36599999999999</v>
      </c>
      <c r="M82" s="42" t="s">
        <v>753</v>
      </c>
      <c r="N82" s="52" t="str">
        <f t="shared" si="22"/>
        <v>(2,'PPUR-02-GR4','Poste de Purge n°02 GR4','2014-01-01','2014-01-01',,,),</v>
      </c>
    </row>
    <row r="83" spans="1:14" ht="20.100000000000001" customHeight="1" x14ac:dyDescent="0.25">
      <c r="A83" s="39">
        <v>3</v>
      </c>
      <c r="B83" s="40" t="str">
        <f t="shared" si="20"/>
        <v>PPUR-03-GR4</v>
      </c>
      <c r="C83" s="52" t="str">
        <f t="shared" si="21"/>
        <v>Poste de Purge n°03 GR4</v>
      </c>
      <c r="D83" s="19">
        <v>41640</v>
      </c>
      <c r="E83" s="19">
        <v>41640</v>
      </c>
      <c r="F83" s="42"/>
      <c r="G83" s="42"/>
      <c r="H83" s="42"/>
      <c r="I83" s="42" t="s">
        <v>427</v>
      </c>
      <c r="J83" s="42" t="s">
        <v>2657</v>
      </c>
      <c r="K83" s="69">
        <v>0</v>
      </c>
      <c r="L83" s="44">
        <f t="shared" si="24"/>
        <v>515.48599999999999</v>
      </c>
      <c r="M83" s="42" t="s">
        <v>2554</v>
      </c>
      <c r="N83" s="52" t="str">
        <f t="shared" si="22"/>
        <v>(3,'PPUR-03-GR4','Poste de Purge n°03 GR4','2014-01-01','2014-01-01',,,),</v>
      </c>
    </row>
    <row r="84" spans="1:14" ht="20.100000000000001" customHeight="1" x14ac:dyDescent="0.25">
      <c r="A84" s="39">
        <v>1</v>
      </c>
      <c r="B84" s="40" t="str">
        <f t="shared" si="20"/>
        <v>PPUR-01-GR6</v>
      </c>
      <c r="C84" s="52" t="str">
        <f t="shared" si="21"/>
        <v>Poste de Purge n°01 GR6</v>
      </c>
      <c r="D84" s="19">
        <v>42736</v>
      </c>
      <c r="E84" s="19">
        <v>42736</v>
      </c>
      <c r="F84" s="42"/>
      <c r="G84" s="42"/>
      <c r="H84" s="42"/>
      <c r="I84" s="42" t="s">
        <v>432</v>
      </c>
      <c r="J84" s="42" t="s">
        <v>2658</v>
      </c>
      <c r="K84" s="69">
        <v>0</v>
      </c>
      <c r="L84" s="44">
        <f t="shared" si="24"/>
        <v>126.13800000000001</v>
      </c>
      <c r="M84" s="42" t="s">
        <v>1006</v>
      </c>
      <c r="N84" s="52" t="str">
        <f t="shared" si="22"/>
        <v>(1,'PPUR-01-GR6','Poste de Purge n°01 GR6','2017-01-01','2017-01-01',,,),</v>
      </c>
    </row>
    <row r="85" spans="1:14" ht="20.100000000000001" customHeight="1" x14ac:dyDescent="0.25">
      <c r="A85" s="39">
        <v>2</v>
      </c>
      <c r="B85" s="40" t="str">
        <f t="shared" si="20"/>
        <v>PPUR-02-GR6</v>
      </c>
      <c r="C85" s="52" t="str">
        <f t="shared" si="21"/>
        <v>Poste de Purge n°02 GR6</v>
      </c>
      <c r="D85" s="19">
        <v>42736</v>
      </c>
      <c r="E85" s="19">
        <v>42736</v>
      </c>
      <c r="F85" s="42"/>
      <c r="G85" s="42"/>
      <c r="H85" s="42"/>
      <c r="I85" s="42" t="s">
        <v>432</v>
      </c>
      <c r="J85" s="42" t="s">
        <v>2659</v>
      </c>
      <c r="K85" s="69">
        <v>0</v>
      </c>
      <c r="L85" s="44">
        <f t="shared" si="24"/>
        <v>212.78800000000001</v>
      </c>
      <c r="M85" s="42" t="s">
        <v>1006</v>
      </c>
      <c r="N85" s="52" t="str">
        <f t="shared" si="22"/>
        <v>(2,'PPUR-02-GR6','Poste de Purge n°02 GR6','2017-01-01','2017-01-01',,,),</v>
      </c>
    </row>
    <row r="86" spans="1:14" ht="20.100000000000001" customHeight="1" x14ac:dyDescent="0.25">
      <c r="A86" s="39">
        <v>3</v>
      </c>
      <c r="B86" s="40" t="str">
        <f t="shared" si="20"/>
        <v>PPUR-03-GR6</v>
      </c>
      <c r="C86" s="52" t="str">
        <f t="shared" si="21"/>
        <v>Poste de Purge n°03 GR6</v>
      </c>
      <c r="D86" s="19">
        <v>42736</v>
      </c>
      <c r="E86" s="19">
        <v>42736</v>
      </c>
      <c r="F86" s="42"/>
      <c r="G86" s="42"/>
      <c r="H86" s="42"/>
      <c r="I86" s="42" t="s">
        <v>432</v>
      </c>
      <c r="J86" s="42" t="s">
        <v>2660</v>
      </c>
      <c r="K86" s="69">
        <v>0</v>
      </c>
      <c r="L86" s="44">
        <f t="shared" si="24"/>
        <v>329</v>
      </c>
      <c r="M86" s="42" t="s">
        <v>752</v>
      </c>
      <c r="N86" s="52" t="str">
        <f t="shared" si="22"/>
        <v>(3,'PPUR-03-GR6','Poste de Purge n°03 GR6','2017-01-01','2017-01-01',,,),</v>
      </c>
    </row>
    <row r="87" spans="1:14" ht="20.100000000000001" customHeight="1" x14ac:dyDescent="0.25">
      <c r="A87" s="39">
        <v>4</v>
      </c>
      <c r="B87" s="40" t="str">
        <f t="shared" si="20"/>
        <v>PPUR-04-GR6</v>
      </c>
      <c r="C87" s="52" t="str">
        <f t="shared" si="21"/>
        <v>Poste de Purge n°04 GR6</v>
      </c>
      <c r="D87" s="19">
        <v>42736</v>
      </c>
      <c r="E87" s="19">
        <v>42736</v>
      </c>
      <c r="F87" s="42"/>
      <c r="G87" s="42"/>
      <c r="H87" s="42"/>
      <c r="I87" s="42" t="s">
        <v>432</v>
      </c>
      <c r="J87" s="42" t="s">
        <v>2661</v>
      </c>
      <c r="K87" s="69">
        <v>0</v>
      </c>
      <c r="L87" s="44">
        <f t="shared" si="24"/>
        <v>491.5</v>
      </c>
      <c r="M87" s="42" t="s">
        <v>2554</v>
      </c>
      <c r="N87" s="52" t="str">
        <f t="shared" si="22"/>
        <v>(4,'PPUR-04-GR6','Poste de Purge n°04 GR6','2017-01-01','2017-01-01',,,),</v>
      </c>
    </row>
    <row r="88" spans="1:14" ht="20.100000000000001" customHeight="1" x14ac:dyDescent="0.25">
      <c r="A88" s="39">
        <v>5</v>
      </c>
      <c r="B88" s="40" t="str">
        <f t="shared" si="20"/>
        <v>PPUR-05-GR6</v>
      </c>
      <c r="C88" s="52" t="str">
        <f t="shared" si="21"/>
        <v>Poste de Purge n°05 GR6</v>
      </c>
      <c r="D88" s="19">
        <v>42736</v>
      </c>
      <c r="E88" s="19">
        <v>42736</v>
      </c>
      <c r="F88" s="42"/>
      <c r="G88" s="42"/>
      <c r="H88" s="42"/>
      <c r="I88" s="42" t="s">
        <v>432</v>
      </c>
      <c r="J88" s="42" t="s">
        <v>2662</v>
      </c>
      <c r="K88" s="69">
        <v>0</v>
      </c>
      <c r="L88" s="44">
        <f t="shared" si="24"/>
        <v>517</v>
      </c>
      <c r="M88" s="42" t="s">
        <v>2554</v>
      </c>
      <c r="N88" s="52" t="str">
        <f t="shared" si="22"/>
        <v>(5,'PPUR-05-GR6','Poste de Purge n°05 GR6','2017-01-01','2017-01-01',,,),</v>
      </c>
    </row>
    <row r="89" spans="1:14" ht="20.100000000000001" customHeight="1" x14ac:dyDescent="0.25">
      <c r="A89" s="39">
        <v>1</v>
      </c>
      <c r="B89" s="40" t="str">
        <f t="shared" si="20"/>
        <v>PPUR-01-GR5</v>
      </c>
      <c r="C89" s="52" t="str">
        <f t="shared" si="21"/>
        <v>Poste de Purge n°01 GR5</v>
      </c>
      <c r="D89" s="19">
        <v>42887</v>
      </c>
      <c r="E89" s="19">
        <v>42887</v>
      </c>
      <c r="F89" s="42"/>
      <c r="G89" s="42"/>
      <c r="H89" s="42"/>
      <c r="I89" s="42" t="s">
        <v>429</v>
      </c>
      <c r="J89" s="42" t="s">
        <v>2791</v>
      </c>
      <c r="K89" s="69">
        <v>0</v>
      </c>
      <c r="L89" s="44">
        <f t="shared" si="24"/>
        <v>167.8</v>
      </c>
      <c r="M89" s="42" t="s">
        <v>2793</v>
      </c>
      <c r="N89" s="52" t="str">
        <f t="shared" si="22"/>
        <v>(1,'PPUR-01-GR5','Poste de Purge n°01 GR5','2017-06-01','2017-06-01',,,),</v>
      </c>
    </row>
    <row r="90" spans="1:14" ht="20.100000000000001" customHeight="1" x14ac:dyDescent="0.25">
      <c r="A90" s="39">
        <v>2</v>
      </c>
      <c r="B90" s="40" t="str">
        <f t="shared" si="20"/>
        <v>PPUR-02-GR5</v>
      </c>
      <c r="C90" s="52" t="str">
        <f t="shared" si="21"/>
        <v>Poste de Purge n°02 GR5</v>
      </c>
      <c r="D90" s="19">
        <v>42887</v>
      </c>
      <c r="E90" s="19">
        <v>42887</v>
      </c>
      <c r="F90" s="42"/>
      <c r="G90" s="42"/>
      <c r="H90" s="42"/>
      <c r="I90" s="42" t="s">
        <v>429</v>
      </c>
      <c r="J90" s="42" t="s">
        <v>2792</v>
      </c>
      <c r="K90" s="69">
        <v>0</v>
      </c>
      <c r="L90" s="44">
        <f t="shared" si="24"/>
        <v>253.8</v>
      </c>
      <c r="M90" s="42" t="s">
        <v>2793</v>
      </c>
      <c r="N90" s="52" t="str">
        <f t="shared" si="22"/>
        <v>(2,'PPUR-02-GR5','Poste de Purge n°02 GR5','2017-06-01','2017-06-01',,,),</v>
      </c>
    </row>
    <row r="91" spans="1:14" ht="20.100000000000001" customHeight="1" x14ac:dyDescent="0.25">
      <c r="A91" s="39">
        <v>1</v>
      </c>
      <c r="B91" s="40" t="str">
        <f t="shared" si="20"/>
        <v>PPUR-01-GZ0</v>
      </c>
      <c r="C91" s="52" t="str">
        <f t="shared" si="21"/>
        <v>Poste de Purge n°01 GZ0</v>
      </c>
      <c r="D91" s="19">
        <v>22282</v>
      </c>
      <c r="E91" s="19">
        <v>22282</v>
      </c>
      <c r="F91" s="19">
        <v>44838</v>
      </c>
      <c r="G91" s="42">
        <v>0</v>
      </c>
      <c r="H91" s="42"/>
      <c r="I91" s="42" t="s">
        <v>371</v>
      </c>
      <c r="J91" s="42" t="s">
        <v>2818</v>
      </c>
      <c r="K91" s="53">
        <f t="shared" ref="K91:K108" si="25">VALUE(RIGHT(J91,LEN(J91)-SEARCH("/",J91)))</f>
        <v>732.65</v>
      </c>
      <c r="L91" s="44">
        <f t="shared" ref="L91" si="26">VALUE(SUBSTITUTE(LEFT(J91,SEARCH("/",J91)-1),"+",","))</f>
        <v>19.256</v>
      </c>
      <c r="M91" s="42" t="s">
        <v>798</v>
      </c>
      <c r="N91" s="52" t="str">
        <f t="shared" si="22"/>
        <v>(1,'PPUR-01-GZ0','Poste de Purge n°01 GZ0','1961-01-01','1961-01-01',44838,0,),</v>
      </c>
    </row>
    <row r="92" spans="1:14" ht="20.100000000000001" customHeight="1" x14ac:dyDescent="0.25">
      <c r="A92" s="39">
        <v>2</v>
      </c>
      <c r="B92" s="40" t="str">
        <f t="shared" si="20"/>
        <v>PPUR-02-GZ0</v>
      </c>
      <c r="C92" s="52" t="str">
        <f t="shared" si="21"/>
        <v>Poste de Purge n°02 GZ0</v>
      </c>
      <c r="D92" s="19">
        <v>22282</v>
      </c>
      <c r="E92" s="19">
        <v>22282</v>
      </c>
      <c r="F92" s="19">
        <v>44838</v>
      </c>
      <c r="G92" s="42">
        <v>0</v>
      </c>
      <c r="H92" s="42"/>
      <c r="I92" s="42" t="s">
        <v>371</v>
      </c>
      <c r="J92" s="42" t="s">
        <v>2819</v>
      </c>
      <c r="K92" s="53">
        <f t="shared" si="25"/>
        <v>770.8</v>
      </c>
      <c r="L92" s="44">
        <f t="shared" ref="L92:L108" si="27">VALUE(SUBSTITUTE(LEFT(J92,SEARCH("/",J92)-1),"+",","))</f>
        <v>99.924999999999997</v>
      </c>
      <c r="M92" s="42" t="s">
        <v>1749</v>
      </c>
      <c r="N92" s="52" t="str">
        <f t="shared" si="22"/>
        <v>(2,'PPUR-02-GZ0','Poste de Purge n°02 GZ0','1961-01-01','1961-01-01',44838,0,),</v>
      </c>
    </row>
    <row r="93" spans="1:14" ht="20.100000000000001" customHeight="1" x14ac:dyDescent="0.25">
      <c r="A93" s="39">
        <v>3</v>
      </c>
      <c r="B93" s="40" t="str">
        <f t="shared" ref="B93:B113" si="28">CONCATENATE("PPUR-",TEXT(A93,"00"),"-",I93)</f>
        <v>PPUR-03-GZ0</v>
      </c>
      <c r="C93" s="52" t="str">
        <f t="shared" ref="C93:C113" si="29">CONCATENATE("Poste de Purge n°",TEXT(A93,"00")," ",I93)</f>
        <v>Poste de Purge n°03 GZ0</v>
      </c>
      <c r="D93" s="19">
        <v>22282</v>
      </c>
      <c r="E93" s="19">
        <v>22282</v>
      </c>
      <c r="F93" s="19">
        <v>44838</v>
      </c>
      <c r="G93" s="42">
        <v>0</v>
      </c>
      <c r="H93" s="42"/>
      <c r="I93" s="42" t="s">
        <v>371</v>
      </c>
      <c r="J93" s="42" t="s">
        <v>2820</v>
      </c>
      <c r="K93" s="53">
        <f t="shared" si="25"/>
        <v>926.7</v>
      </c>
      <c r="L93" s="44">
        <f t="shared" si="27"/>
        <v>126.151</v>
      </c>
      <c r="M93" s="42" t="s">
        <v>1749</v>
      </c>
      <c r="N93" s="52" t="str">
        <f t="shared" si="22"/>
        <v>(3,'PPUR-03-GZ0','Poste de Purge n°03 GZ0','1961-01-01','1961-01-01',44838,0,),</v>
      </c>
    </row>
    <row r="94" spans="1:14" ht="20.100000000000001" customHeight="1" x14ac:dyDescent="0.25">
      <c r="A94" s="39">
        <v>4</v>
      </c>
      <c r="B94" s="40" t="str">
        <f t="shared" si="28"/>
        <v>PPUR-04-GZ0</v>
      </c>
      <c r="C94" s="52" t="str">
        <f t="shared" si="29"/>
        <v>Poste de Purge n°04 GZ0</v>
      </c>
      <c r="D94" s="19">
        <v>22282</v>
      </c>
      <c r="E94" s="19">
        <v>22282</v>
      </c>
      <c r="F94" s="19">
        <v>44838</v>
      </c>
      <c r="G94" s="42">
        <v>0</v>
      </c>
      <c r="H94" s="42"/>
      <c r="I94" s="42" t="s">
        <v>371</v>
      </c>
      <c r="J94" s="42" t="s">
        <v>2805</v>
      </c>
      <c r="K94" s="53">
        <f t="shared" si="25"/>
        <v>1047</v>
      </c>
      <c r="L94" s="44">
        <f t="shared" si="27"/>
        <v>144.14699999999999</v>
      </c>
      <c r="M94" s="42" t="s">
        <v>1749</v>
      </c>
      <c r="N94" s="52" t="str">
        <f t="shared" si="22"/>
        <v>(4,'PPUR-04-GZ0','Poste de Purge n°04 GZ0','1961-01-01','1961-01-01',44838,0,),</v>
      </c>
    </row>
    <row r="95" spans="1:14" ht="20.100000000000001" customHeight="1" x14ac:dyDescent="0.25">
      <c r="A95" s="39">
        <v>5</v>
      </c>
      <c r="B95" s="40" t="str">
        <f t="shared" si="28"/>
        <v>PPUR-05-GZ0</v>
      </c>
      <c r="C95" s="52" t="str">
        <f t="shared" si="29"/>
        <v>Poste de Purge n°05 GZ0</v>
      </c>
      <c r="D95" s="19">
        <v>22282</v>
      </c>
      <c r="E95" s="19">
        <v>22282</v>
      </c>
      <c r="F95" s="19">
        <v>44838</v>
      </c>
      <c r="G95" s="42">
        <v>0</v>
      </c>
      <c r="H95" s="42"/>
      <c r="I95" s="42" t="s">
        <v>371</v>
      </c>
      <c r="J95" s="42" t="s">
        <v>2806</v>
      </c>
      <c r="K95" s="53">
        <f t="shared" si="25"/>
        <v>1180</v>
      </c>
      <c r="L95" s="44">
        <f t="shared" si="27"/>
        <v>156.40299999999999</v>
      </c>
      <c r="M95" s="42" t="s">
        <v>1749</v>
      </c>
      <c r="N95" s="52" t="str">
        <f t="shared" si="22"/>
        <v>(5,'PPUR-05-GZ0','Poste de Purge n°05 GZ0','1961-01-01','1961-01-01',44838,0,),</v>
      </c>
    </row>
    <row r="96" spans="1:14" ht="20.100000000000001" customHeight="1" x14ac:dyDescent="0.25">
      <c r="A96" s="39">
        <v>6</v>
      </c>
      <c r="B96" s="40" t="str">
        <f t="shared" si="28"/>
        <v>PPUR-06-GZ0</v>
      </c>
      <c r="C96" s="52" t="str">
        <f t="shared" si="29"/>
        <v>Poste de Purge n°06 GZ0</v>
      </c>
      <c r="D96" s="19">
        <v>22282</v>
      </c>
      <c r="E96" s="19">
        <v>22282</v>
      </c>
      <c r="F96" s="19">
        <v>44838</v>
      </c>
      <c r="G96" s="42">
        <v>0</v>
      </c>
      <c r="H96" s="42"/>
      <c r="I96" s="42" t="s">
        <v>371</v>
      </c>
      <c r="J96" s="42" t="s">
        <v>2807</v>
      </c>
      <c r="K96" s="53">
        <f t="shared" si="25"/>
        <v>1238</v>
      </c>
      <c r="L96" s="44">
        <f t="shared" si="27"/>
        <v>168.16399999999999</v>
      </c>
      <c r="M96" s="42" t="s">
        <v>1749</v>
      </c>
      <c r="N96" s="52" t="str">
        <f t="shared" si="22"/>
        <v>(6,'PPUR-06-GZ0','Poste de Purge n°06 GZ0','1961-01-01','1961-01-01',44838,0,),</v>
      </c>
    </row>
    <row r="97" spans="1:14" ht="20.100000000000001" customHeight="1" x14ac:dyDescent="0.25">
      <c r="A97" s="39">
        <v>7</v>
      </c>
      <c r="B97" s="40" t="str">
        <f t="shared" si="28"/>
        <v>PPUR-07-GZ0</v>
      </c>
      <c r="C97" s="52" t="str">
        <f t="shared" si="29"/>
        <v>Poste de Purge n°07 GZ0</v>
      </c>
      <c r="D97" s="19">
        <v>22282</v>
      </c>
      <c r="E97" s="19">
        <v>22282</v>
      </c>
      <c r="F97" s="19">
        <v>44838</v>
      </c>
      <c r="G97" s="42">
        <v>0</v>
      </c>
      <c r="H97" s="42"/>
      <c r="I97" s="42" t="s">
        <v>371</v>
      </c>
      <c r="J97" s="42" t="s">
        <v>2808</v>
      </c>
      <c r="K97" s="53">
        <f t="shared" si="25"/>
        <v>1098</v>
      </c>
      <c r="L97" s="44">
        <f t="shared" si="27"/>
        <v>187.983</v>
      </c>
      <c r="M97" s="42" t="s">
        <v>2025</v>
      </c>
      <c r="N97" s="52" t="str">
        <f t="shared" si="22"/>
        <v>(7,'PPUR-07-GZ0','Poste de Purge n°07 GZ0','1961-01-01','1961-01-01',44838,0,),</v>
      </c>
    </row>
    <row r="98" spans="1:14" ht="20.100000000000001" customHeight="1" x14ac:dyDescent="0.25">
      <c r="A98" s="39">
        <v>8</v>
      </c>
      <c r="B98" s="40" t="str">
        <f t="shared" si="28"/>
        <v>PPUR-08-GZ0</v>
      </c>
      <c r="C98" s="52" t="str">
        <f t="shared" si="29"/>
        <v>Poste de Purge n°08 GZ0</v>
      </c>
      <c r="D98" s="19">
        <v>22282</v>
      </c>
      <c r="E98" s="19">
        <v>22282</v>
      </c>
      <c r="F98" s="19">
        <v>44838</v>
      </c>
      <c r="G98" s="42">
        <v>0</v>
      </c>
      <c r="H98" s="42"/>
      <c r="I98" s="42" t="s">
        <v>371</v>
      </c>
      <c r="J98" s="42" t="s">
        <v>2809</v>
      </c>
      <c r="K98" s="53">
        <f t="shared" si="25"/>
        <v>938</v>
      </c>
      <c r="L98" s="44">
        <f t="shared" si="27"/>
        <v>217.52</v>
      </c>
      <c r="M98" s="42" t="s">
        <v>759</v>
      </c>
      <c r="N98" s="52" t="str">
        <f t="shared" si="22"/>
        <v>(8,'PPUR-08-GZ0','Poste de Purge n°08 GZ0','1961-01-01','1961-01-01',44838,0,),</v>
      </c>
    </row>
    <row r="99" spans="1:14" ht="20.100000000000001" customHeight="1" x14ac:dyDescent="0.25">
      <c r="A99" s="39">
        <v>9</v>
      </c>
      <c r="B99" s="40" t="str">
        <f t="shared" si="28"/>
        <v>PPUR-09-GZ0</v>
      </c>
      <c r="C99" s="52" t="str">
        <f t="shared" si="29"/>
        <v>Poste de Purge n°09 GZ0</v>
      </c>
      <c r="D99" s="19">
        <v>22282</v>
      </c>
      <c r="E99" s="19">
        <v>22282</v>
      </c>
      <c r="F99" s="19">
        <v>44838</v>
      </c>
      <c r="G99" s="42">
        <v>0</v>
      </c>
      <c r="H99" s="42"/>
      <c r="I99" s="42" t="s">
        <v>371</v>
      </c>
      <c r="J99" s="42" t="s">
        <v>2810</v>
      </c>
      <c r="K99" s="53">
        <f t="shared" si="25"/>
        <v>954</v>
      </c>
      <c r="L99" s="44">
        <f t="shared" si="27"/>
        <v>235.93600000000001</v>
      </c>
      <c r="M99" s="42" t="s">
        <v>2032</v>
      </c>
      <c r="N99" s="52" t="str">
        <f t="shared" si="22"/>
        <v>(9,'PPUR-09-GZ0','Poste de Purge n°09 GZ0','1961-01-01','1961-01-01',44838,0,),</v>
      </c>
    </row>
    <row r="100" spans="1:14" ht="20.100000000000001" customHeight="1" x14ac:dyDescent="0.25">
      <c r="A100" s="39">
        <v>10</v>
      </c>
      <c r="B100" s="40" t="str">
        <f t="shared" si="28"/>
        <v>PPUR-10-GZ0</v>
      </c>
      <c r="C100" s="52" t="str">
        <f t="shared" si="29"/>
        <v>Poste de Purge n°10 GZ0</v>
      </c>
      <c r="D100" s="19">
        <v>22282</v>
      </c>
      <c r="E100" s="19">
        <v>22282</v>
      </c>
      <c r="F100" s="19">
        <v>44838</v>
      </c>
      <c r="G100" s="42">
        <v>0</v>
      </c>
      <c r="H100" s="42"/>
      <c r="I100" s="42" t="s">
        <v>371</v>
      </c>
      <c r="J100" s="42" t="s">
        <v>2811</v>
      </c>
      <c r="K100" s="53">
        <f t="shared" si="25"/>
        <v>1154</v>
      </c>
      <c r="L100" s="44">
        <f t="shared" si="27"/>
        <v>294.36099999999999</v>
      </c>
      <c r="M100" s="42" t="s">
        <v>804</v>
      </c>
      <c r="N100" s="52" t="str">
        <f t="shared" si="22"/>
        <v>(10,'PPUR-10-GZ0','Poste de Purge n°10 GZ0','1961-01-01','1961-01-01',44838,0,),</v>
      </c>
    </row>
    <row r="101" spans="1:14" ht="20.100000000000001" customHeight="1" x14ac:dyDescent="0.25">
      <c r="A101" s="39">
        <v>11</v>
      </c>
      <c r="B101" s="40" t="str">
        <f t="shared" si="28"/>
        <v>PPUR-11-GZ0</v>
      </c>
      <c r="C101" s="52" t="str">
        <f t="shared" si="29"/>
        <v>Poste de Purge n°11 GZ0</v>
      </c>
      <c r="D101" s="19">
        <v>22282</v>
      </c>
      <c r="E101" s="19">
        <v>22282</v>
      </c>
      <c r="F101" s="19">
        <v>44838</v>
      </c>
      <c r="G101" s="42">
        <v>0</v>
      </c>
      <c r="H101" s="42"/>
      <c r="I101" s="42" t="s">
        <v>371</v>
      </c>
      <c r="J101" s="42" t="s">
        <v>2821</v>
      </c>
      <c r="K101" s="53">
        <f t="shared" si="25"/>
        <v>934.82</v>
      </c>
      <c r="L101" s="44">
        <f t="shared" si="27"/>
        <v>327.78699999999998</v>
      </c>
      <c r="M101" s="42" t="s">
        <v>2032</v>
      </c>
      <c r="N101" s="52" t="str">
        <f t="shared" si="22"/>
        <v>(11,'PPUR-11-GZ0','Poste de Purge n°11 GZ0','1961-01-01','1961-01-01',44838,0,),</v>
      </c>
    </row>
    <row r="102" spans="1:14" ht="20.100000000000001" customHeight="1" x14ac:dyDescent="0.25">
      <c r="A102" s="39">
        <v>12</v>
      </c>
      <c r="B102" s="40" t="str">
        <f t="shared" si="28"/>
        <v>PPUR-12-GZ0</v>
      </c>
      <c r="C102" s="52" t="str">
        <f t="shared" si="29"/>
        <v>Poste de Purge n°12 GZ0</v>
      </c>
      <c r="D102" s="19">
        <v>22282</v>
      </c>
      <c r="E102" s="19">
        <v>22282</v>
      </c>
      <c r="F102" s="19">
        <v>44838</v>
      </c>
      <c r="G102" s="42">
        <v>0</v>
      </c>
      <c r="H102" s="42"/>
      <c r="I102" s="42" t="s">
        <v>371</v>
      </c>
      <c r="J102" s="42" t="s">
        <v>2812</v>
      </c>
      <c r="K102" s="53">
        <f t="shared" si="25"/>
        <v>944</v>
      </c>
      <c r="L102" s="44">
        <f t="shared" si="27"/>
        <v>335.62</v>
      </c>
      <c r="M102" s="42" t="s">
        <v>2823</v>
      </c>
      <c r="N102" s="52" t="str">
        <f t="shared" si="22"/>
        <v>(12,'PPUR-12-GZ0','Poste de Purge n°12 GZ0','1961-01-01','1961-01-01',44838,0,),</v>
      </c>
    </row>
    <row r="103" spans="1:14" ht="20.100000000000001" customHeight="1" x14ac:dyDescent="0.25">
      <c r="A103" s="39">
        <v>13</v>
      </c>
      <c r="B103" s="40" t="str">
        <f t="shared" si="28"/>
        <v>PPUR-13-GZ0</v>
      </c>
      <c r="C103" s="52" t="str">
        <f t="shared" si="29"/>
        <v>Poste de Purge n°13 GZ0</v>
      </c>
      <c r="D103" s="19">
        <v>22282</v>
      </c>
      <c r="E103" s="19">
        <v>22282</v>
      </c>
      <c r="F103" s="19">
        <v>44838</v>
      </c>
      <c r="G103" s="42">
        <v>0</v>
      </c>
      <c r="H103" s="42"/>
      <c r="I103" s="42" t="s">
        <v>371</v>
      </c>
      <c r="J103" s="42" t="s">
        <v>2813</v>
      </c>
      <c r="K103" s="53">
        <f t="shared" si="25"/>
        <v>575</v>
      </c>
      <c r="L103" s="44">
        <f t="shared" si="27"/>
        <v>358.887</v>
      </c>
      <c r="M103" s="42" t="s">
        <v>806</v>
      </c>
      <c r="N103" s="52" t="str">
        <f t="shared" si="22"/>
        <v>(13,'PPUR-13-GZ0','Poste de Purge n°13 GZ0','1961-01-01','1961-01-01',44838,0,),</v>
      </c>
    </row>
    <row r="104" spans="1:14" ht="20.100000000000001" customHeight="1" x14ac:dyDescent="0.25">
      <c r="A104" s="39">
        <v>15</v>
      </c>
      <c r="B104" s="40" t="str">
        <f t="shared" si="28"/>
        <v>PPUR-15-GZ0</v>
      </c>
      <c r="C104" s="52" t="str">
        <f t="shared" si="29"/>
        <v>Poste de Purge n°15 GZ0</v>
      </c>
      <c r="D104" s="19">
        <v>22282</v>
      </c>
      <c r="E104" s="19">
        <v>22282</v>
      </c>
      <c r="F104" s="19">
        <v>44838</v>
      </c>
      <c r="G104" s="42">
        <v>0</v>
      </c>
      <c r="H104" s="42"/>
      <c r="I104" s="42" t="s">
        <v>371</v>
      </c>
      <c r="J104" s="42" t="s">
        <v>2814</v>
      </c>
      <c r="K104" s="53">
        <f t="shared" si="25"/>
        <v>558</v>
      </c>
      <c r="L104" s="44">
        <f t="shared" si="27"/>
        <v>393.214</v>
      </c>
      <c r="M104" s="42" t="s">
        <v>2824</v>
      </c>
      <c r="N104" s="52" t="str">
        <f t="shared" si="22"/>
        <v>(15,'PPUR-15-GZ0','Poste de Purge n°15 GZ0','1961-01-01','1961-01-01',44838,0,),</v>
      </c>
    </row>
    <row r="105" spans="1:14" ht="20.100000000000001" customHeight="1" x14ac:dyDescent="0.25">
      <c r="A105" s="39">
        <v>16</v>
      </c>
      <c r="B105" s="40" t="str">
        <f t="shared" si="28"/>
        <v>PPUR-16-GZ0</v>
      </c>
      <c r="C105" s="52" t="str">
        <f t="shared" si="29"/>
        <v>Poste de Purge n°16 GZ0</v>
      </c>
      <c r="D105" s="19">
        <v>22282</v>
      </c>
      <c r="E105" s="19">
        <v>22282</v>
      </c>
      <c r="F105" s="19">
        <v>44838</v>
      </c>
      <c r="G105" s="42">
        <v>0</v>
      </c>
      <c r="H105" s="42"/>
      <c r="I105" s="42" t="s">
        <v>371</v>
      </c>
      <c r="J105" s="42" t="s">
        <v>2815</v>
      </c>
      <c r="K105" s="53">
        <f t="shared" si="25"/>
        <v>520</v>
      </c>
      <c r="L105" s="44">
        <f t="shared" si="27"/>
        <v>398.61599999999999</v>
      </c>
      <c r="M105" s="42" t="s">
        <v>807</v>
      </c>
      <c r="N105" s="52" t="str">
        <f t="shared" si="22"/>
        <v>(16,'PPUR-16-GZ0','Poste de Purge n°16 GZ0','1961-01-01','1961-01-01',44838,0,),</v>
      </c>
    </row>
    <row r="106" spans="1:14" ht="20.100000000000001" customHeight="1" x14ac:dyDescent="0.25">
      <c r="A106" s="39">
        <v>17</v>
      </c>
      <c r="B106" s="40" t="str">
        <f t="shared" si="28"/>
        <v>PPUR-17-GZ0</v>
      </c>
      <c r="C106" s="52" t="str">
        <f t="shared" si="29"/>
        <v>Poste de Purge n°17 GZ0</v>
      </c>
      <c r="D106" s="19">
        <v>22282</v>
      </c>
      <c r="E106" s="19">
        <v>22282</v>
      </c>
      <c r="F106" s="19">
        <v>44838</v>
      </c>
      <c r="G106" s="42">
        <v>0</v>
      </c>
      <c r="H106" s="42"/>
      <c r="I106" s="42" t="s">
        <v>371</v>
      </c>
      <c r="J106" s="42" t="s">
        <v>2816</v>
      </c>
      <c r="K106" s="53">
        <f t="shared" si="25"/>
        <v>69</v>
      </c>
      <c r="L106" s="44">
        <f t="shared" si="27"/>
        <v>429.00099999999998</v>
      </c>
      <c r="M106" s="42" t="s">
        <v>2825</v>
      </c>
      <c r="N106" s="52" t="str">
        <f t="shared" si="22"/>
        <v>(17,'PPUR-17-GZ0','Poste de Purge n°17 GZ0','1961-01-01','1961-01-01',44838,0,),</v>
      </c>
    </row>
    <row r="107" spans="1:14" ht="20.100000000000001" customHeight="1" x14ac:dyDescent="0.25">
      <c r="A107" s="39">
        <v>18</v>
      </c>
      <c r="B107" s="40" t="str">
        <f t="shared" si="28"/>
        <v>PPUR-18-GZ0</v>
      </c>
      <c r="C107" s="52" t="str">
        <f t="shared" si="29"/>
        <v>Poste de Purge n°18 GZ0</v>
      </c>
      <c r="D107" s="19">
        <v>22282</v>
      </c>
      <c r="E107" s="19">
        <v>22282</v>
      </c>
      <c r="F107" s="19">
        <v>44838</v>
      </c>
      <c r="G107" s="42">
        <v>0</v>
      </c>
      <c r="H107" s="42"/>
      <c r="I107" s="42" t="s">
        <v>371</v>
      </c>
      <c r="J107" s="42" t="s">
        <v>2822</v>
      </c>
      <c r="K107" s="53">
        <f t="shared" si="25"/>
        <v>68.2</v>
      </c>
      <c r="L107" s="44">
        <f t="shared" si="27"/>
        <v>477.03899999999999</v>
      </c>
      <c r="M107" s="42" t="s">
        <v>2826</v>
      </c>
      <c r="N107" s="52" t="str">
        <f t="shared" si="22"/>
        <v>(18,'PPUR-18-GZ0','Poste de Purge n°18 GZ0','1961-01-01','1961-01-01',44838,0,),</v>
      </c>
    </row>
    <row r="108" spans="1:14" ht="20.100000000000001" customHeight="1" x14ac:dyDescent="0.25">
      <c r="A108" s="39">
        <v>19</v>
      </c>
      <c r="B108" s="40" t="str">
        <f t="shared" si="28"/>
        <v>PPUR-19-GZ0</v>
      </c>
      <c r="C108" s="52" t="str">
        <f t="shared" si="29"/>
        <v>Poste de Purge n°19 GZ0</v>
      </c>
      <c r="D108" s="19">
        <v>22282</v>
      </c>
      <c r="E108" s="19">
        <v>22282</v>
      </c>
      <c r="F108" s="19">
        <v>44838</v>
      </c>
      <c r="G108" s="42">
        <v>0</v>
      </c>
      <c r="H108" s="42"/>
      <c r="I108" s="42" t="s">
        <v>371</v>
      </c>
      <c r="J108" s="42" t="s">
        <v>2817</v>
      </c>
      <c r="K108" s="53">
        <f t="shared" si="25"/>
        <v>99</v>
      </c>
      <c r="L108" s="44">
        <f t="shared" si="27"/>
        <v>495.10399999999998</v>
      </c>
      <c r="M108" s="42" t="s">
        <v>2827</v>
      </c>
      <c r="N108" s="52" t="str">
        <f t="shared" si="22"/>
        <v>(19,'PPUR-19-GZ0','Poste de Purge n°19 GZ0','1961-01-01','1961-01-01',44838,0,),</v>
      </c>
    </row>
    <row r="109" spans="1:14" ht="20.100000000000001" customHeight="1" x14ac:dyDescent="0.25">
      <c r="A109" s="39">
        <v>1</v>
      </c>
      <c r="B109" s="40" t="str">
        <f t="shared" si="28"/>
        <v>PPUR-01-RGZ1</v>
      </c>
      <c r="C109" s="52" t="str">
        <f t="shared" si="29"/>
        <v>Poste de Purge n°01 RGZ1</v>
      </c>
      <c r="D109" s="19"/>
      <c r="E109" s="19"/>
      <c r="F109" s="42"/>
      <c r="G109" s="42">
        <v>1</v>
      </c>
      <c r="H109" s="42"/>
      <c r="I109" s="42" t="s">
        <v>1007</v>
      </c>
      <c r="J109" s="42" t="s">
        <v>2867</v>
      </c>
      <c r="K109" s="53">
        <f t="shared" ref="K109:K159" si="30">VALUE(RIGHT(J109,LEN(J109)-SEARCH("/",J109)))</f>
        <v>840</v>
      </c>
      <c r="L109" s="44">
        <f t="shared" ref="L109:L159" si="31">VALUE(SUBSTITUTE(LEFT(J109,SEARCH("/",J109)-1),"+",","))</f>
        <v>74.349999999999994</v>
      </c>
      <c r="M109" s="64" t="s">
        <v>2924</v>
      </c>
      <c r="N109" s="52" t="str">
        <f t="shared" si="22"/>
        <v>(1,'PPUR-01-RGZ1','Poste de Purge n°01 RGZ1','1900-01-00','1900-01-00',,1,),</v>
      </c>
    </row>
    <row r="110" spans="1:14" ht="20.100000000000001" customHeight="1" x14ac:dyDescent="0.25">
      <c r="A110" s="39">
        <v>2</v>
      </c>
      <c r="B110" s="40" t="str">
        <f t="shared" si="28"/>
        <v>PPUR-02-RGZ1</v>
      </c>
      <c r="C110" s="52" t="str">
        <f t="shared" si="29"/>
        <v>Poste de Purge n°02 RGZ1</v>
      </c>
      <c r="D110" s="19"/>
      <c r="E110" s="19"/>
      <c r="F110" s="42"/>
      <c r="G110" s="42">
        <v>1</v>
      </c>
      <c r="H110" s="42"/>
      <c r="I110" s="42" t="s">
        <v>1007</v>
      </c>
      <c r="J110" s="42" t="s">
        <v>2868</v>
      </c>
      <c r="K110" s="53">
        <f t="shared" si="30"/>
        <v>1045</v>
      </c>
      <c r="L110" s="44">
        <f t="shared" si="31"/>
        <v>144.5</v>
      </c>
      <c r="M110" s="64" t="s">
        <v>2925</v>
      </c>
      <c r="N110" s="52" t="str">
        <f t="shared" si="22"/>
        <v>(2,'PPUR-02-RGZ1','Poste de Purge n°02 RGZ1','1900-01-00','1900-01-00',,1,),</v>
      </c>
    </row>
    <row r="111" spans="1:14" ht="20.100000000000001" customHeight="1" x14ac:dyDescent="0.25">
      <c r="A111" s="39">
        <v>3</v>
      </c>
      <c r="B111" s="40" t="str">
        <f t="shared" si="28"/>
        <v>PPUR-03-RGZ1</v>
      </c>
      <c r="C111" s="52" t="str">
        <f t="shared" si="29"/>
        <v>Poste de Purge n°03 RGZ1</v>
      </c>
      <c r="D111" s="19"/>
      <c r="E111" s="19"/>
      <c r="F111" s="42"/>
      <c r="G111" s="42">
        <v>1</v>
      </c>
      <c r="H111" s="42"/>
      <c r="I111" s="42" t="s">
        <v>1007</v>
      </c>
      <c r="J111" s="42" t="s">
        <v>2869</v>
      </c>
      <c r="K111" s="53">
        <f t="shared" si="30"/>
        <v>970</v>
      </c>
      <c r="L111" s="44">
        <f t="shared" si="31"/>
        <v>226.4</v>
      </c>
      <c r="M111" s="64" t="s">
        <v>2833</v>
      </c>
      <c r="N111" s="52" t="str">
        <f t="shared" si="22"/>
        <v>(3,'PPUR-03-RGZ1','Poste de Purge n°03 RGZ1','1900-01-00','1900-01-00',,1,),</v>
      </c>
    </row>
    <row r="112" spans="1:14" ht="20.100000000000001" customHeight="1" x14ac:dyDescent="0.25">
      <c r="A112" s="39">
        <v>9</v>
      </c>
      <c r="B112" s="40" t="str">
        <f t="shared" si="28"/>
        <v>PPUR-09-GZ1</v>
      </c>
      <c r="C112" s="52" t="str">
        <f t="shared" si="29"/>
        <v>Poste de Purge n°09 GZ1</v>
      </c>
      <c r="D112" s="19">
        <v>27760</v>
      </c>
      <c r="E112" s="19">
        <v>27760</v>
      </c>
      <c r="F112" s="42"/>
      <c r="G112" s="42">
        <v>1</v>
      </c>
      <c r="H112" s="42"/>
      <c r="I112" s="42" t="s">
        <v>376</v>
      </c>
      <c r="J112" s="42" t="s">
        <v>2870</v>
      </c>
      <c r="K112" s="53">
        <f t="shared" si="30"/>
        <v>954</v>
      </c>
      <c r="L112" s="44">
        <f t="shared" si="31"/>
        <v>236.12700000000001</v>
      </c>
      <c r="M112" s="64" t="s">
        <v>759</v>
      </c>
      <c r="N112" s="52" t="str">
        <f t="shared" si="22"/>
        <v>(9,'PPUR-09-GZ1','Poste de Purge n°09 GZ1','1976-01-01','1976-01-01',,1,),</v>
      </c>
    </row>
    <row r="113" spans="1:14" ht="20.100000000000001" customHeight="1" x14ac:dyDescent="0.25">
      <c r="A113" s="39">
        <v>10</v>
      </c>
      <c r="B113" s="40" t="str">
        <f t="shared" si="28"/>
        <v>PPUR-10-GZ1</v>
      </c>
      <c r="C113" s="52" t="str">
        <f t="shared" si="29"/>
        <v>Poste de Purge n°10 GZ1</v>
      </c>
      <c r="D113" s="19">
        <v>27760</v>
      </c>
      <c r="E113" s="19">
        <v>27760</v>
      </c>
      <c r="F113" s="42"/>
      <c r="G113" s="42">
        <v>1</v>
      </c>
      <c r="H113" s="42"/>
      <c r="I113" s="42" t="s">
        <v>376</v>
      </c>
      <c r="J113" s="42" t="s">
        <v>2871</v>
      </c>
      <c r="K113" s="53">
        <f t="shared" si="30"/>
        <v>1254</v>
      </c>
      <c r="L113" s="44">
        <f t="shared" si="31"/>
        <v>294.50599999999997</v>
      </c>
      <c r="M113" s="62" t="s">
        <v>1751</v>
      </c>
      <c r="N113" s="52" t="str">
        <f t="shared" si="22"/>
        <v>(10,'PPUR-10-GZ1','Poste de Purge n°10 GZ1','1976-01-01','1976-01-01',,1,),</v>
      </c>
    </row>
    <row r="114" spans="1:14" ht="20.100000000000001" customHeight="1" x14ac:dyDescent="0.25">
      <c r="A114" s="39">
        <v>11</v>
      </c>
      <c r="B114" s="40" t="str">
        <f t="shared" ref="B114:B123" si="32">CONCATENATE("PPUR-",TEXT(A114,"00"),"-",I114)</f>
        <v>PPUR-11-GZ1</v>
      </c>
      <c r="C114" s="52" t="str">
        <f t="shared" ref="C114:C123" si="33">CONCATENATE("Poste de Purge n°",TEXT(A114,"00")," ",I114)</f>
        <v>Poste de Purge n°11 GZ1</v>
      </c>
      <c r="D114" s="19">
        <v>27760</v>
      </c>
      <c r="E114" s="19">
        <v>27760</v>
      </c>
      <c r="F114" s="42"/>
      <c r="G114" s="42">
        <v>1</v>
      </c>
      <c r="H114" s="42"/>
      <c r="I114" s="42" t="s">
        <v>376</v>
      </c>
      <c r="J114" s="42" t="s">
        <v>2872</v>
      </c>
      <c r="K114" s="53">
        <f t="shared" si="30"/>
        <v>990</v>
      </c>
      <c r="L114" s="44">
        <f t="shared" si="31"/>
        <v>328.245</v>
      </c>
      <c r="M114" s="64" t="s">
        <v>1946</v>
      </c>
      <c r="N114" s="52" t="str">
        <f t="shared" si="22"/>
        <v>(11,'PPUR-11-GZ1','Poste de Purge n°11 GZ1','1976-01-01','1976-01-01',,1,),</v>
      </c>
    </row>
    <row r="115" spans="1:14" ht="20.100000000000001" customHeight="1" x14ac:dyDescent="0.25">
      <c r="A115" s="39">
        <v>12</v>
      </c>
      <c r="B115" s="40" t="str">
        <f t="shared" si="32"/>
        <v>PPUR-12-GZ1</v>
      </c>
      <c r="C115" s="52" t="str">
        <f t="shared" si="33"/>
        <v>Poste de Purge n°12 GZ1</v>
      </c>
      <c r="D115" s="19">
        <v>27760</v>
      </c>
      <c r="E115" s="19">
        <v>27760</v>
      </c>
      <c r="F115" s="42"/>
      <c r="G115" s="42">
        <v>1</v>
      </c>
      <c r="H115" s="42"/>
      <c r="I115" s="42" t="s">
        <v>376</v>
      </c>
      <c r="J115" s="42" t="s">
        <v>2873</v>
      </c>
      <c r="K115" s="53">
        <f t="shared" si="30"/>
        <v>961</v>
      </c>
      <c r="L115" s="44">
        <f t="shared" si="31"/>
        <v>335.86700000000002</v>
      </c>
      <c r="M115" s="64" t="s">
        <v>805</v>
      </c>
      <c r="N115" s="52" t="str">
        <f t="shared" si="22"/>
        <v>(12,'PPUR-12-GZ1','Poste de Purge n°12 GZ1','1976-01-01','1976-01-01',,1,),</v>
      </c>
    </row>
    <row r="116" spans="1:14" ht="20.100000000000001" customHeight="1" x14ac:dyDescent="0.25">
      <c r="A116" s="39">
        <v>13</v>
      </c>
      <c r="B116" s="40" t="str">
        <f t="shared" si="32"/>
        <v>PPUR-13-GZ1</v>
      </c>
      <c r="C116" s="52" t="str">
        <f t="shared" si="33"/>
        <v>Poste de Purge n°13 GZ1</v>
      </c>
      <c r="D116" s="19">
        <v>27760</v>
      </c>
      <c r="E116" s="19">
        <v>27760</v>
      </c>
      <c r="F116" s="42"/>
      <c r="G116" s="42">
        <v>1</v>
      </c>
      <c r="H116" s="42"/>
      <c r="I116" s="42" t="s">
        <v>376</v>
      </c>
      <c r="J116" s="42" t="s">
        <v>2874</v>
      </c>
      <c r="K116" s="53">
        <f t="shared" si="30"/>
        <v>575</v>
      </c>
      <c r="L116" s="44">
        <f t="shared" si="31"/>
        <v>358.99599999999998</v>
      </c>
      <c r="M116" s="64" t="s">
        <v>2999</v>
      </c>
      <c r="N116" s="52" t="str">
        <f t="shared" si="22"/>
        <v>(13,'PPUR-13-GZ1','Poste de Purge n°13 GZ1','1976-01-01','1976-01-01',,1,),</v>
      </c>
    </row>
    <row r="117" spans="1:14" ht="20.100000000000001" customHeight="1" x14ac:dyDescent="0.25">
      <c r="A117" s="39">
        <v>14</v>
      </c>
      <c r="B117" s="40" t="str">
        <f t="shared" si="32"/>
        <v>PPUR-14-GZ1</v>
      </c>
      <c r="C117" s="52" t="str">
        <f t="shared" si="33"/>
        <v>Poste de Purge n°14 GZ1</v>
      </c>
      <c r="D117" s="19">
        <v>27760</v>
      </c>
      <c r="E117" s="19">
        <v>27760</v>
      </c>
      <c r="F117" s="42"/>
      <c r="G117" s="42">
        <v>1</v>
      </c>
      <c r="H117" s="42"/>
      <c r="I117" s="42" t="s">
        <v>376</v>
      </c>
      <c r="J117" s="42" t="s">
        <v>2875</v>
      </c>
      <c r="K117" s="53">
        <f t="shared" si="30"/>
        <v>670</v>
      </c>
      <c r="L117" s="44">
        <f t="shared" si="31"/>
        <v>370.98599999999999</v>
      </c>
      <c r="M117" s="64" t="s">
        <v>763</v>
      </c>
      <c r="N117" s="52" t="str">
        <f t="shared" si="22"/>
        <v>(14,'PPUR-14-GZ1','Poste de Purge n°14 GZ1','1976-01-01','1976-01-01',,1,),</v>
      </c>
    </row>
    <row r="118" spans="1:14" ht="20.100000000000001" customHeight="1" x14ac:dyDescent="0.25">
      <c r="A118" s="39">
        <v>15</v>
      </c>
      <c r="B118" s="40" t="str">
        <f t="shared" si="32"/>
        <v>PPUR-15-GZ1</v>
      </c>
      <c r="C118" s="52" t="str">
        <f t="shared" si="33"/>
        <v>Poste de Purge n°15 GZ1</v>
      </c>
      <c r="D118" s="19">
        <v>27760</v>
      </c>
      <c r="E118" s="19">
        <v>27760</v>
      </c>
      <c r="F118" s="42"/>
      <c r="G118" s="42">
        <v>1</v>
      </c>
      <c r="H118" s="42"/>
      <c r="I118" s="42" t="s">
        <v>376</v>
      </c>
      <c r="J118" s="42" t="s">
        <v>2876</v>
      </c>
      <c r="K118" s="53">
        <f t="shared" si="30"/>
        <v>504</v>
      </c>
      <c r="L118" s="44">
        <f t="shared" si="31"/>
        <v>391.34</v>
      </c>
      <c r="M118" s="62" t="s">
        <v>3000</v>
      </c>
      <c r="N118" s="52" t="str">
        <f t="shared" si="22"/>
        <v>(15,'PPUR-15-GZ1','Poste de Purge n°15 GZ1','1976-01-01','1976-01-01',,1,),</v>
      </c>
    </row>
    <row r="119" spans="1:14" ht="20.100000000000001" customHeight="1" x14ac:dyDescent="0.25">
      <c r="A119" s="39">
        <v>16</v>
      </c>
      <c r="B119" s="40" t="str">
        <f t="shared" si="32"/>
        <v>PPUR-16-GZ1</v>
      </c>
      <c r="C119" s="52" t="str">
        <f t="shared" si="33"/>
        <v>Poste de Purge n°16 GZ1</v>
      </c>
      <c r="D119" s="19">
        <v>27760</v>
      </c>
      <c r="E119" s="19">
        <v>27760</v>
      </c>
      <c r="F119" s="42"/>
      <c r="G119" s="42">
        <v>1</v>
      </c>
      <c r="H119" s="42"/>
      <c r="I119" s="42" t="s">
        <v>376</v>
      </c>
      <c r="J119" s="42" t="s">
        <v>2877</v>
      </c>
      <c r="K119" s="53">
        <f t="shared" si="30"/>
        <v>73</v>
      </c>
      <c r="L119" s="44">
        <f t="shared" si="31"/>
        <v>421.5</v>
      </c>
      <c r="M119" s="42" t="s">
        <v>1947</v>
      </c>
      <c r="N119" s="52" t="str">
        <f t="shared" si="22"/>
        <v>(16,'PPUR-16-GZ1','Poste de Purge n°16 GZ1','1976-01-01','1976-01-01',,1,),</v>
      </c>
    </row>
    <row r="120" spans="1:14" ht="20.100000000000001" customHeight="1" x14ac:dyDescent="0.25">
      <c r="A120" s="39">
        <v>17</v>
      </c>
      <c r="B120" s="40" t="str">
        <f t="shared" si="32"/>
        <v>PPUR-17-GZ1</v>
      </c>
      <c r="C120" s="52" t="str">
        <f t="shared" si="33"/>
        <v>Poste de Purge n°17 GZ1</v>
      </c>
      <c r="D120" s="19">
        <v>27760</v>
      </c>
      <c r="E120" s="19">
        <v>27760</v>
      </c>
      <c r="F120" s="42"/>
      <c r="G120" s="42">
        <v>1</v>
      </c>
      <c r="H120" s="42"/>
      <c r="I120" s="42" t="s">
        <v>376</v>
      </c>
      <c r="J120" s="42" t="s">
        <v>2879</v>
      </c>
      <c r="K120" s="53">
        <f t="shared" si="30"/>
        <v>0</v>
      </c>
      <c r="L120" s="44">
        <f t="shared" si="31"/>
        <v>440.1</v>
      </c>
      <c r="M120" s="42" t="s">
        <v>3001</v>
      </c>
      <c r="N120" s="52" t="str">
        <f t="shared" si="22"/>
        <v>(17,'PPUR-17-GZ1','Poste de Purge n°17 GZ1','1976-01-01','1976-01-01',,1,),</v>
      </c>
    </row>
    <row r="121" spans="1:14" ht="20.100000000000001" customHeight="1" x14ac:dyDescent="0.25">
      <c r="A121" s="39">
        <v>18</v>
      </c>
      <c r="B121" s="40" t="str">
        <f t="shared" si="32"/>
        <v>PPUR-18-GZ1</v>
      </c>
      <c r="C121" s="52" t="str">
        <f t="shared" si="33"/>
        <v>Poste de Purge n°18 GZ1</v>
      </c>
      <c r="D121" s="19">
        <v>27760</v>
      </c>
      <c r="E121" s="19">
        <v>27760</v>
      </c>
      <c r="F121" s="42"/>
      <c r="G121" s="42">
        <v>1</v>
      </c>
      <c r="H121" s="42"/>
      <c r="I121" s="42" t="s">
        <v>376</v>
      </c>
      <c r="J121" s="42" t="s">
        <v>2878</v>
      </c>
      <c r="K121" s="53">
        <f t="shared" si="30"/>
        <v>5</v>
      </c>
      <c r="L121" s="44">
        <f t="shared" si="31"/>
        <v>487.5</v>
      </c>
      <c r="M121" s="42" t="s">
        <v>3002</v>
      </c>
      <c r="N121" s="52" t="str">
        <f t="shared" si="22"/>
        <v>(18,'PPUR-18-GZ1','Poste de Purge n°18 GZ1','1976-01-01','1976-01-01',,1,),</v>
      </c>
    </row>
    <row r="122" spans="1:14" ht="20.100000000000001" customHeight="1" x14ac:dyDescent="0.25">
      <c r="A122" s="39">
        <v>1</v>
      </c>
      <c r="B122" s="40" t="str">
        <f t="shared" si="32"/>
        <v>PPUR-01-GZ2</v>
      </c>
      <c r="C122" s="52" t="str">
        <f t="shared" si="33"/>
        <v>Poste de Purge n°01 GZ2</v>
      </c>
      <c r="D122" s="19">
        <v>29952</v>
      </c>
      <c r="E122" s="19">
        <v>29952</v>
      </c>
      <c r="F122" s="42"/>
      <c r="G122" s="42">
        <v>1</v>
      </c>
      <c r="H122" s="42"/>
      <c r="I122" s="42" t="s">
        <v>379</v>
      </c>
      <c r="J122" s="42" t="s">
        <v>2880</v>
      </c>
      <c r="K122" s="53">
        <f t="shared" si="30"/>
        <v>747</v>
      </c>
      <c r="L122" s="44">
        <f t="shared" si="31"/>
        <v>20.192</v>
      </c>
      <c r="M122" s="42" t="s">
        <v>798</v>
      </c>
      <c r="N122" s="52" t="str">
        <f t="shared" si="22"/>
        <v>(1,'PPUR-01-GZ2','Poste de Purge n°01 GZ2','1982-01-01','1982-01-01',,1,),</v>
      </c>
    </row>
    <row r="123" spans="1:14" ht="20.100000000000001" customHeight="1" x14ac:dyDescent="0.25">
      <c r="A123" s="39">
        <v>2</v>
      </c>
      <c r="B123" s="40" t="str">
        <f t="shared" si="32"/>
        <v>PPUR-02-GZ2</v>
      </c>
      <c r="C123" s="52" t="str">
        <f t="shared" si="33"/>
        <v>Poste de Purge n°02 GZ2</v>
      </c>
      <c r="D123" s="19">
        <v>29952</v>
      </c>
      <c r="E123" s="19">
        <v>29952</v>
      </c>
      <c r="F123" s="42"/>
      <c r="G123" s="42">
        <v>1</v>
      </c>
      <c r="H123" s="42"/>
      <c r="I123" s="42" t="s">
        <v>379</v>
      </c>
      <c r="J123" s="42" t="s">
        <v>2881</v>
      </c>
      <c r="K123" s="53">
        <f t="shared" si="30"/>
        <v>771</v>
      </c>
      <c r="L123" s="44">
        <f t="shared" si="31"/>
        <v>99.332999999999998</v>
      </c>
      <c r="M123" s="42" t="s">
        <v>1748</v>
      </c>
      <c r="N123" s="52" t="str">
        <f t="shared" si="22"/>
        <v>(2,'PPUR-02-GZ2','Poste de Purge n°02 GZ2','1982-01-01','1982-01-01',,1,),</v>
      </c>
    </row>
    <row r="124" spans="1:14" ht="20.100000000000001" customHeight="1" x14ac:dyDescent="0.25">
      <c r="A124" s="39">
        <v>3</v>
      </c>
      <c r="B124" s="40" t="str">
        <f t="shared" ref="B124:B162" si="34">CONCATENATE("PPUR-",TEXT(A124,"00"),"-",I124)</f>
        <v>PPUR-03-GZ2</v>
      </c>
      <c r="C124" s="52" t="str">
        <f t="shared" ref="C124:C162" si="35">CONCATENATE("Poste de Purge n°",TEXT(A124,"00")," ",I124)</f>
        <v>Poste de Purge n°03 GZ2</v>
      </c>
      <c r="D124" s="19">
        <v>29952</v>
      </c>
      <c r="E124" s="19">
        <v>29952</v>
      </c>
      <c r="F124" s="42"/>
      <c r="G124" s="42">
        <v>1</v>
      </c>
      <c r="H124" s="42"/>
      <c r="I124" s="42" t="s">
        <v>379</v>
      </c>
      <c r="J124" s="42" t="s">
        <v>2882</v>
      </c>
      <c r="K124" s="53">
        <f t="shared" si="30"/>
        <v>904</v>
      </c>
      <c r="L124" s="44">
        <f t="shared" si="31"/>
        <v>125.946</v>
      </c>
      <c r="M124" s="64" t="s">
        <v>1945</v>
      </c>
      <c r="N124" s="52" t="str">
        <f t="shared" si="22"/>
        <v>(3,'PPUR-03-GZ2','Poste de Purge n°03 GZ2','1982-01-01','1982-01-01',,1,),</v>
      </c>
    </row>
    <row r="125" spans="1:14" ht="20.100000000000001" customHeight="1" x14ac:dyDescent="0.25">
      <c r="A125" s="39">
        <v>4</v>
      </c>
      <c r="B125" s="40" t="str">
        <f t="shared" si="34"/>
        <v>PPUR-04-GZ2</v>
      </c>
      <c r="C125" s="52" t="str">
        <f t="shared" si="35"/>
        <v>Poste de Purge n°04 GZ2</v>
      </c>
      <c r="D125" s="19">
        <v>29952</v>
      </c>
      <c r="E125" s="19">
        <v>29952</v>
      </c>
      <c r="F125" s="42"/>
      <c r="G125" s="42">
        <v>1</v>
      </c>
      <c r="H125" s="42"/>
      <c r="I125" s="42" t="s">
        <v>379</v>
      </c>
      <c r="J125" s="42" t="s">
        <v>2883</v>
      </c>
      <c r="K125" s="53">
        <f t="shared" si="30"/>
        <v>1032</v>
      </c>
      <c r="L125" s="44">
        <f t="shared" si="31"/>
        <v>143.589</v>
      </c>
      <c r="M125" s="64" t="s">
        <v>1945</v>
      </c>
      <c r="N125" s="52" t="str">
        <f t="shared" si="22"/>
        <v>(4,'PPUR-04-GZ2','Poste de Purge n°04 GZ2','1982-01-01','1982-01-01',,1,),</v>
      </c>
    </row>
    <row r="126" spans="1:14" ht="20.100000000000001" customHeight="1" x14ac:dyDescent="0.25">
      <c r="A126" s="39">
        <v>5</v>
      </c>
      <c r="B126" s="40" t="str">
        <f t="shared" si="34"/>
        <v>PPUR-05-GZ2</v>
      </c>
      <c r="C126" s="52" t="str">
        <f t="shared" si="35"/>
        <v>Poste de Purge n°05 GZ2</v>
      </c>
      <c r="D126" s="19">
        <v>29952</v>
      </c>
      <c r="E126" s="19">
        <v>29952</v>
      </c>
      <c r="F126" s="42"/>
      <c r="G126" s="42">
        <v>1</v>
      </c>
      <c r="H126" s="42"/>
      <c r="I126" s="42" t="s">
        <v>379</v>
      </c>
      <c r="J126" s="42" t="s">
        <v>2884</v>
      </c>
      <c r="K126" s="53">
        <f t="shared" si="30"/>
        <v>1172</v>
      </c>
      <c r="L126" s="44">
        <f t="shared" si="31"/>
        <v>155.89599999999999</v>
      </c>
      <c r="M126" s="64" t="s">
        <v>1945</v>
      </c>
      <c r="N126" s="52" t="str">
        <f t="shared" si="22"/>
        <v>(5,'PPUR-05-GZ2','Poste de Purge n°05 GZ2','1982-01-01','1982-01-01',,1,),</v>
      </c>
    </row>
    <row r="127" spans="1:14" ht="20.100000000000001" customHeight="1" x14ac:dyDescent="0.25">
      <c r="A127" s="39">
        <v>6</v>
      </c>
      <c r="B127" s="40" t="str">
        <f t="shared" si="34"/>
        <v>PPUR-06-GZ2</v>
      </c>
      <c r="C127" s="52" t="str">
        <f t="shared" si="35"/>
        <v>Poste de Purge n°06 GZ2</v>
      </c>
      <c r="D127" s="19">
        <v>29952</v>
      </c>
      <c r="E127" s="19">
        <v>29952</v>
      </c>
      <c r="F127" s="42"/>
      <c r="G127" s="42">
        <v>1</v>
      </c>
      <c r="H127" s="42"/>
      <c r="I127" s="42" t="s">
        <v>379</v>
      </c>
      <c r="J127" s="42" t="s">
        <v>2885</v>
      </c>
      <c r="K127" s="53">
        <f t="shared" si="30"/>
        <v>1238</v>
      </c>
      <c r="L127" s="44">
        <f t="shared" si="31"/>
        <v>168.39400000000001</v>
      </c>
      <c r="M127" s="64" t="s">
        <v>1945</v>
      </c>
      <c r="N127" s="52" t="str">
        <f t="shared" si="22"/>
        <v>(6,'PPUR-06-GZ2','Poste de Purge n°06 GZ2','1982-01-01','1982-01-01',,1,),</v>
      </c>
    </row>
    <row r="128" spans="1:14" ht="20.100000000000001" customHeight="1" x14ac:dyDescent="0.25">
      <c r="A128" s="39">
        <v>7</v>
      </c>
      <c r="B128" s="40" t="str">
        <f t="shared" si="34"/>
        <v>PPUR-07-GZ2</v>
      </c>
      <c r="C128" s="52" t="str">
        <f t="shared" si="35"/>
        <v>Poste de Purge n°07 GZ2</v>
      </c>
      <c r="D128" s="19">
        <v>29952</v>
      </c>
      <c r="E128" s="19">
        <v>29952</v>
      </c>
      <c r="F128" s="42"/>
      <c r="G128" s="42">
        <v>1</v>
      </c>
      <c r="H128" s="42"/>
      <c r="I128" s="42" t="s">
        <v>379</v>
      </c>
      <c r="J128" s="42" t="s">
        <v>2886</v>
      </c>
      <c r="K128" s="53">
        <f t="shared" si="30"/>
        <v>1096</v>
      </c>
      <c r="L128" s="44">
        <f t="shared" si="31"/>
        <v>187.53</v>
      </c>
      <c r="M128" s="64" t="s">
        <v>1945</v>
      </c>
      <c r="N128" s="52" t="str">
        <f t="shared" si="22"/>
        <v>(7,'PPUR-07-GZ2','Poste de Purge n°07 GZ2','1982-01-01','1982-01-01',,1,),</v>
      </c>
    </row>
    <row r="129" spans="1:14" ht="20.100000000000001" customHeight="1" x14ac:dyDescent="0.25">
      <c r="A129" s="39">
        <v>8</v>
      </c>
      <c r="B129" s="40" t="str">
        <f t="shared" si="34"/>
        <v>PPUR-08-GZ2</v>
      </c>
      <c r="C129" s="52" t="str">
        <f t="shared" si="35"/>
        <v>Poste de Purge n°08 GZ2</v>
      </c>
      <c r="D129" s="19">
        <v>29952</v>
      </c>
      <c r="E129" s="19">
        <v>29952</v>
      </c>
      <c r="F129" s="42"/>
      <c r="G129" s="42">
        <v>1</v>
      </c>
      <c r="H129" s="42"/>
      <c r="I129" s="42" t="s">
        <v>379</v>
      </c>
      <c r="J129" s="42" t="s">
        <v>2887</v>
      </c>
      <c r="K129" s="53">
        <f t="shared" si="30"/>
        <v>938</v>
      </c>
      <c r="L129" s="44">
        <f t="shared" si="31"/>
        <v>217.08600000000001</v>
      </c>
      <c r="M129" s="64" t="s">
        <v>3003</v>
      </c>
      <c r="N129" s="52" t="str">
        <f t="shared" si="22"/>
        <v>(8,'PPUR-08-GZ2','Poste de Purge n°08 GZ2','1982-01-01','1982-01-01',,1,),</v>
      </c>
    </row>
    <row r="130" spans="1:14" ht="20.100000000000001" customHeight="1" x14ac:dyDescent="0.25">
      <c r="A130" s="39">
        <v>9</v>
      </c>
      <c r="B130" s="40" t="str">
        <f t="shared" si="34"/>
        <v>PPUR-09-GZ2</v>
      </c>
      <c r="C130" s="52" t="str">
        <f t="shared" si="35"/>
        <v>Poste de Purge n°09 GZ2</v>
      </c>
      <c r="D130" s="19">
        <v>29952</v>
      </c>
      <c r="E130" s="19">
        <v>29952</v>
      </c>
      <c r="F130" s="42"/>
      <c r="G130" s="42">
        <v>1</v>
      </c>
      <c r="H130" s="42"/>
      <c r="I130" s="42" t="s">
        <v>379</v>
      </c>
      <c r="J130" s="42" t="s">
        <v>2888</v>
      </c>
      <c r="K130" s="53">
        <f t="shared" si="30"/>
        <v>956</v>
      </c>
      <c r="L130" s="44">
        <f t="shared" si="31"/>
        <v>235.81299999999999</v>
      </c>
      <c r="M130" s="64" t="s">
        <v>3004</v>
      </c>
      <c r="N130" s="52" t="str">
        <f t="shared" si="22"/>
        <v>(9,'PPUR-09-GZ2','Poste de Purge n°09 GZ2','1982-01-01','1982-01-01',,1,),</v>
      </c>
    </row>
    <row r="131" spans="1:14" ht="20.100000000000001" customHeight="1" x14ac:dyDescent="0.25">
      <c r="A131" s="39">
        <v>10</v>
      </c>
      <c r="B131" s="40" t="str">
        <f t="shared" si="34"/>
        <v>PPUR-10-GZ2</v>
      </c>
      <c r="C131" s="52" t="str">
        <f t="shared" si="35"/>
        <v>Poste de Purge n°10 GZ2</v>
      </c>
      <c r="D131" s="19">
        <v>29952</v>
      </c>
      <c r="E131" s="19">
        <v>29952</v>
      </c>
      <c r="F131" s="42"/>
      <c r="G131" s="42">
        <v>1</v>
      </c>
      <c r="H131" s="42"/>
      <c r="I131" s="42" t="s">
        <v>379</v>
      </c>
      <c r="J131" s="42" t="s">
        <v>2889</v>
      </c>
      <c r="K131" s="53">
        <f t="shared" si="30"/>
        <v>1154</v>
      </c>
      <c r="L131" s="44">
        <f t="shared" si="31"/>
        <v>294.73200000000003</v>
      </c>
      <c r="M131" s="64" t="s">
        <v>1751</v>
      </c>
      <c r="N131" s="52" t="str">
        <f t="shared" ref="N131:N160" si="36">CONCATENATE("(",A131,",'",B131,"','",C131,"','",TEXT(D131,"aaaa-mm-jj"),"','",TEXT(E131,"aaaa-mm-jj"),"',",F131,",",G131,",",H131,"),")</f>
        <v>(10,'PPUR-10-GZ2','Poste de Purge n°10 GZ2','1982-01-01','1982-01-01',,1,),</v>
      </c>
    </row>
    <row r="132" spans="1:14" ht="20.100000000000001" customHeight="1" x14ac:dyDescent="0.25">
      <c r="A132" s="39">
        <v>11</v>
      </c>
      <c r="B132" s="40" t="str">
        <f t="shared" si="34"/>
        <v>PPUR-11-GZ2</v>
      </c>
      <c r="C132" s="52" t="str">
        <f t="shared" si="35"/>
        <v>Poste de Purge n°11 GZ2</v>
      </c>
      <c r="D132" s="19">
        <v>29952</v>
      </c>
      <c r="E132" s="19">
        <v>29952</v>
      </c>
      <c r="F132" s="42"/>
      <c r="G132" s="42">
        <v>1</v>
      </c>
      <c r="H132" s="42"/>
      <c r="I132" s="42" t="s">
        <v>379</v>
      </c>
      <c r="J132" s="42" t="s">
        <v>2890</v>
      </c>
      <c r="K132" s="53">
        <f t="shared" si="30"/>
        <v>990</v>
      </c>
      <c r="L132" s="44">
        <f t="shared" si="31"/>
        <v>328.83699999999999</v>
      </c>
      <c r="M132" s="64" t="s">
        <v>805</v>
      </c>
      <c r="N132" s="52" t="str">
        <f t="shared" si="36"/>
        <v>(11,'PPUR-11-GZ2','Poste de Purge n°11 GZ2','1982-01-01','1982-01-01',,1,),</v>
      </c>
    </row>
    <row r="133" spans="1:14" ht="20.100000000000001" customHeight="1" x14ac:dyDescent="0.25">
      <c r="A133" s="39">
        <v>12</v>
      </c>
      <c r="B133" s="40" t="str">
        <f t="shared" si="34"/>
        <v>PPUR-12-GZ2</v>
      </c>
      <c r="C133" s="52" t="str">
        <f t="shared" si="35"/>
        <v>Poste de Purge n°12 GZ2</v>
      </c>
      <c r="D133" s="19">
        <v>29952</v>
      </c>
      <c r="E133" s="19">
        <v>29952</v>
      </c>
      <c r="F133" s="42"/>
      <c r="G133" s="42">
        <v>1</v>
      </c>
      <c r="H133" s="42"/>
      <c r="I133" s="42" t="s">
        <v>379</v>
      </c>
      <c r="J133" s="42" t="s">
        <v>2891</v>
      </c>
      <c r="K133" s="53">
        <f t="shared" si="30"/>
        <v>946</v>
      </c>
      <c r="L133" s="44">
        <f t="shared" si="31"/>
        <v>336.37099999999998</v>
      </c>
      <c r="M133" s="64" t="s">
        <v>805</v>
      </c>
      <c r="N133" s="52" t="str">
        <f t="shared" si="36"/>
        <v>(12,'PPUR-12-GZ2','Poste de Purge n°12 GZ2','1982-01-01','1982-01-01',,1,),</v>
      </c>
    </row>
    <row r="134" spans="1:14" ht="20.100000000000001" customHeight="1" x14ac:dyDescent="0.25">
      <c r="A134" s="39">
        <v>13</v>
      </c>
      <c r="B134" s="40" t="str">
        <f t="shared" si="34"/>
        <v>PPUR-13-GZ2</v>
      </c>
      <c r="C134" s="52" t="str">
        <f t="shared" si="35"/>
        <v>Poste de Purge n°13 GZ2</v>
      </c>
      <c r="D134" s="19">
        <v>29952</v>
      </c>
      <c r="E134" s="19">
        <v>29952</v>
      </c>
      <c r="F134" s="42"/>
      <c r="G134" s="42">
        <v>1</v>
      </c>
      <c r="H134" s="42"/>
      <c r="I134" s="42" t="s">
        <v>379</v>
      </c>
      <c r="J134" s="42" t="s">
        <v>2892</v>
      </c>
      <c r="K134" s="53">
        <f t="shared" si="30"/>
        <v>572</v>
      </c>
      <c r="L134" s="44">
        <f t="shared" si="31"/>
        <v>359.63499999999999</v>
      </c>
      <c r="M134" s="62" t="s">
        <v>2999</v>
      </c>
      <c r="N134" s="52" t="str">
        <f t="shared" si="36"/>
        <v>(13,'PPUR-13-GZ2','Poste de Purge n°13 GZ2','1982-01-01','1982-01-01',,1,),</v>
      </c>
    </row>
    <row r="135" spans="1:14" ht="20.100000000000001" customHeight="1" x14ac:dyDescent="0.25">
      <c r="A135" s="39">
        <v>14</v>
      </c>
      <c r="B135" s="40" t="str">
        <f t="shared" si="34"/>
        <v>PPUR-14-GZ2</v>
      </c>
      <c r="C135" s="52" t="str">
        <f t="shared" si="35"/>
        <v>Poste de Purge n°14 GZ2</v>
      </c>
      <c r="D135" s="19">
        <v>29952</v>
      </c>
      <c r="E135" s="19">
        <v>29952</v>
      </c>
      <c r="F135" s="42"/>
      <c r="G135" s="42">
        <v>1</v>
      </c>
      <c r="H135" s="42"/>
      <c r="I135" s="42" t="s">
        <v>379</v>
      </c>
      <c r="J135" s="42" t="s">
        <v>2893</v>
      </c>
      <c r="K135" s="53">
        <f t="shared" si="30"/>
        <v>670</v>
      </c>
      <c r="L135" s="44">
        <f t="shared" si="31"/>
        <v>371.60500000000002</v>
      </c>
      <c r="M135" s="42" t="s">
        <v>763</v>
      </c>
      <c r="N135" s="52" t="str">
        <f t="shared" si="36"/>
        <v>(14,'PPUR-14-GZ2','Poste de Purge n°14 GZ2','1982-01-01','1982-01-01',,1,),</v>
      </c>
    </row>
    <row r="136" spans="1:14" ht="20.100000000000001" customHeight="1" x14ac:dyDescent="0.25">
      <c r="A136" s="39">
        <v>15</v>
      </c>
      <c r="B136" s="40" t="str">
        <f t="shared" si="34"/>
        <v>PPUR-15-GZ2</v>
      </c>
      <c r="C136" s="52" t="str">
        <f t="shared" si="35"/>
        <v>Poste de Purge n°15 GZ2</v>
      </c>
      <c r="D136" s="19">
        <v>29952</v>
      </c>
      <c r="E136" s="19">
        <v>29952</v>
      </c>
      <c r="F136" s="42"/>
      <c r="G136" s="42">
        <v>1</v>
      </c>
      <c r="H136" s="42"/>
      <c r="I136" s="42" t="s">
        <v>379</v>
      </c>
      <c r="J136" s="42" t="s">
        <v>2894</v>
      </c>
      <c r="K136" s="53">
        <f t="shared" si="30"/>
        <v>558</v>
      </c>
      <c r="L136" s="44">
        <f t="shared" si="31"/>
        <v>394.03</v>
      </c>
      <c r="M136" s="42" t="s">
        <v>3005</v>
      </c>
      <c r="N136" s="52" t="str">
        <f t="shared" si="36"/>
        <v>(15,'PPUR-15-GZ2','Poste de Purge n°15 GZ2','1982-01-01','1982-01-01',,1,),</v>
      </c>
    </row>
    <row r="137" spans="1:14" ht="20.100000000000001" customHeight="1" x14ac:dyDescent="0.25">
      <c r="A137" s="39">
        <v>16</v>
      </c>
      <c r="B137" s="40" t="str">
        <f t="shared" si="34"/>
        <v>PPUR-16-GZ2</v>
      </c>
      <c r="C137" s="52" t="str">
        <f t="shared" si="35"/>
        <v>Poste de Purge n°16 GZ2</v>
      </c>
      <c r="D137" s="19">
        <v>29952</v>
      </c>
      <c r="E137" s="19">
        <v>29952</v>
      </c>
      <c r="F137" s="42"/>
      <c r="G137" s="42">
        <v>1</v>
      </c>
      <c r="H137" s="42"/>
      <c r="I137" s="42" t="s">
        <v>379</v>
      </c>
      <c r="J137" s="42" t="s">
        <v>2895</v>
      </c>
      <c r="K137" s="53">
        <f t="shared" si="30"/>
        <v>561</v>
      </c>
      <c r="L137" s="44">
        <f t="shared" si="31"/>
        <v>400.12</v>
      </c>
      <c r="M137" s="42" t="s">
        <v>3006</v>
      </c>
      <c r="N137" s="52" t="str">
        <f t="shared" si="36"/>
        <v>(16,'PPUR-16-GZ2','Poste de Purge n°16 GZ2','1982-01-01','1982-01-01',,1,),</v>
      </c>
    </row>
    <row r="138" spans="1:14" ht="20.100000000000001" customHeight="1" x14ac:dyDescent="0.25">
      <c r="A138" s="39">
        <v>17</v>
      </c>
      <c r="B138" s="40" t="str">
        <f t="shared" si="34"/>
        <v>PPUR-17-GZ2</v>
      </c>
      <c r="C138" s="52" t="str">
        <f t="shared" si="35"/>
        <v>Poste de Purge n°17 GZ2</v>
      </c>
      <c r="D138" s="19">
        <v>29952</v>
      </c>
      <c r="E138" s="19">
        <v>29952</v>
      </c>
      <c r="F138" s="42"/>
      <c r="G138" s="42">
        <v>1</v>
      </c>
      <c r="H138" s="42"/>
      <c r="I138" s="42" t="s">
        <v>379</v>
      </c>
      <c r="J138" s="42" t="s">
        <v>2896</v>
      </c>
      <c r="K138" s="53">
        <f t="shared" si="30"/>
        <v>124</v>
      </c>
      <c r="L138" s="44">
        <f t="shared" si="31"/>
        <v>431.59199999999998</v>
      </c>
      <c r="M138" s="42" t="s">
        <v>1876</v>
      </c>
      <c r="N138" s="52" t="str">
        <f t="shared" si="36"/>
        <v>(17,'PPUR-17-GZ2','Poste de Purge n°17 GZ2','1982-01-01','1982-01-01',,1,),</v>
      </c>
    </row>
    <row r="139" spans="1:14" ht="20.100000000000001" customHeight="1" x14ac:dyDescent="0.25">
      <c r="A139" s="39">
        <v>18</v>
      </c>
      <c r="B139" s="40" t="str">
        <f t="shared" si="34"/>
        <v>PPUR-18-GZ2</v>
      </c>
      <c r="C139" s="52" t="str">
        <f t="shared" si="35"/>
        <v>Poste de Purge n°18 GZ2</v>
      </c>
      <c r="D139" s="19">
        <v>29952</v>
      </c>
      <c r="E139" s="19">
        <v>29952</v>
      </c>
      <c r="F139" s="42"/>
      <c r="G139" s="42">
        <v>1</v>
      </c>
      <c r="H139" s="42"/>
      <c r="I139" s="42" t="s">
        <v>379</v>
      </c>
      <c r="J139" s="42" t="s">
        <v>2897</v>
      </c>
      <c r="K139" s="53">
        <f t="shared" si="30"/>
        <v>71</v>
      </c>
      <c r="L139" s="44">
        <f t="shared" si="31"/>
        <v>459.68799999999999</v>
      </c>
      <c r="M139" s="42" t="s">
        <v>1756</v>
      </c>
      <c r="N139" s="52" t="str">
        <f t="shared" si="36"/>
        <v>(18,'PPUR-18-GZ2','Poste de Purge n°18 GZ2','1982-01-01','1982-01-01',,1,),</v>
      </c>
    </row>
    <row r="140" spans="1:14" ht="20.100000000000001" customHeight="1" x14ac:dyDescent="0.25">
      <c r="A140" s="39">
        <v>19</v>
      </c>
      <c r="B140" s="40" t="str">
        <f t="shared" si="34"/>
        <v>PPUR-19-GZ2</v>
      </c>
      <c r="C140" s="52" t="str">
        <f t="shared" si="35"/>
        <v>Poste de Purge n°19 GZ2</v>
      </c>
      <c r="D140" s="19">
        <v>29952</v>
      </c>
      <c r="E140" s="19">
        <v>29952</v>
      </c>
      <c r="F140" s="42"/>
      <c r="G140" s="42">
        <v>1</v>
      </c>
      <c r="H140" s="42"/>
      <c r="I140" s="42" t="s">
        <v>379</v>
      </c>
      <c r="J140" s="42" t="s">
        <v>2898</v>
      </c>
      <c r="K140" s="53">
        <f t="shared" si="30"/>
        <v>94</v>
      </c>
      <c r="L140" s="44">
        <f t="shared" si="31"/>
        <v>500.63499999999999</v>
      </c>
      <c r="M140" s="42" t="s">
        <v>3007</v>
      </c>
      <c r="N140" s="52" t="str">
        <f t="shared" si="36"/>
        <v>(19,'PPUR-19-GZ2','Poste de Purge n°19 GZ2','1982-01-01','1982-01-01',,1,),</v>
      </c>
    </row>
    <row r="141" spans="1:14" ht="20.100000000000001" customHeight="1" x14ac:dyDescent="0.25">
      <c r="A141" s="39">
        <v>1</v>
      </c>
      <c r="B141" s="40" t="str">
        <f t="shared" si="34"/>
        <v>PPUR-01-GZ3</v>
      </c>
      <c r="C141" s="52" t="str">
        <f t="shared" si="35"/>
        <v>Poste de Purge n°01 GZ3</v>
      </c>
      <c r="D141" s="19">
        <v>32509</v>
      </c>
      <c r="E141" s="19">
        <v>32509</v>
      </c>
      <c r="F141" s="42"/>
      <c r="G141" s="42">
        <v>1</v>
      </c>
      <c r="H141" s="42"/>
      <c r="I141" s="42" t="s">
        <v>383</v>
      </c>
      <c r="J141" s="42" t="s">
        <v>2899</v>
      </c>
      <c r="K141" s="53">
        <f t="shared" si="30"/>
        <v>747</v>
      </c>
      <c r="L141" s="44">
        <f t="shared" si="31"/>
        <v>20.295000000000002</v>
      </c>
      <c r="M141" s="42" t="s">
        <v>798</v>
      </c>
      <c r="N141" s="52" t="str">
        <f t="shared" si="36"/>
        <v>(1,'PPUR-01-GZ3','Poste de Purge n°01 GZ3','1989-01-01','1989-01-01',,1,),</v>
      </c>
    </row>
    <row r="142" spans="1:14" ht="20.100000000000001" customHeight="1" x14ac:dyDescent="0.25">
      <c r="A142" s="39">
        <v>2</v>
      </c>
      <c r="B142" s="40" t="str">
        <f t="shared" si="34"/>
        <v>PPUR-02-GZ3</v>
      </c>
      <c r="C142" s="52" t="str">
        <f t="shared" si="35"/>
        <v>Poste de Purge n°02 GZ3</v>
      </c>
      <c r="D142" s="19">
        <v>32509</v>
      </c>
      <c r="E142" s="19">
        <v>32509</v>
      </c>
      <c r="F142" s="42"/>
      <c r="G142" s="42">
        <v>1</v>
      </c>
      <c r="H142" s="42"/>
      <c r="I142" s="42" t="s">
        <v>383</v>
      </c>
      <c r="J142" s="42" t="s">
        <v>2900</v>
      </c>
      <c r="K142" s="53">
        <f t="shared" si="30"/>
        <v>771</v>
      </c>
      <c r="L142" s="44">
        <f t="shared" si="31"/>
        <v>99.694999999999993</v>
      </c>
      <c r="M142" s="42" t="s">
        <v>1748</v>
      </c>
      <c r="N142" s="52" t="str">
        <f t="shared" si="36"/>
        <v>(2,'PPUR-02-GZ3','Poste de Purge n°02 GZ3','1989-01-01','1989-01-01',,1,),</v>
      </c>
    </row>
    <row r="143" spans="1:14" ht="20.100000000000001" customHeight="1" x14ac:dyDescent="0.25">
      <c r="A143" s="39">
        <v>3</v>
      </c>
      <c r="B143" s="40" t="str">
        <f t="shared" si="34"/>
        <v>PPUR-03-GZ3</v>
      </c>
      <c r="C143" s="52" t="str">
        <f t="shared" si="35"/>
        <v>Poste de Purge n°03 GZ3</v>
      </c>
      <c r="D143" s="19">
        <v>32509</v>
      </c>
      <c r="E143" s="19">
        <v>32509</v>
      </c>
      <c r="F143" s="42"/>
      <c r="G143" s="42">
        <v>1</v>
      </c>
      <c r="H143" s="42"/>
      <c r="I143" s="42" t="s">
        <v>383</v>
      </c>
      <c r="J143" s="42" t="s">
        <v>2901</v>
      </c>
      <c r="K143" s="53">
        <f t="shared" si="30"/>
        <v>921</v>
      </c>
      <c r="L143" s="44">
        <f t="shared" si="31"/>
        <v>125.84</v>
      </c>
      <c r="M143" s="64" t="s">
        <v>1945</v>
      </c>
      <c r="N143" s="52" t="str">
        <f t="shared" si="36"/>
        <v>(3,'PPUR-03-GZ3','Poste de Purge n°03 GZ3','1989-01-01','1989-01-01',,1,),</v>
      </c>
    </row>
    <row r="144" spans="1:14" ht="20.100000000000001" customHeight="1" x14ac:dyDescent="0.25">
      <c r="A144" s="39">
        <v>4</v>
      </c>
      <c r="B144" s="40" t="str">
        <f t="shared" si="34"/>
        <v>PPUR-04-GZ3</v>
      </c>
      <c r="C144" s="52" t="str">
        <f t="shared" si="35"/>
        <v>Poste de Purge n°04 GZ3</v>
      </c>
      <c r="D144" s="19">
        <v>32509</v>
      </c>
      <c r="E144" s="19">
        <v>32509</v>
      </c>
      <c r="F144" s="42"/>
      <c r="G144" s="42">
        <v>1</v>
      </c>
      <c r="H144" s="42"/>
      <c r="I144" s="42" t="s">
        <v>383</v>
      </c>
      <c r="J144" s="42" t="s">
        <v>2902</v>
      </c>
      <c r="K144" s="53">
        <f t="shared" si="30"/>
        <v>1048</v>
      </c>
      <c r="L144" s="44">
        <f t="shared" si="31"/>
        <v>143.887</v>
      </c>
      <c r="M144" s="64" t="s">
        <v>1945</v>
      </c>
      <c r="N144" s="52" t="str">
        <f t="shared" si="36"/>
        <v>(4,'PPUR-04-GZ3','Poste de Purge n°04 GZ3','1989-01-01','1989-01-01',,1,),</v>
      </c>
    </row>
    <row r="145" spans="1:14" ht="20.100000000000001" customHeight="1" x14ac:dyDescent="0.25">
      <c r="A145" s="39">
        <v>5</v>
      </c>
      <c r="B145" s="40" t="str">
        <f t="shared" si="34"/>
        <v>PPUR-05-GZ3</v>
      </c>
      <c r="C145" s="52" t="str">
        <f t="shared" si="35"/>
        <v>Poste de Purge n°05 GZ3</v>
      </c>
      <c r="D145" s="19">
        <v>32509</v>
      </c>
      <c r="E145" s="19">
        <v>32509</v>
      </c>
      <c r="F145" s="42"/>
      <c r="G145" s="42">
        <v>1</v>
      </c>
      <c r="H145" s="42"/>
      <c r="I145" s="42" t="s">
        <v>383</v>
      </c>
      <c r="J145" s="42" t="s">
        <v>2903</v>
      </c>
      <c r="K145" s="53">
        <f t="shared" si="30"/>
        <v>1192</v>
      </c>
      <c r="L145" s="44">
        <f t="shared" si="31"/>
        <v>156.268</v>
      </c>
      <c r="M145" s="64" t="s">
        <v>1945</v>
      </c>
      <c r="N145" s="52" t="str">
        <f t="shared" si="36"/>
        <v>(5,'PPUR-05-GZ3','Poste de Purge n°05 GZ3','1989-01-01','1989-01-01',,1,),</v>
      </c>
    </row>
    <row r="146" spans="1:14" ht="20.100000000000001" customHeight="1" x14ac:dyDescent="0.25">
      <c r="A146" s="39">
        <v>6</v>
      </c>
      <c r="B146" s="40" t="str">
        <f t="shared" si="34"/>
        <v>PPUR-06-GZ3</v>
      </c>
      <c r="C146" s="52" t="str">
        <f t="shared" si="35"/>
        <v>Poste de Purge n°06 GZ3</v>
      </c>
      <c r="D146" s="19">
        <v>32509</v>
      </c>
      <c r="E146" s="19">
        <v>32509</v>
      </c>
      <c r="F146" s="42"/>
      <c r="G146" s="42">
        <v>1</v>
      </c>
      <c r="H146" s="42"/>
      <c r="I146" s="42" t="s">
        <v>383</v>
      </c>
      <c r="J146" s="42" t="s">
        <v>2904</v>
      </c>
      <c r="K146" s="53">
        <f t="shared" si="30"/>
        <v>1238</v>
      </c>
      <c r="L146" s="44">
        <f t="shared" si="31"/>
        <v>168.69800000000001</v>
      </c>
      <c r="M146" s="64" t="s">
        <v>1945</v>
      </c>
      <c r="N146" s="52" t="str">
        <f t="shared" si="36"/>
        <v>(6,'PPUR-06-GZ3','Poste de Purge n°06 GZ3','1989-01-01','1989-01-01',,1,),</v>
      </c>
    </row>
    <row r="147" spans="1:14" ht="20.100000000000001" customHeight="1" x14ac:dyDescent="0.25">
      <c r="A147" s="39">
        <v>7</v>
      </c>
      <c r="B147" s="40" t="str">
        <f t="shared" si="34"/>
        <v>PPUR-07-GZ3</v>
      </c>
      <c r="C147" s="52" t="str">
        <f t="shared" si="35"/>
        <v>Poste de Purge n°07 GZ3</v>
      </c>
      <c r="D147" s="19">
        <v>32509</v>
      </c>
      <c r="E147" s="19">
        <v>32509</v>
      </c>
      <c r="F147" s="42"/>
      <c r="G147" s="42">
        <v>0</v>
      </c>
      <c r="H147" s="42"/>
      <c r="I147" s="42" t="s">
        <v>383</v>
      </c>
      <c r="J147" s="42" t="s">
        <v>2917</v>
      </c>
      <c r="K147" s="53">
        <f t="shared" si="30"/>
        <v>1096</v>
      </c>
      <c r="L147" s="44">
        <f t="shared" si="31"/>
        <v>187.76400000000001</v>
      </c>
      <c r="M147" s="64" t="s">
        <v>1945</v>
      </c>
      <c r="N147" s="52" t="str">
        <f t="shared" si="36"/>
        <v>(7,'PPUR-07-GZ3','Poste de Purge n°07 GZ3','1989-01-01','1989-01-01',,0,),</v>
      </c>
    </row>
    <row r="148" spans="1:14" ht="20.100000000000001" customHeight="1" x14ac:dyDescent="0.25">
      <c r="A148" s="39">
        <v>8</v>
      </c>
      <c r="B148" s="40" t="str">
        <f t="shared" si="34"/>
        <v>PPUR-08-GZ3</v>
      </c>
      <c r="C148" s="52" t="str">
        <f t="shared" si="35"/>
        <v>Poste de Purge n°08 GZ3</v>
      </c>
      <c r="D148" s="19">
        <v>32509</v>
      </c>
      <c r="E148" s="19">
        <v>32509</v>
      </c>
      <c r="F148" s="42"/>
      <c r="G148" s="42">
        <v>1</v>
      </c>
      <c r="H148" s="42"/>
      <c r="I148" s="42" t="s">
        <v>383</v>
      </c>
      <c r="J148" s="42" t="s">
        <v>2905</v>
      </c>
      <c r="K148" s="53">
        <f t="shared" si="30"/>
        <v>930</v>
      </c>
      <c r="L148" s="44">
        <f t="shared" si="31"/>
        <v>216.71199999999999</v>
      </c>
      <c r="M148" s="64" t="s">
        <v>3008</v>
      </c>
      <c r="N148" s="52" t="str">
        <f t="shared" si="36"/>
        <v>(8,'PPUR-08-GZ3','Poste de Purge n°08 GZ3','1989-01-01','1989-01-01',,1,),</v>
      </c>
    </row>
    <row r="149" spans="1:14" ht="20.100000000000001" customHeight="1" x14ac:dyDescent="0.25">
      <c r="A149" s="39">
        <v>9</v>
      </c>
      <c r="B149" s="40" t="str">
        <f t="shared" si="34"/>
        <v>PPUR-09-GZ3</v>
      </c>
      <c r="C149" s="52" t="str">
        <f t="shared" si="35"/>
        <v>Poste de Purge n°09 GZ3</v>
      </c>
      <c r="D149" s="19">
        <v>32509</v>
      </c>
      <c r="E149" s="19">
        <v>32509</v>
      </c>
      <c r="F149" s="42"/>
      <c r="G149" s="42">
        <v>1</v>
      </c>
      <c r="H149" s="42"/>
      <c r="I149" s="42" t="s">
        <v>383</v>
      </c>
      <c r="J149" s="42" t="s">
        <v>2906</v>
      </c>
      <c r="K149" s="53">
        <f t="shared" si="30"/>
        <v>954</v>
      </c>
      <c r="L149" s="44">
        <f t="shared" si="31"/>
        <v>236.23</v>
      </c>
      <c r="M149" s="64" t="s">
        <v>759</v>
      </c>
      <c r="N149" s="52" t="str">
        <f t="shared" si="36"/>
        <v>(9,'PPUR-09-GZ3','Poste de Purge n°09 GZ3','1989-01-01','1989-01-01',,1,),</v>
      </c>
    </row>
    <row r="150" spans="1:14" ht="20.100000000000001" customHeight="1" x14ac:dyDescent="0.25">
      <c r="A150" s="39">
        <v>10</v>
      </c>
      <c r="B150" s="40" t="str">
        <f t="shared" si="34"/>
        <v>PPUR-10-GZ3</v>
      </c>
      <c r="C150" s="52" t="str">
        <f t="shared" si="35"/>
        <v>Poste de Purge n°10 GZ3</v>
      </c>
      <c r="D150" s="19">
        <v>32509</v>
      </c>
      <c r="E150" s="19">
        <v>32509</v>
      </c>
      <c r="F150" s="42"/>
      <c r="G150" s="42">
        <v>1</v>
      </c>
      <c r="H150" s="42"/>
      <c r="I150" s="42" t="s">
        <v>383</v>
      </c>
      <c r="J150" s="42" t="s">
        <v>2907</v>
      </c>
      <c r="K150" s="53">
        <f t="shared" si="30"/>
        <v>1154</v>
      </c>
      <c r="L150" s="44">
        <f t="shared" si="31"/>
        <v>294.37700000000001</v>
      </c>
      <c r="M150" s="64" t="s">
        <v>1751</v>
      </c>
      <c r="N150" s="52" t="str">
        <f t="shared" si="36"/>
        <v>(10,'PPUR-10-GZ3','Poste de Purge n°10 GZ3','1989-01-01','1989-01-01',,1,),</v>
      </c>
    </row>
    <row r="151" spans="1:14" ht="20.100000000000001" customHeight="1" x14ac:dyDescent="0.25">
      <c r="A151" s="39">
        <v>11</v>
      </c>
      <c r="B151" s="40" t="str">
        <f t="shared" si="34"/>
        <v>PPUR-11-RGZ3</v>
      </c>
      <c r="C151" s="52" t="str">
        <f t="shared" si="35"/>
        <v>Poste de Purge n°11 RGZ3</v>
      </c>
      <c r="D151" s="19">
        <v>42736</v>
      </c>
      <c r="E151" s="19">
        <v>42736</v>
      </c>
      <c r="F151" s="42"/>
      <c r="G151" s="42">
        <v>1</v>
      </c>
      <c r="H151" s="42"/>
      <c r="I151" s="42" t="s">
        <v>1008</v>
      </c>
      <c r="J151" s="42" t="s">
        <v>2908</v>
      </c>
      <c r="K151" s="53">
        <f t="shared" si="30"/>
        <v>918</v>
      </c>
      <c r="L151" s="44">
        <f t="shared" si="31"/>
        <v>329.61</v>
      </c>
      <c r="M151" s="62" t="s">
        <v>805</v>
      </c>
      <c r="N151" s="52" t="str">
        <f t="shared" si="36"/>
        <v>(11,'PPUR-11-RGZ3','Poste de Purge n°11 RGZ3','2017-01-01','2017-01-01',,1,),</v>
      </c>
    </row>
    <row r="152" spans="1:14" ht="20.100000000000001" customHeight="1" x14ac:dyDescent="0.25">
      <c r="A152" s="39">
        <v>12</v>
      </c>
      <c r="B152" s="40" t="str">
        <f t="shared" si="34"/>
        <v>PPUR-12-RGZ3</v>
      </c>
      <c r="C152" s="52" t="str">
        <f t="shared" si="35"/>
        <v>Poste de Purge n°12 RGZ3</v>
      </c>
      <c r="D152" s="19">
        <v>42736</v>
      </c>
      <c r="E152" s="19">
        <v>42736</v>
      </c>
      <c r="F152" s="42"/>
      <c r="G152" s="42">
        <v>1</v>
      </c>
      <c r="H152" s="42"/>
      <c r="I152" s="42" t="s">
        <v>1008</v>
      </c>
      <c r="J152" s="42" t="s">
        <v>2909</v>
      </c>
      <c r="K152" s="53">
        <f t="shared" si="30"/>
        <v>676</v>
      </c>
      <c r="L152" s="44">
        <f t="shared" si="31"/>
        <v>350.08300000000003</v>
      </c>
      <c r="M152" s="42" t="s">
        <v>762</v>
      </c>
      <c r="N152" s="52" t="str">
        <f t="shared" si="36"/>
        <v>(12,'PPUR-12-RGZ3','Poste de Purge n°12 RGZ3','2017-01-01','2017-01-01',,1,),</v>
      </c>
    </row>
    <row r="153" spans="1:14" ht="20.100000000000001" customHeight="1" x14ac:dyDescent="0.25">
      <c r="A153" s="39">
        <v>13</v>
      </c>
      <c r="B153" s="40" t="str">
        <f t="shared" si="34"/>
        <v>PPUR-13-RGZ3</v>
      </c>
      <c r="C153" s="52" t="str">
        <f t="shared" si="35"/>
        <v>Poste de Purge n°13 RGZ3</v>
      </c>
      <c r="D153" s="19">
        <v>42736</v>
      </c>
      <c r="E153" s="19">
        <v>42736</v>
      </c>
      <c r="F153" s="42"/>
      <c r="G153" s="42">
        <v>1</v>
      </c>
      <c r="H153" s="42"/>
      <c r="I153" s="42" t="s">
        <v>1008</v>
      </c>
      <c r="J153" s="42" t="s">
        <v>2910</v>
      </c>
      <c r="K153" s="53">
        <f t="shared" si="30"/>
        <v>569</v>
      </c>
      <c r="L153" s="44">
        <f t="shared" si="31"/>
        <v>357.43400000000003</v>
      </c>
      <c r="M153" s="42" t="s">
        <v>3009</v>
      </c>
      <c r="N153" s="52" t="str">
        <f t="shared" si="36"/>
        <v>(13,'PPUR-13-RGZ3','Poste de Purge n°13 RGZ3','2017-01-01','2017-01-01',,1,),</v>
      </c>
    </row>
    <row r="154" spans="1:14" ht="20.100000000000001" customHeight="1" x14ac:dyDescent="0.25">
      <c r="A154" s="39">
        <v>14</v>
      </c>
      <c r="B154" s="40" t="str">
        <f t="shared" si="34"/>
        <v>PPUR-14-RGZ3</v>
      </c>
      <c r="C154" s="52" t="str">
        <f t="shared" si="35"/>
        <v>Poste de Purge n°14 RGZ3</v>
      </c>
      <c r="D154" s="19">
        <v>42736</v>
      </c>
      <c r="E154" s="19">
        <v>42736</v>
      </c>
      <c r="F154" s="42"/>
      <c r="G154" s="42">
        <v>1</v>
      </c>
      <c r="H154" s="42"/>
      <c r="I154" s="42" t="s">
        <v>1008</v>
      </c>
      <c r="J154" s="42" t="s">
        <v>2911</v>
      </c>
      <c r="K154" s="53">
        <f t="shared" si="30"/>
        <v>650</v>
      </c>
      <c r="L154" s="44">
        <f t="shared" si="31"/>
        <v>371.95600000000002</v>
      </c>
      <c r="M154" s="42" t="s">
        <v>763</v>
      </c>
      <c r="N154" s="52" t="str">
        <f t="shared" si="36"/>
        <v>(14,'PPUR-14-RGZ3','Poste de Purge n°14 RGZ3','2017-01-01','2017-01-01',,1,),</v>
      </c>
    </row>
    <row r="155" spans="1:14" ht="20.100000000000001" customHeight="1" x14ac:dyDescent="0.25">
      <c r="A155" s="39">
        <v>15</v>
      </c>
      <c r="B155" s="40" t="str">
        <f t="shared" si="34"/>
        <v>PPUR-15-RGZ3</v>
      </c>
      <c r="C155" s="52" t="str">
        <f t="shared" si="35"/>
        <v>Poste de Purge n°15 RGZ3</v>
      </c>
      <c r="D155" s="19">
        <v>43101</v>
      </c>
      <c r="E155" s="19">
        <v>43101</v>
      </c>
      <c r="F155" s="42"/>
      <c r="G155" s="42">
        <v>1</v>
      </c>
      <c r="H155" s="42"/>
      <c r="I155" s="42" t="s">
        <v>1008</v>
      </c>
      <c r="J155" s="42" t="s">
        <v>2912</v>
      </c>
      <c r="K155" s="53">
        <f t="shared" si="30"/>
        <v>499</v>
      </c>
      <c r="L155" s="44">
        <f t="shared" si="31"/>
        <v>393.39499999999998</v>
      </c>
      <c r="M155" s="42" t="s">
        <v>3010</v>
      </c>
      <c r="N155" s="52" t="str">
        <f t="shared" si="36"/>
        <v>(15,'PPUR-15-RGZ3','Poste de Purge n°15 RGZ3','2018-01-01','2018-01-01',,1,),</v>
      </c>
    </row>
    <row r="156" spans="1:14" ht="20.100000000000001" customHeight="1" x14ac:dyDescent="0.25">
      <c r="A156" s="39">
        <v>16</v>
      </c>
      <c r="B156" s="40" t="str">
        <f t="shared" si="34"/>
        <v>PPUR-16-RGZ3</v>
      </c>
      <c r="C156" s="52" t="str">
        <f t="shared" si="35"/>
        <v>Poste de Purge n°16 RGZ3</v>
      </c>
      <c r="D156" s="19">
        <v>43101</v>
      </c>
      <c r="E156" s="19">
        <v>43101</v>
      </c>
      <c r="F156" s="42"/>
      <c r="G156" s="42">
        <v>1</v>
      </c>
      <c r="H156" s="42"/>
      <c r="I156" s="42" t="s">
        <v>1008</v>
      </c>
      <c r="J156" s="42" t="s">
        <v>2913</v>
      </c>
      <c r="K156" s="53">
        <f t="shared" si="30"/>
        <v>114.22</v>
      </c>
      <c r="L156" s="44">
        <f t="shared" si="31"/>
        <v>423.98700000000002</v>
      </c>
      <c r="M156" s="42" t="s">
        <v>1754</v>
      </c>
      <c r="N156" s="52" t="str">
        <f t="shared" si="36"/>
        <v>(16,'PPUR-16-RGZ3','Poste de Purge n°16 RGZ3','2018-01-01','2018-01-01',,1,),</v>
      </c>
    </row>
    <row r="157" spans="1:14" ht="20.100000000000001" customHeight="1" x14ac:dyDescent="0.25">
      <c r="A157" s="39">
        <v>17</v>
      </c>
      <c r="B157" s="40" t="str">
        <f t="shared" si="34"/>
        <v>PPUR-17-RGZ3</v>
      </c>
      <c r="C157" s="52" t="str">
        <f t="shared" si="35"/>
        <v>Poste de Purge n°17 RGZ3</v>
      </c>
      <c r="D157" s="19">
        <v>43101</v>
      </c>
      <c r="E157" s="19">
        <v>43101</v>
      </c>
      <c r="F157" s="42"/>
      <c r="G157" s="42">
        <v>1</v>
      </c>
      <c r="H157" s="42"/>
      <c r="I157" s="42" t="s">
        <v>1008</v>
      </c>
      <c r="J157" s="42" t="s">
        <v>2914</v>
      </c>
      <c r="K157" s="53">
        <f t="shared" si="30"/>
        <v>234.6</v>
      </c>
      <c r="L157" s="44">
        <f t="shared" si="31"/>
        <v>454.24599999999998</v>
      </c>
      <c r="M157" s="42" t="s">
        <v>3011</v>
      </c>
      <c r="N157" s="52" t="str">
        <f t="shared" si="36"/>
        <v>(17,'PPUR-17-RGZ3','Poste de Purge n°17 RGZ3','2018-01-01','2018-01-01',,1,),</v>
      </c>
    </row>
    <row r="158" spans="1:14" ht="20.100000000000001" customHeight="1" x14ac:dyDescent="0.25">
      <c r="A158" s="39">
        <v>18</v>
      </c>
      <c r="B158" s="40" t="str">
        <f t="shared" si="34"/>
        <v>PPUR-18-RGZ3</v>
      </c>
      <c r="C158" s="52" t="str">
        <f t="shared" si="35"/>
        <v>Poste de Purge n°18 RGZ3</v>
      </c>
      <c r="D158" s="19">
        <v>43101</v>
      </c>
      <c r="E158" s="19">
        <v>43101</v>
      </c>
      <c r="F158" s="42"/>
      <c r="G158" s="42">
        <v>1</v>
      </c>
      <c r="H158" s="42"/>
      <c r="I158" s="42" t="s">
        <v>1008</v>
      </c>
      <c r="J158" s="42" t="s">
        <v>2915</v>
      </c>
      <c r="K158" s="53">
        <f t="shared" si="30"/>
        <v>113.54</v>
      </c>
      <c r="L158" s="44">
        <f t="shared" si="31"/>
        <v>460.54199999999997</v>
      </c>
      <c r="M158" s="42" t="s">
        <v>1756</v>
      </c>
      <c r="N158" s="52" t="str">
        <f t="shared" si="36"/>
        <v>(18,'PPUR-18-RGZ3','Poste de Purge n°18 RGZ3','2018-01-01','2018-01-01',,1,),</v>
      </c>
    </row>
    <row r="159" spans="1:14" ht="20.100000000000001" customHeight="1" x14ac:dyDescent="0.25">
      <c r="A159" s="39">
        <v>19</v>
      </c>
      <c r="B159" s="40" t="str">
        <f t="shared" si="34"/>
        <v>PPUR-19-RGZ3</v>
      </c>
      <c r="C159" s="52" t="str">
        <f t="shared" si="35"/>
        <v>Poste de Purge n°19 RGZ3</v>
      </c>
      <c r="D159" s="19">
        <v>43101</v>
      </c>
      <c r="E159" s="19">
        <v>43101</v>
      </c>
      <c r="F159" s="42"/>
      <c r="G159" s="42">
        <v>1</v>
      </c>
      <c r="H159" s="42"/>
      <c r="I159" s="42" t="s">
        <v>1008</v>
      </c>
      <c r="J159" s="42" t="s">
        <v>2916</v>
      </c>
      <c r="K159" s="53">
        <f t="shared" si="30"/>
        <v>13.66</v>
      </c>
      <c r="L159" s="44">
        <f t="shared" si="31"/>
        <v>504.18799999999999</v>
      </c>
      <c r="M159" s="42" t="s">
        <v>3012</v>
      </c>
      <c r="N159" s="52" t="str">
        <f t="shared" si="36"/>
        <v>(19,'PPUR-19-RGZ3','Poste de Purge n°19 RGZ3','2018-01-01','2018-01-01',,1,),</v>
      </c>
    </row>
    <row r="160" spans="1:14" ht="20.100000000000001" customHeight="1" x14ac:dyDescent="0.25">
      <c r="A160" s="39">
        <v>1</v>
      </c>
      <c r="B160" s="40" t="str">
        <f t="shared" si="34"/>
        <v>PPUR-01-GZ4</v>
      </c>
      <c r="C160" s="52" t="str">
        <f t="shared" si="35"/>
        <v>Poste de Purge n°01 GZ4</v>
      </c>
      <c r="D160" s="19">
        <v>39838</v>
      </c>
      <c r="E160" s="19">
        <v>39838</v>
      </c>
      <c r="F160" s="42"/>
      <c r="G160" s="42">
        <v>1</v>
      </c>
      <c r="H160" s="42"/>
      <c r="I160" s="42" t="s">
        <v>646</v>
      </c>
      <c r="J160" s="42" t="s">
        <v>2998</v>
      </c>
      <c r="K160" s="53">
        <f t="shared" ref="K160:K166" si="37">VALUE(RIGHT(J160,LEN(J160)-SEARCH("/",J160)))</f>
        <v>851.7</v>
      </c>
      <c r="L160" s="44">
        <f t="shared" ref="L160:L166" si="38">VALUE(SUBSTITUTE(LEFT(J160,SEARCH("/",J160)-1),"+",","))</f>
        <v>74</v>
      </c>
      <c r="M160" s="42" t="s">
        <v>799</v>
      </c>
      <c r="N160" s="52" t="str">
        <f t="shared" si="36"/>
        <v>(1,'PPUR-01-GZ4','Poste de Purge n°01 GZ4','2009-01-25','2009-01-25',,1,),</v>
      </c>
    </row>
    <row r="161" spans="1:14" ht="20.100000000000001" customHeight="1" x14ac:dyDescent="0.25">
      <c r="A161" s="39">
        <v>2</v>
      </c>
      <c r="B161" s="40" t="str">
        <f t="shared" si="34"/>
        <v>PPUR-02-GZ4</v>
      </c>
      <c r="C161" s="52" t="str">
        <f t="shared" si="35"/>
        <v>Poste de Purge n°02 GZ4</v>
      </c>
      <c r="D161" s="19">
        <v>39838</v>
      </c>
      <c r="E161" s="19">
        <v>39838</v>
      </c>
      <c r="F161" s="42"/>
      <c r="G161" s="42">
        <v>1</v>
      </c>
      <c r="H161" s="42"/>
      <c r="I161" s="42" t="s">
        <v>646</v>
      </c>
      <c r="J161" s="42" t="s">
        <v>2997</v>
      </c>
      <c r="K161" s="53">
        <f t="shared" si="37"/>
        <v>1047.5999999999999</v>
      </c>
      <c r="L161" s="44">
        <f t="shared" si="38"/>
        <v>143.69999999999999</v>
      </c>
      <c r="M161" s="42" t="s">
        <v>1945</v>
      </c>
      <c r="N161" s="52" t="str">
        <f t="shared" ref="N161:N194" si="39">CONCATENATE("(",A161,",'",B161,"','",C161,"','",TEXT(D161,"aaaa-mm-jj"),"','",TEXT(E161,"aaaa-mm-jj"),"',",F161,",",G161,",",H161,"),")</f>
        <v>(2,'PPUR-02-GZ4','Poste de Purge n°02 GZ4','2009-01-25','2009-01-25',,1,),</v>
      </c>
    </row>
    <row r="162" spans="1:14" ht="20.100000000000001" customHeight="1" x14ac:dyDescent="0.25">
      <c r="A162" s="39">
        <v>3</v>
      </c>
      <c r="B162" s="40" t="str">
        <f t="shared" si="34"/>
        <v>PPUR-03-GZ4</v>
      </c>
      <c r="C162" s="52" t="str">
        <f t="shared" si="35"/>
        <v>Poste de Purge n°03 GZ4</v>
      </c>
      <c r="D162" s="19">
        <v>39838</v>
      </c>
      <c r="E162" s="19">
        <v>39838</v>
      </c>
      <c r="F162" s="42"/>
      <c r="G162" s="42">
        <v>1</v>
      </c>
      <c r="H162" s="42"/>
      <c r="I162" s="42" t="s">
        <v>646</v>
      </c>
      <c r="J162" s="42" t="s">
        <v>2988</v>
      </c>
      <c r="K162" s="53">
        <f t="shared" si="37"/>
        <v>969</v>
      </c>
      <c r="L162" s="44">
        <f t="shared" si="38"/>
        <v>224.9</v>
      </c>
      <c r="M162" s="42" t="s">
        <v>2991</v>
      </c>
      <c r="N162" s="52" t="str">
        <f t="shared" si="39"/>
        <v>(3,'PPUR-03-GZ4','Poste de Purge n°03 GZ4','2009-01-25','2009-01-25',,1,),</v>
      </c>
    </row>
    <row r="163" spans="1:14" ht="20.100000000000001" customHeight="1" x14ac:dyDescent="0.25">
      <c r="A163" s="39">
        <v>4</v>
      </c>
      <c r="B163" s="40" t="str">
        <f t="shared" ref="B163:B166" si="40">CONCATENATE("PPUR-",TEXT(A163,"00"),"-",I163)</f>
        <v>PPUR-04-GZ4</v>
      </c>
      <c r="C163" s="52" t="str">
        <f t="shared" ref="C163:C166" si="41">CONCATENATE("Poste de Purge n°",TEXT(A163,"00")," ",I163)</f>
        <v>Poste de Purge n°04 GZ4</v>
      </c>
      <c r="D163" s="19">
        <v>39838</v>
      </c>
      <c r="E163" s="19">
        <v>39838</v>
      </c>
      <c r="F163" s="42"/>
      <c r="G163" s="42">
        <v>1</v>
      </c>
      <c r="H163" s="42"/>
      <c r="I163" s="42" t="s">
        <v>646</v>
      </c>
      <c r="J163" s="42" t="s">
        <v>2989</v>
      </c>
      <c r="K163" s="53">
        <f t="shared" si="37"/>
        <v>1287</v>
      </c>
      <c r="L163" s="44">
        <f t="shared" si="38"/>
        <v>297</v>
      </c>
      <c r="M163" s="42" t="s">
        <v>1751</v>
      </c>
      <c r="N163" s="52" t="str">
        <f t="shared" si="39"/>
        <v>(4,'PPUR-04-GZ4','Poste de Purge n°04 GZ4','2009-01-25','2009-01-25',,1,),</v>
      </c>
    </row>
    <row r="164" spans="1:14" ht="20.100000000000001" customHeight="1" x14ac:dyDescent="0.25">
      <c r="A164" s="39">
        <v>5</v>
      </c>
      <c r="B164" s="40" t="str">
        <f t="shared" si="40"/>
        <v>PPUR-05-GZ4</v>
      </c>
      <c r="C164" s="52" t="str">
        <f t="shared" si="41"/>
        <v>Poste de Purge n°05 GZ4</v>
      </c>
      <c r="D164" s="19">
        <v>39838</v>
      </c>
      <c r="E164" s="19">
        <v>39838</v>
      </c>
      <c r="F164" s="42"/>
      <c r="G164" s="42">
        <v>1</v>
      </c>
      <c r="H164" s="42"/>
      <c r="I164" s="42" t="s">
        <v>646</v>
      </c>
      <c r="J164" s="42" t="s">
        <v>2995</v>
      </c>
      <c r="K164" s="53">
        <f t="shared" si="37"/>
        <v>498.4</v>
      </c>
      <c r="L164" s="44">
        <f t="shared" si="38"/>
        <v>399.68299999999999</v>
      </c>
      <c r="M164" s="42" t="s">
        <v>2992</v>
      </c>
      <c r="N164" s="52" t="str">
        <f t="shared" si="39"/>
        <v>(5,'PPUR-05-GZ4','Poste de Purge n°05 GZ4','2009-01-25','2009-01-25',,1,),</v>
      </c>
    </row>
    <row r="165" spans="1:14" ht="20.100000000000001" customHeight="1" x14ac:dyDescent="0.25">
      <c r="A165" s="39">
        <v>6</v>
      </c>
      <c r="B165" s="40" t="str">
        <f t="shared" si="40"/>
        <v>PPUR-06-GZ4</v>
      </c>
      <c r="C165" s="52" t="str">
        <f t="shared" si="41"/>
        <v>Poste de Purge n°06 GZ4</v>
      </c>
      <c r="D165" s="19">
        <v>39838</v>
      </c>
      <c r="E165" s="19">
        <v>39838</v>
      </c>
      <c r="F165" s="42"/>
      <c r="G165" s="42">
        <v>1</v>
      </c>
      <c r="H165" s="42"/>
      <c r="I165" s="42" t="s">
        <v>646</v>
      </c>
      <c r="J165" s="42" t="s">
        <v>2990</v>
      </c>
      <c r="K165" s="53">
        <f t="shared" si="37"/>
        <v>61</v>
      </c>
      <c r="L165" s="44">
        <f t="shared" si="38"/>
        <v>503.57799999999997</v>
      </c>
      <c r="M165" s="42" t="s">
        <v>2993</v>
      </c>
      <c r="N165" s="52" t="str">
        <f t="shared" si="39"/>
        <v>(6,'PPUR-06-GZ4','Poste de Purge n°06 GZ4','2009-01-25','2009-01-25',,1,),</v>
      </c>
    </row>
    <row r="166" spans="1:14" ht="20.100000000000001" customHeight="1" x14ac:dyDescent="0.25">
      <c r="A166" s="39">
        <v>7</v>
      </c>
      <c r="B166" s="40" t="str">
        <f t="shared" si="40"/>
        <v>PPUR-07-GZ4</v>
      </c>
      <c r="C166" s="52" t="str">
        <f t="shared" si="41"/>
        <v>Poste de Purge n°07 GZ4</v>
      </c>
      <c r="D166" s="19">
        <v>39838</v>
      </c>
      <c r="E166" s="19">
        <v>39838</v>
      </c>
      <c r="F166" s="42"/>
      <c r="G166" s="42">
        <v>1</v>
      </c>
      <c r="H166" s="42"/>
      <c r="I166" s="42" t="s">
        <v>646</v>
      </c>
      <c r="J166" s="42" t="s">
        <v>2996</v>
      </c>
      <c r="K166" s="53">
        <f t="shared" si="37"/>
        <v>114.54</v>
      </c>
      <c r="L166" s="44">
        <f t="shared" si="38"/>
        <v>55.4</v>
      </c>
      <c r="M166" s="42" t="s">
        <v>2994</v>
      </c>
      <c r="N166" s="52" t="str">
        <f t="shared" si="39"/>
        <v>(7,'PPUR-07-GZ4','Poste de Purge n°07 GZ4','2009-01-25','2009-01-25',,1,),</v>
      </c>
    </row>
    <row r="167" spans="1:14" ht="20.100000000000001" customHeight="1" x14ac:dyDescent="0.25">
      <c r="A167" s="39"/>
      <c r="B167" s="40"/>
      <c r="C167" s="5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52" t="str">
        <f t="shared" si="39"/>
        <v>(,'','','1900-01-00','1900-01-00',,,),</v>
      </c>
    </row>
    <row r="168" spans="1:14" ht="20.100000000000001" customHeight="1" x14ac:dyDescent="0.25">
      <c r="A168" s="39"/>
      <c r="B168" s="40"/>
      <c r="C168" s="5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52" t="str">
        <f t="shared" si="39"/>
        <v>(,'','','1900-01-00','1900-01-00',,,),</v>
      </c>
    </row>
    <row r="169" spans="1:14" ht="20.100000000000001" customHeight="1" x14ac:dyDescent="0.25">
      <c r="A169" s="39"/>
      <c r="B169" s="40"/>
      <c r="C169" s="52"/>
      <c r="D169" s="19"/>
      <c r="E169" s="19"/>
      <c r="F169" s="42"/>
      <c r="G169" s="42"/>
      <c r="H169" s="42"/>
      <c r="I169" s="42"/>
      <c r="J169" s="42"/>
      <c r="K169" s="42"/>
      <c r="L169" s="42"/>
      <c r="M169" s="42"/>
      <c r="N169" s="52" t="str">
        <f t="shared" si="39"/>
        <v>(,'','','1900-01-00','1900-01-00',,,),</v>
      </c>
    </row>
    <row r="170" spans="1:14" ht="20.100000000000001" customHeight="1" x14ac:dyDescent="0.25">
      <c r="A170" s="39"/>
      <c r="B170" s="40"/>
      <c r="C170" s="52"/>
      <c r="D170" s="19"/>
      <c r="E170" s="19"/>
      <c r="F170" s="42"/>
      <c r="G170" s="42"/>
      <c r="H170" s="42"/>
      <c r="I170" s="42"/>
      <c r="J170" s="42"/>
      <c r="K170" s="42"/>
      <c r="L170" s="42"/>
      <c r="M170" s="42"/>
      <c r="N170" s="52" t="str">
        <f t="shared" si="39"/>
        <v>(,'','','1900-01-00','1900-01-00',,,),</v>
      </c>
    </row>
    <row r="171" spans="1:14" ht="20.100000000000001" customHeight="1" x14ac:dyDescent="0.25">
      <c r="A171" s="39"/>
      <c r="B171" s="40"/>
      <c r="C171" s="52"/>
      <c r="D171" s="19"/>
      <c r="E171" s="19"/>
      <c r="F171" s="42"/>
      <c r="G171" s="42"/>
      <c r="H171" s="42"/>
      <c r="I171" s="42"/>
      <c r="J171" s="42"/>
      <c r="K171" s="42"/>
      <c r="L171" s="42"/>
      <c r="M171" s="42"/>
      <c r="N171" s="52" t="str">
        <f t="shared" si="39"/>
        <v>(,'','','1900-01-00','1900-01-00',,,),</v>
      </c>
    </row>
    <row r="172" spans="1:14" ht="20.100000000000001" customHeight="1" x14ac:dyDescent="0.25">
      <c r="A172" s="39"/>
      <c r="B172" s="40"/>
      <c r="C172" s="5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52" t="str">
        <f t="shared" si="39"/>
        <v>(,'','','1900-01-00','1900-01-00',,,),</v>
      </c>
    </row>
    <row r="173" spans="1:14" ht="20.100000000000001" customHeight="1" x14ac:dyDescent="0.25">
      <c r="A173" s="39"/>
      <c r="B173" s="40"/>
      <c r="C173" s="52"/>
      <c r="D173" s="19"/>
      <c r="E173" s="19"/>
      <c r="F173" s="42"/>
      <c r="G173" s="42"/>
      <c r="H173" s="42"/>
      <c r="I173" s="42"/>
      <c r="J173" s="42"/>
      <c r="K173" s="42"/>
      <c r="L173" s="42"/>
      <c r="M173" s="42"/>
      <c r="N173" s="52" t="str">
        <f t="shared" si="39"/>
        <v>(,'','','1900-01-00','1900-01-00',,,),</v>
      </c>
    </row>
    <row r="174" spans="1:14" ht="20.100000000000001" customHeight="1" x14ac:dyDescent="0.25">
      <c r="A174" s="39"/>
      <c r="B174" s="40"/>
      <c r="C174" s="52"/>
      <c r="D174" s="19"/>
      <c r="E174" s="19"/>
      <c r="F174" s="42"/>
      <c r="G174" s="42"/>
      <c r="H174" s="42"/>
      <c r="I174" s="42"/>
      <c r="J174" s="42"/>
      <c r="K174" s="42"/>
      <c r="L174" s="42"/>
      <c r="M174" s="42"/>
      <c r="N174" s="52" t="str">
        <f t="shared" si="39"/>
        <v>(,'','','1900-01-00','1900-01-00',,,),</v>
      </c>
    </row>
    <row r="175" spans="1:14" ht="20.100000000000001" customHeight="1" x14ac:dyDescent="0.25">
      <c r="A175" s="39"/>
      <c r="B175" s="48"/>
      <c r="C175" s="52"/>
      <c r="D175" s="19"/>
      <c r="E175" s="19"/>
      <c r="F175" s="42"/>
      <c r="G175" s="42"/>
      <c r="H175" s="42"/>
      <c r="I175" s="42"/>
      <c r="J175" s="42"/>
      <c r="K175" s="42"/>
      <c r="L175" s="42"/>
      <c r="M175" s="42"/>
      <c r="N175" s="52" t="str">
        <f t="shared" si="39"/>
        <v>(,'','','1900-01-00','1900-01-00',,,),</v>
      </c>
    </row>
    <row r="176" spans="1:14" ht="20.100000000000001" customHeight="1" x14ac:dyDescent="0.25">
      <c r="A176" s="39"/>
      <c r="B176" s="40"/>
      <c r="C176" s="52"/>
      <c r="D176" s="19"/>
      <c r="E176" s="19"/>
      <c r="F176" s="42"/>
      <c r="G176" s="42"/>
      <c r="H176" s="42"/>
      <c r="I176" s="42"/>
      <c r="J176" s="42"/>
      <c r="K176" s="42"/>
      <c r="L176" s="42"/>
      <c r="M176" s="42"/>
      <c r="N176" s="52" t="str">
        <f t="shared" si="39"/>
        <v>(,'','','1900-01-00','1900-01-00',,,),</v>
      </c>
    </row>
    <row r="177" spans="1:14" ht="20.100000000000001" customHeight="1" x14ac:dyDescent="0.25">
      <c r="A177" s="39"/>
      <c r="B177" s="40"/>
      <c r="C177" s="52"/>
      <c r="D177" s="19"/>
      <c r="E177" s="19"/>
      <c r="F177" s="42"/>
      <c r="G177" s="42"/>
      <c r="H177" s="42"/>
      <c r="I177" s="42"/>
      <c r="J177" s="42"/>
      <c r="K177" s="42"/>
      <c r="L177" s="42"/>
      <c r="M177" s="42"/>
      <c r="N177" s="52" t="str">
        <f t="shared" si="39"/>
        <v>(,'','','1900-01-00','1900-01-00',,,),</v>
      </c>
    </row>
    <row r="178" spans="1:14" ht="20.100000000000001" customHeight="1" x14ac:dyDescent="0.25">
      <c r="A178" s="39"/>
      <c r="B178" s="40"/>
      <c r="C178" s="52"/>
      <c r="D178" s="19"/>
      <c r="E178" s="19"/>
      <c r="F178" s="42"/>
      <c r="G178" s="42"/>
      <c r="H178" s="42"/>
      <c r="I178" s="42"/>
      <c r="J178" s="42"/>
      <c r="K178" s="42"/>
      <c r="L178" s="42"/>
      <c r="M178" s="42"/>
      <c r="N178" s="52" t="str">
        <f t="shared" si="39"/>
        <v>(,'','','1900-01-00','1900-01-00',,,),</v>
      </c>
    </row>
    <row r="179" spans="1:14" ht="20.100000000000001" customHeight="1" x14ac:dyDescent="0.25">
      <c r="A179" s="39"/>
      <c r="B179" s="40"/>
      <c r="C179" s="52"/>
      <c r="D179" s="19"/>
      <c r="E179" s="19"/>
      <c r="F179" s="42"/>
      <c r="G179" s="42"/>
      <c r="H179" s="42"/>
      <c r="I179" s="42"/>
      <c r="J179" s="42"/>
      <c r="K179" s="42"/>
      <c r="L179" s="42"/>
      <c r="M179" s="42"/>
      <c r="N179" s="52" t="str">
        <f t="shared" si="39"/>
        <v>(,'','','1900-01-00','1900-01-00',,,),</v>
      </c>
    </row>
    <row r="180" spans="1:14" ht="20.100000000000001" customHeight="1" x14ac:dyDescent="0.25">
      <c r="A180" s="39"/>
      <c r="B180" s="40"/>
      <c r="C180" s="52"/>
      <c r="D180" s="19"/>
      <c r="E180" s="19"/>
      <c r="F180" s="42"/>
      <c r="G180" s="42"/>
      <c r="H180" s="42"/>
      <c r="I180" s="42"/>
      <c r="J180" s="42"/>
      <c r="K180" s="42"/>
      <c r="L180" s="42"/>
      <c r="M180" s="42"/>
      <c r="N180" s="52" t="str">
        <f t="shared" si="39"/>
        <v>(,'','','1900-01-00','1900-01-00',,,),</v>
      </c>
    </row>
    <row r="181" spans="1:14" ht="20.100000000000001" customHeight="1" x14ac:dyDescent="0.25">
      <c r="A181" s="39"/>
      <c r="B181" s="40"/>
      <c r="C181" s="52"/>
      <c r="D181" s="19"/>
      <c r="E181" s="19"/>
      <c r="F181" s="42"/>
      <c r="G181" s="42"/>
      <c r="H181" s="42"/>
      <c r="I181" s="42"/>
      <c r="J181" s="42"/>
      <c r="K181" s="42"/>
      <c r="L181" s="42"/>
      <c r="M181" s="42"/>
      <c r="N181" s="52" t="str">
        <f t="shared" si="39"/>
        <v>(,'','','1900-01-00','1900-01-00',,,),</v>
      </c>
    </row>
    <row r="182" spans="1:14" ht="20.100000000000001" customHeight="1" x14ac:dyDescent="0.25">
      <c r="A182" s="39"/>
      <c r="B182" s="40"/>
      <c r="C182" s="52"/>
      <c r="D182" s="19"/>
      <c r="E182" s="19"/>
      <c r="F182" s="42"/>
      <c r="G182" s="42"/>
      <c r="H182" s="42"/>
      <c r="I182" s="42"/>
      <c r="J182" s="42"/>
      <c r="K182" s="42"/>
      <c r="L182" s="42"/>
      <c r="M182" s="42"/>
      <c r="N182" s="52" t="str">
        <f t="shared" si="39"/>
        <v>(,'','','1900-01-00','1900-01-00',,,),</v>
      </c>
    </row>
    <row r="183" spans="1:14" ht="20.100000000000001" customHeight="1" x14ac:dyDescent="0.25">
      <c r="A183" s="39"/>
      <c r="B183" s="40"/>
      <c r="C183" s="52"/>
      <c r="D183" s="19"/>
      <c r="E183" s="19"/>
      <c r="F183" s="42"/>
      <c r="G183" s="42"/>
      <c r="H183" s="42"/>
      <c r="I183" s="42"/>
      <c r="J183" s="42"/>
      <c r="K183" s="42"/>
      <c r="L183" s="42"/>
      <c r="M183" s="42"/>
      <c r="N183" s="52" t="str">
        <f t="shared" si="39"/>
        <v>(,'','','1900-01-00','1900-01-00',,,),</v>
      </c>
    </row>
    <row r="184" spans="1:14" ht="20.100000000000001" customHeight="1" x14ac:dyDescent="0.25">
      <c r="A184" s="39"/>
      <c r="B184" s="40"/>
      <c r="C184" s="52"/>
      <c r="D184" s="19"/>
      <c r="E184" s="19"/>
      <c r="F184" s="42"/>
      <c r="G184" s="42"/>
      <c r="H184" s="42"/>
      <c r="I184" s="42"/>
      <c r="J184" s="42"/>
      <c r="K184" s="42"/>
      <c r="L184" s="42"/>
      <c r="M184" s="42"/>
      <c r="N184" s="52" t="str">
        <f t="shared" si="39"/>
        <v>(,'','','1900-01-00','1900-01-00',,,),</v>
      </c>
    </row>
    <row r="185" spans="1:14" ht="20.100000000000001" customHeight="1" x14ac:dyDescent="0.25">
      <c r="A185" s="39"/>
      <c r="B185" s="40"/>
      <c r="C185" s="52"/>
      <c r="D185" s="19"/>
      <c r="E185" s="19"/>
      <c r="F185" s="42"/>
      <c r="G185" s="42"/>
      <c r="H185" s="42"/>
      <c r="I185" s="42"/>
      <c r="J185" s="42"/>
      <c r="K185" s="42"/>
      <c r="L185" s="42"/>
      <c r="M185" s="42"/>
      <c r="N185" s="52" t="str">
        <f t="shared" si="39"/>
        <v>(,'','','1900-01-00','1900-01-00',,,),</v>
      </c>
    </row>
    <row r="186" spans="1:14" ht="20.100000000000001" customHeight="1" x14ac:dyDescent="0.25">
      <c r="A186" s="39"/>
      <c r="B186" s="40"/>
      <c r="C186" s="52"/>
      <c r="D186" s="19"/>
      <c r="E186" s="19"/>
      <c r="F186" s="42"/>
      <c r="G186" s="42"/>
      <c r="H186" s="42"/>
      <c r="I186" s="42"/>
      <c r="J186" s="42"/>
      <c r="K186" s="42"/>
      <c r="L186" s="42"/>
      <c r="M186" s="42"/>
      <c r="N186" s="52" t="str">
        <f t="shared" si="39"/>
        <v>(,'','','1900-01-00','1900-01-00',,,),</v>
      </c>
    </row>
    <row r="187" spans="1:14" ht="20.100000000000001" customHeight="1" x14ac:dyDescent="0.25">
      <c r="A187" s="39"/>
      <c r="B187" s="40"/>
      <c r="C187" s="52"/>
      <c r="D187" s="19"/>
      <c r="E187" s="19"/>
      <c r="F187" s="42"/>
      <c r="G187" s="42"/>
      <c r="H187" s="42"/>
      <c r="I187" s="42"/>
      <c r="J187" s="42"/>
      <c r="K187" s="42"/>
      <c r="L187" s="42"/>
      <c r="M187" s="42"/>
      <c r="N187" s="52" t="str">
        <f t="shared" si="39"/>
        <v>(,'','','1900-01-00','1900-01-00',,,),</v>
      </c>
    </row>
    <row r="188" spans="1:14" ht="20.100000000000001" customHeight="1" x14ac:dyDescent="0.25">
      <c r="A188" s="39"/>
      <c r="B188" s="40"/>
      <c r="C188" s="52"/>
      <c r="D188" s="19"/>
      <c r="E188" s="19"/>
      <c r="F188" s="42"/>
      <c r="G188" s="42"/>
      <c r="H188" s="42"/>
      <c r="I188" s="42"/>
      <c r="J188" s="42"/>
      <c r="K188" s="42"/>
      <c r="L188" s="42"/>
      <c r="M188" s="42"/>
      <c r="N188" s="52" t="str">
        <f t="shared" si="39"/>
        <v>(,'','','1900-01-00','1900-01-00',,,),</v>
      </c>
    </row>
    <row r="189" spans="1:14" ht="20.100000000000001" customHeight="1" x14ac:dyDescent="0.25">
      <c r="A189" s="39"/>
      <c r="B189" s="40"/>
      <c r="C189" s="52"/>
      <c r="D189" s="19"/>
      <c r="E189" s="19"/>
      <c r="F189" s="42"/>
      <c r="G189" s="42"/>
      <c r="H189" s="42"/>
      <c r="I189" s="42"/>
      <c r="J189" s="42"/>
      <c r="K189" s="42"/>
      <c r="L189" s="42"/>
      <c r="M189" s="42"/>
      <c r="N189" s="52" t="str">
        <f t="shared" si="39"/>
        <v>(,'','','1900-01-00','1900-01-00',,,),</v>
      </c>
    </row>
    <row r="190" spans="1:14" ht="20.100000000000001" customHeight="1" x14ac:dyDescent="0.25">
      <c r="A190" s="39"/>
      <c r="B190" s="40"/>
      <c r="C190" s="52"/>
      <c r="D190" s="19"/>
      <c r="E190" s="42"/>
      <c r="F190" s="42"/>
      <c r="G190" s="42"/>
      <c r="H190" s="42"/>
      <c r="I190" s="42"/>
      <c r="J190" s="42"/>
      <c r="K190" s="42"/>
      <c r="L190" s="42"/>
      <c r="M190" s="42"/>
      <c r="N190" s="52" t="str">
        <f t="shared" si="39"/>
        <v>(,'','','1900-01-00','1900-01-00',,,),</v>
      </c>
    </row>
    <row r="191" spans="1:14" ht="20.100000000000001" customHeight="1" x14ac:dyDescent="0.25">
      <c r="A191" s="39"/>
      <c r="B191" s="40"/>
      <c r="C191" s="52"/>
      <c r="D191" s="19"/>
      <c r="E191" s="42"/>
      <c r="F191" s="42"/>
      <c r="G191" s="42"/>
      <c r="H191" s="42"/>
      <c r="I191" s="42"/>
      <c r="J191" s="42"/>
      <c r="K191" s="42"/>
      <c r="L191" s="42"/>
      <c r="M191" s="42"/>
      <c r="N191" s="52" t="str">
        <f t="shared" si="39"/>
        <v>(,'','','1900-01-00','1900-01-00',,,),</v>
      </c>
    </row>
    <row r="192" spans="1:14" ht="20.100000000000001" customHeight="1" x14ac:dyDescent="0.25">
      <c r="A192" s="39"/>
      <c r="B192" s="40"/>
      <c r="C192" s="52"/>
      <c r="D192" s="19"/>
      <c r="E192" s="19"/>
      <c r="F192" s="42"/>
      <c r="G192" s="42"/>
      <c r="H192" s="42"/>
      <c r="I192" s="42"/>
      <c r="J192" s="42"/>
      <c r="K192" s="42"/>
      <c r="L192" s="42"/>
      <c r="M192" s="42"/>
      <c r="N192" s="52" t="str">
        <f t="shared" si="39"/>
        <v>(,'','','1900-01-00','1900-01-00',,,),</v>
      </c>
    </row>
    <row r="193" spans="1:14" ht="20.100000000000001" customHeight="1" x14ac:dyDescent="0.25">
      <c r="A193" s="39"/>
      <c r="B193" s="40"/>
      <c r="C193" s="52"/>
      <c r="D193" s="19"/>
      <c r="E193" s="42"/>
      <c r="F193" s="42"/>
      <c r="G193" s="42"/>
      <c r="H193" s="42"/>
      <c r="I193" s="42"/>
      <c r="J193" s="42"/>
      <c r="K193" s="42"/>
      <c r="L193" s="42"/>
      <c r="M193" s="42"/>
      <c r="N193" s="52" t="str">
        <f t="shared" si="39"/>
        <v>(,'','','1900-01-00','1900-01-00',,,),</v>
      </c>
    </row>
    <row r="194" spans="1:14" ht="20.100000000000001" customHeight="1" x14ac:dyDescent="0.25">
      <c r="A194" s="39"/>
      <c r="B194" s="40"/>
      <c r="C194" s="52"/>
      <c r="D194" s="19"/>
      <c r="E194" s="42"/>
      <c r="F194" s="42"/>
      <c r="G194" s="42"/>
      <c r="H194" s="42"/>
      <c r="I194" s="42"/>
      <c r="J194" s="42"/>
      <c r="K194" s="42"/>
      <c r="L194" s="42"/>
      <c r="M194" s="42"/>
      <c r="N194" s="52" t="str">
        <f t="shared" si="39"/>
        <v>(,'','','1900-01-00','1900-01-00',,,),</v>
      </c>
    </row>
    <row r="195" spans="1:14" ht="20.100000000000001" customHeight="1" x14ac:dyDescent="0.25">
      <c r="A195" s="39"/>
      <c r="B195" s="40"/>
      <c r="C195" s="52"/>
      <c r="D195" s="19"/>
      <c r="E195" s="42"/>
      <c r="F195" s="42"/>
      <c r="G195" s="42"/>
      <c r="H195" s="42"/>
      <c r="I195" s="42"/>
      <c r="J195" s="42"/>
      <c r="K195" s="42"/>
      <c r="L195" s="42"/>
      <c r="M195" s="42"/>
      <c r="N195" s="52" t="str">
        <f t="shared" ref="N195:N237" si="42">CONCATENATE("(",A195,",'",B195,"','",C195,"','",TEXT(D195,"aaaa-mm-jj"),"','",TEXT(E195,"aaaa-mm-jj"),"',",F195,",",G195,",",H195,"),")</f>
        <v>(,'','','1900-01-00','1900-01-00',,,),</v>
      </c>
    </row>
    <row r="196" spans="1:14" ht="20.100000000000001" customHeight="1" x14ac:dyDescent="0.25">
      <c r="A196" s="39"/>
      <c r="B196" s="40"/>
      <c r="C196" s="52"/>
      <c r="D196" s="19"/>
      <c r="E196" s="19"/>
      <c r="F196" s="42"/>
      <c r="G196" s="42"/>
      <c r="H196" s="42"/>
      <c r="I196" s="42"/>
      <c r="J196" s="42"/>
      <c r="K196" s="42"/>
      <c r="L196" s="42"/>
      <c r="M196" s="42"/>
      <c r="N196" s="52" t="str">
        <f t="shared" si="42"/>
        <v>(,'','','1900-01-00','1900-01-00',,,),</v>
      </c>
    </row>
    <row r="197" spans="1:14" ht="20.100000000000001" customHeight="1" x14ac:dyDescent="0.25">
      <c r="A197" s="39"/>
      <c r="B197" s="40"/>
      <c r="C197" s="52"/>
      <c r="D197" s="19"/>
      <c r="E197" s="42"/>
      <c r="F197" s="42"/>
      <c r="G197" s="42"/>
      <c r="H197" s="42"/>
      <c r="I197" s="42"/>
      <c r="J197" s="42"/>
      <c r="K197" s="42"/>
      <c r="L197" s="42"/>
      <c r="M197" s="42"/>
      <c r="N197" s="52" t="str">
        <f t="shared" si="42"/>
        <v>(,'','','1900-01-00','1900-01-00',,,),</v>
      </c>
    </row>
    <row r="198" spans="1:14" ht="20.100000000000001" customHeight="1" x14ac:dyDescent="0.25">
      <c r="A198" s="39"/>
      <c r="B198" s="40"/>
      <c r="C198" s="52"/>
      <c r="D198" s="19"/>
      <c r="E198" s="42"/>
      <c r="F198" s="42"/>
      <c r="G198" s="42"/>
      <c r="H198" s="42"/>
      <c r="I198" s="42"/>
      <c r="J198" s="42"/>
      <c r="K198" s="42"/>
      <c r="L198" s="42"/>
      <c r="M198" s="42"/>
      <c r="N198" s="52" t="str">
        <f t="shared" si="42"/>
        <v>(,'','','1900-01-00','1900-01-00',,,),</v>
      </c>
    </row>
    <row r="199" spans="1:14" ht="20.100000000000001" customHeight="1" x14ac:dyDescent="0.25">
      <c r="A199" s="39"/>
      <c r="B199" s="40"/>
      <c r="C199" s="52"/>
      <c r="D199" s="19"/>
      <c r="E199" s="19"/>
      <c r="F199" s="42"/>
      <c r="G199" s="42"/>
      <c r="H199" s="42"/>
      <c r="I199" s="42"/>
      <c r="J199" s="42"/>
      <c r="K199" s="42"/>
      <c r="L199" s="42"/>
      <c r="M199" s="42"/>
      <c r="N199" s="52" t="str">
        <f t="shared" si="42"/>
        <v>(,'','','1900-01-00','1900-01-00',,,),</v>
      </c>
    </row>
    <row r="200" spans="1:14" ht="20.100000000000001" customHeight="1" x14ac:dyDescent="0.25">
      <c r="A200" s="39"/>
      <c r="B200" s="40"/>
      <c r="C200" s="52"/>
      <c r="D200" s="19"/>
      <c r="E200" s="19"/>
      <c r="F200" s="42"/>
      <c r="G200" s="42"/>
      <c r="H200" s="42"/>
      <c r="I200" s="42"/>
      <c r="J200" s="42"/>
      <c r="K200" s="42"/>
      <c r="L200" s="42"/>
      <c r="M200" s="42"/>
      <c r="N200" s="52" t="str">
        <f t="shared" si="42"/>
        <v>(,'','','1900-01-00','1900-01-00',,,),</v>
      </c>
    </row>
    <row r="201" spans="1:14" ht="20.100000000000001" customHeight="1" x14ac:dyDescent="0.25">
      <c r="A201" s="39"/>
      <c r="B201" s="40"/>
      <c r="C201" s="52"/>
      <c r="D201" s="19"/>
      <c r="E201" s="19"/>
      <c r="F201" s="42"/>
      <c r="G201" s="42"/>
      <c r="H201" s="42"/>
      <c r="I201" s="42"/>
      <c r="J201" s="42"/>
      <c r="K201" s="42"/>
      <c r="L201" s="42"/>
      <c r="M201" s="42"/>
      <c r="N201" s="52" t="str">
        <f t="shared" si="42"/>
        <v>(,'','','1900-01-00','1900-01-00',,,),</v>
      </c>
    </row>
    <row r="202" spans="1:14" ht="20.100000000000001" customHeight="1" x14ac:dyDescent="0.25">
      <c r="A202" s="39"/>
      <c r="B202" s="40"/>
      <c r="C202" s="52"/>
      <c r="D202" s="19"/>
      <c r="E202" s="19"/>
      <c r="F202" s="42"/>
      <c r="G202" s="42"/>
      <c r="H202" s="42"/>
      <c r="I202" s="42"/>
      <c r="J202" s="42"/>
      <c r="K202" s="42"/>
      <c r="L202" s="42"/>
      <c r="M202" s="42"/>
      <c r="N202" s="52" t="str">
        <f t="shared" si="42"/>
        <v>(,'','','1900-01-00','1900-01-00',,,),</v>
      </c>
    </row>
    <row r="203" spans="1:14" ht="20.100000000000001" customHeight="1" x14ac:dyDescent="0.25">
      <c r="A203" s="39"/>
      <c r="B203" s="40"/>
      <c r="C203" s="52"/>
      <c r="D203" s="19"/>
      <c r="E203" s="19"/>
      <c r="F203" s="42"/>
      <c r="G203" s="42"/>
      <c r="H203" s="42"/>
      <c r="I203" s="42"/>
      <c r="J203" s="42"/>
      <c r="K203" s="42"/>
      <c r="L203" s="42"/>
      <c r="M203" s="42"/>
      <c r="N203" s="52" t="str">
        <f t="shared" si="42"/>
        <v>(,'','','1900-01-00','1900-01-00',,,),</v>
      </c>
    </row>
    <row r="204" spans="1:14" ht="20.100000000000001" customHeight="1" x14ac:dyDescent="0.25">
      <c r="A204" s="39"/>
      <c r="B204" s="40"/>
      <c r="C204" s="52"/>
      <c r="D204" s="19"/>
      <c r="E204" s="19"/>
      <c r="F204" s="42"/>
      <c r="G204" s="42"/>
      <c r="H204" s="42"/>
      <c r="I204" s="42"/>
      <c r="J204" s="42"/>
      <c r="K204" s="42"/>
      <c r="L204" s="42"/>
      <c r="M204" s="42"/>
      <c r="N204" s="52" t="str">
        <f t="shared" si="42"/>
        <v>(,'','','1900-01-00','1900-01-00',,,),</v>
      </c>
    </row>
    <row r="205" spans="1:14" ht="20.100000000000001" customHeight="1" x14ac:dyDescent="0.25">
      <c r="A205" s="39"/>
      <c r="B205" s="40"/>
      <c r="C205" s="52"/>
      <c r="D205" s="19"/>
      <c r="E205" s="19"/>
      <c r="F205" s="42"/>
      <c r="G205" s="42"/>
      <c r="H205" s="42"/>
      <c r="I205" s="42"/>
      <c r="J205" s="42"/>
      <c r="K205" s="42"/>
      <c r="L205" s="42"/>
      <c r="M205" s="42"/>
      <c r="N205" s="52" t="str">
        <f t="shared" si="42"/>
        <v>(,'','','1900-01-00','1900-01-00',,,),</v>
      </c>
    </row>
    <row r="206" spans="1:14" ht="20.100000000000001" customHeight="1" x14ac:dyDescent="0.25">
      <c r="A206" s="39"/>
      <c r="B206" s="40"/>
      <c r="C206" s="52"/>
      <c r="D206" s="19"/>
      <c r="E206" s="19"/>
      <c r="F206" s="42"/>
      <c r="G206" s="42"/>
      <c r="H206" s="42"/>
      <c r="I206" s="42"/>
      <c r="J206" s="42"/>
      <c r="K206" s="42"/>
      <c r="L206" s="42"/>
      <c r="M206" s="42"/>
      <c r="N206" s="52" t="str">
        <f t="shared" si="42"/>
        <v>(,'','','1900-01-00','1900-01-00',,,),</v>
      </c>
    </row>
    <row r="207" spans="1:14" ht="20.100000000000001" customHeight="1" x14ac:dyDescent="0.25">
      <c r="A207" s="39"/>
      <c r="B207" s="40"/>
      <c r="C207" s="52"/>
      <c r="D207" s="19"/>
      <c r="E207" s="19"/>
      <c r="F207" s="42"/>
      <c r="G207" s="42"/>
      <c r="H207" s="42"/>
      <c r="I207" s="42"/>
      <c r="J207" s="42"/>
      <c r="K207" s="42"/>
      <c r="L207" s="42"/>
      <c r="M207" s="42"/>
      <c r="N207" s="52" t="str">
        <f t="shared" si="42"/>
        <v>(,'','','1900-01-00','1900-01-00',,,),</v>
      </c>
    </row>
    <row r="208" spans="1:14" ht="20.100000000000001" customHeight="1" x14ac:dyDescent="0.25">
      <c r="A208" s="39"/>
      <c r="B208" s="40"/>
      <c r="C208" s="52"/>
      <c r="D208" s="19"/>
      <c r="E208" s="19"/>
      <c r="F208" s="42"/>
      <c r="G208" s="42"/>
      <c r="H208" s="42"/>
      <c r="I208" s="42"/>
      <c r="J208" s="42"/>
      <c r="K208" s="42"/>
      <c r="L208" s="42"/>
      <c r="M208" s="42"/>
      <c r="N208" s="52" t="str">
        <f t="shared" si="42"/>
        <v>(,'','','1900-01-00','1900-01-00',,,),</v>
      </c>
    </row>
    <row r="209" spans="1:14" ht="20.100000000000001" customHeight="1" x14ac:dyDescent="0.25">
      <c r="A209" s="39"/>
      <c r="B209" s="40"/>
      <c r="C209" s="52"/>
      <c r="D209" s="19"/>
      <c r="E209" s="19"/>
      <c r="F209" s="42"/>
      <c r="G209" s="42"/>
      <c r="H209" s="42"/>
      <c r="I209" s="42"/>
      <c r="J209" s="42"/>
      <c r="K209" s="42"/>
      <c r="L209" s="42"/>
      <c r="M209" s="42"/>
      <c r="N209" s="52" t="str">
        <f t="shared" si="42"/>
        <v>(,'','','1900-01-00','1900-01-00',,,),</v>
      </c>
    </row>
    <row r="210" spans="1:14" ht="20.100000000000001" customHeight="1" x14ac:dyDescent="0.25">
      <c r="A210" s="39"/>
      <c r="B210" s="40"/>
      <c r="C210" s="52"/>
      <c r="D210" s="19"/>
      <c r="E210" s="19"/>
      <c r="F210" s="42"/>
      <c r="G210" s="42"/>
      <c r="H210" s="42"/>
      <c r="I210" s="42"/>
      <c r="J210" s="42"/>
      <c r="K210" s="42"/>
      <c r="L210" s="42"/>
      <c r="M210" s="42"/>
      <c r="N210" s="52" t="str">
        <f t="shared" si="42"/>
        <v>(,'','','1900-01-00','1900-01-00',,,),</v>
      </c>
    </row>
    <row r="211" spans="1:14" ht="20.100000000000001" customHeight="1" x14ac:dyDescent="0.25">
      <c r="A211" s="39"/>
      <c r="B211" s="40"/>
      <c r="C211" s="52"/>
      <c r="D211" s="19"/>
      <c r="E211" s="19"/>
      <c r="F211" s="42"/>
      <c r="G211" s="42"/>
      <c r="H211" s="42"/>
      <c r="I211" s="42"/>
      <c r="J211" s="42"/>
      <c r="K211" s="42"/>
      <c r="L211" s="42"/>
      <c r="M211" s="42"/>
      <c r="N211" s="52" t="str">
        <f t="shared" si="42"/>
        <v>(,'','','1900-01-00','1900-01-00',,,),</v>
      </c>
    </row>
    <row r="212" spans="1:14" ht="20.100000000000001" customHeight="1" x14ac:dyDescent="0.25">
      <c r="A212" s="39"/>
      <c r="B212" s="40"/>
      <c r="C212" s="52"/>
      <c r="D212" s="19"/>
      <c r="E212" s="19"/>
      <c r="F212" s="42"/>
      <c r="G212" s="42"/>
      <c r="H212" s="42"/>
      <c r="I212" s="42"/>
      <c r="J212" s="42"/>
      <c r="K212" s="42"/>
      <c r="L212" s="42"/>
      <c r="M212" s="42"/>
      <c r="N212" s="52" t="str">
        <f t="shared" si="42"/>
        <v>(,'','','1900-01-00','1900-01-00',,,),</v>
      </c>
    </row>
    <row r="213" spans="1:14" ht="20.100000000000001" customHeight="1" x14ac:dyDescent="0.25">
      <c r="A213" s="39"/>
      <c r="B213" s="40"/>
      <c r="C213" s="52"/>
      <c r="D213" s="19"/>
      <c r="E213" s="19"/>
      <c r="F213" s="42"/>
      <c r="G213" s="42"/>
      <c r="H213" s="42"/>
      <c r="I213" s="42"/>
      <c r="J213" s="42"/>
      <c r="K213" s="42"/>
      <c r="L213" s="42"/>
      <c r="M213" s="42"/>
      <c r="N213" s="52" t="str">
        <f t="shared" si="42"/>
        <v>(,'','','1900-01-00','1900-01-00',,,),</v>
      </c>
    </row>
    <row r="214" spans="1:14" ht="20.100000000000001" customHeight="1" x14ac:dyDescent="0.25">
      <c r="A214" s="39"/>
      <c r="B214" s="40"/>
      <c r="C214" s="52"/>
      <c r="D214" s="19"/>
      <c r="E214" s="19"/>
      <c r="F214" s="42"/>
      <c r="G214" s="42"/>
      <c r="H214" s="42"/>
      <c r="I214" s="42"/>
      <c r="J214" s="42"/>
      <c r="K214" s="42"/>
      <c r="L214" s="42"/>
      <c r="M214" s="42"/>
      <c r="N214" s="52" t="str">
        <f t="shared" si="42"/>
        <v>(,'','','1900-01-00','1900-01-00',,,),</v>
      </c>
    </row>
    <row r="215" spans="1:14" ht="20.100000000000001" customHeight="1" x14ac:dyDescent="0.25">
      <c r="A215" s="39"/>
      <c r="B215" s="40"/>
      <c r="C215" s="52"/>
      <c r="D215" s="19"/>
      <c r="E215" s="19"/>
      <c r="F215" s="42"/>
      <c r="G215" s="42"/>
      <c r="H215" s="42"/>
      <c r="I215" s="42"/>
      <c r="J215" s="42"/>
      <c r="K215" s="42"/>
      <c r="L215" s="42"/>
      <c r="M215" s="42"/>
      <c r="N215" s="52" t="str">
        <f t="shared" si="42"/>
        <v>(,'','','1900-01-00','1900-01-00',,,),</v>
      </c>
    </row>
    <row r="216" spans="1:14" ht="20.100000000000001" customHeight="1" x14ac:dyDescent="0.25">
      <c r="A216" s="39"/>
      <c r="B216" s="40"/>
      <c r="C216" s="52"/>
      <c r="D216" s="19"/>
      <c r="E216" s="19"/>
      <c r="F216" s="42"/>
      <c r="G216" s="42"/>
      <c r="H216" s="42"/>
      <c r="I216" s="42"/>
      <c r="J216" s="42"/>
      <c r="K216" s="42"/>
      <c r="L216" s="42"/>
      <c r="M216" s="42"/>
      <c r="N216" s="52" t="str">
        <f t="shared" si="42"/>
        <v>(,'','','1900-01-00','1900-01-00',,,),</v>
      </c>
    </row>
    <row r="217" spans="1:14" ht="20.100000000000001" customHeight="1" x14ac:dyDescent="0.25">
      <c r="A217" s="39"/>
      <c r="B217" s="40"/>
      <c r="C217" s="52"/>
      <c r="D217" s="19"/>
      <c r="E217" s="19"/>
      <c r="F217" s="42"/>
      <c r="G217" s="42"/>
      <c r="H217" s="42"/>
      <c r="I217" s="42"/>
      <c r="J217" s="42"/>
      <c r="K217" s="42"/>
      <c r="L217" s="42"/>
      <c r="M217" s="42"/>
      <c r="N217" s="52" t="str">
        <f t="shared" si="42"/>
        <v>(,'','','1900-01-00','1900-01-00',,,),</v>
      </c>
    </row>
    <row r="218" spans="1:14" ht="20.100000000000001" customHeight="1" x14ac:dyDescent="0.25">
      <c r="A218" s="39"/>
      <c r="B218" s="40"/>
      <c r="C218" s="52"/>
      <c r="D218" s="19"/>
      <c r="E218" s="19"/>
      <c r="F218" s="42"/>
      <c r="G218" s="42"/>
      <c r="H218" s="42"/>
      <c r="I218" s="42"/>
      <c r="J218" s="42"/>
      <c r="K218" s="42"/>
      <c r="L218" s="42"/>
      <c r="M218" s="42"/>
      <c r="N218" s="52" t="str">
        <f t="shared" si="42"/>
        <v>(,'','','1900-01-00','1900-01-00',,,),</v>
      </c>
    </row>
    <row r="219" spans="1:14" ht="20.100000000000001" customHeight="1" x14ac:dyDescent="0.25">
      <c r="A219" s="39"/>
      <c r="B219" s="40"/>
      <c r="C219" s="52"/>
      <c r="D219" s="19"/>
      <c r="E219" s="19"/>
      <c r="F219" s="42"/>
      <c r="G219" s="42"/>
      <c r="H219" s="42"/>
      <c r="I219" s="42"/>
      <c r="J219" s="42"/>
      <c r="K219" s="42"/>
      <c r="L219" s="42"/>
      <c r="M219" s="42"/>
      <c r="N219" s="52" t="str">
        <f t="shared" si="42"/>
        <v>(,'','','1900-01-00','1900-01-00',,,),</v>
      </c>
    </row>
    <row r="220" spans="1:14" ht="20.100000000000001" customHeight="1" x14ac:dyDescent="0.25">
      <c r="A220" s="39"/>
      <c r="B220" s="40"/>
      <c r="C220" s="52"/>
      <c r="D220" s="19"/>
      <c r="E220" s="42"/>
      <c r="F220" s="42"/>
      <c r="G220" s="42"/>
      <c r="H220" s="42"/>
      <c r="I220" s="42"/>
      <c r="J220" s="42"/>
      <c r="K220" s="42"/>
      <c r="L220" s="42"/>
      <c r="M220" s="42"/>
      <c r="N220" s="52" t="str">
        <f t="shared" si="42"/>
        <v>(,'','','1900-01-00','1900-01-00',,,),</v>
      </c>
    </row>
    <row r="221" spans="1:14" ht="20.100000000000001" customHeight="1" x14ac:dyDescent="0.25">
      <c r="A221" s="39"/>
      <c r="B221" s="40"/>
      <c r="C221" s="52"/>
      <c r="D221" s="19"/>
      <c r="E221" s="42"/>
      <c r="F221" s="42"/>
      <c r="G221" s="42"/>
      <c r="H221" s="42"/>
      <c r="I221" s="42"/>
      <c r="J221" s="42"/>
      <c r="K221" s="42"/>
      <c r="L221" s="42"/>
      <c r="M221" s="42"/>
      <c r="N221" s="52" t="str">
        <f t="shared" si="42"/>
        <v>(,'','','1900-01-00','1900-01-00',,,),</v>
      </c>
    </row>
    <row r="222" spans="1:14" ht="20.100000000000001" customHeight="1" x14ac:dyDescent="0.25">
      <c r="A222" s="39"/>
      <c r="B222" s="40"/>
      <c r="C222" s="52"/>
      <c r="D222" s="19"/>
      <c r="E222" s="42"/>
      <c r="F222" s="42"/>
      <c r="G222" s="42"/>
      <c r="H222" s="42"/>
      <c r="I222" s="42"/>
      <c r="J222" s="42"/>
      <c r="K222" s="42"/>
      <c r="L222" s="42"/>
      <c r="M222" s="42"/>
      <c r="N222" s="52" t="str">
        <f t="shared" si="42"/>
        <v>(,'','','1900-01-00','1900-01-00',,,),</v>
      </c>
    </row>
    <row r="223" spans="1:14" ht="20.100000000000001" customHeight="1" x14ac:dyDescent="0.25">
      <c r="A223" s="39"/>
      <c r="B223" s="40"/>
      <c r="C223" s="52"/>
      <c r="D223" s="19"/>
      <c r="E223" s="42"/>
      <c r="F223" s="42"/>
      <c r="G223" s="42"/>
      <c r="H223" s="42"/>
      <c r="I223" s="42"/>
      <c r="J223" s="42"/>
      <c r="K223" s="42"/>
      <c r="L223" s="42"/>
      <c r="M223" s="42"/>
      <c r="N223" s="52" t="str">
        <f t="shared" si="42"/>
        <v>(,'','','1900-01-00','1900-01-00',,,),</v>
      </c>
    </row>
    <row r="224" spans="1:14" ht="20.100000000000001" customHeight="1" x14ac:dyDescent="0.25">
      <c r="A224" s="39"/>
      <c r="B224" s="40"/>
      <c r="C224" s="52"/>
      <c r="D224" s="19"/>
      <c r="E224" s="42"/>
      <c r="F224" s="42"/>
      <c r="G224" s="42"/>
      <c r="H224" s="42"/>
      <c r="I224" s="42"/>
      <c r="J224" s="42"/>
      <c r="K224" s="42"/>
      <c r="L224" s="42"/>
      <c r="M224" s="42"/>
      <c r="N224" s="52" t="str">
        <f t="shared" si="42"/>
        <v>(,'','','1900-01-00','1900-01-00',,,),</v>
      </c>
    </row>
    <row r="225" spans="1:14" ht="20.100000000000001" customHeight="1" x14ac:dyDescent="0.25">
      <c r="A225" s="39"/>
      <c r="B225" s="40"/>
      <c r="C225" s="52"/>
      <c r="D225" s="19"/>
      <c r="E225" s="42"/>
      <c r="F225" s="42"/>
      <c r="G225" s="42"/>
      <c r="H225" s="42"/>
      <c r="I225" s="42"/>
      <c r="J225" s="42"/>
      <c r="K225" s="42"/>
      <c r="L225" s="42"/>
      <c r="M225" s="42"/>
      <c r="N225" s="52" t="str">
        <f t="shared" si="42"/>
        <v>(,'','','1900-01-00','1900-01-00',,,),</v>
      </c>
    </row>
    <row r="226" spans="1:14" ht="20.100000000000001" customHeight="1" x14ac:dyDescent="0.25">
      <c r="A226" s="39"/>
      <c r="B226" s="40"/>
      <c r="C226" s="52"/>
      <c r="D226" s="19"/>
      <c r="E226" s="42"/>
      <c r="F226" s="42"/>
      <c r="G226" s="42"/>
      <c r="H226" s="42"/>
      <c r="I226" s="42"/>
      <c r="J226" s="42"/>
      <c r="K226" s="42"/>
      <c r="L226" s="42"/>
      <c r="M226" s="42"/>
      <c r="N226" s="52" t="str">
        <f t="shared" si="42"/>
        <v>(,'','','1900-01-00','1900-01-00',,,),</v>
      </c>
    </row>
    <row r="227" spans="1:14" ht="20.100000000000001" customHeight="1" x14ac:dyDescent="0.25">
      <c r="A227" s="39"/>
      <c r="B227" s="40"/>
      <c r="C227" s="52"/>
      <c r="D227" s="19"/>
      <c r="E227" s="42"/>
      <c r="F227" s="42"/>
      <c r="G227" s="42"/>
      <c r="H227" s="42"/>
      <c r="I227" s="42"/>
      <c r="J227" s="42"/>
      <c r="K227" s="42"/>
      <c r="L227" s="42"/>
      <c r="M227" s="42"/>
      <c r="N227" s="52" t="str">
        <f t="shared" si="42"/>
        <v>(,'','','1900-01-00','1900-01-00',,,),</v>
      </c>
    </row>
    <row r="228" spans="1:14" ht="20.100000000000001" customHeight="1" x14ac:dyDescent="0.25">
      <c r="A228" s="39"/>
      <c r="B228" s="40"/>
      <c r="C228" s="52"/>
      <c r="D228" s="19"/>
      <c r="E228" s="42"/>
      <c r="F228" s="42"/>
      <c r="G228" s="42"/>
      <c r="H228" s="42"/>
      <c r="I228" s="42"/>
      <c r="J228" s="42"/>
      <c r="K228" s="42"/>
      <c r="L228" s="42"/>
      <c r="M228" s="42"/>
      <c r="N228" s="52" t="str">
        <f t="shared" si="42"/>
        <v>(,'','','1900-01-00','1900-01-00',,,),</v>
      </c>
    </row>
    <row r="229" spans="1:14" ht="20.100000000000001" customHeight="1" x14ac:dyDescent="0.25">
      <c r="A229" s="39"/>
      <c r="B229" s="40"/>
      <c r="C229" s="52"/>
      <c r="D229" s="19"/>
      <c r="E229" s="42"/>
      <c r="F229" s="42"/>
      <c r="G229" s="42"/>
      <c r="H229" s="42"/>
      <c r="I229" s="42"/>
      <c r="J229" s="42"/>
      <c r="K229" s="42"/>
      <c r="L229" s="42"/>
      <c r="M229" s="42"/>
      <c r="N229" s="52" t="str">
        <f t="shared" si="42"/>
        <v>(,'','','1900-01-00','1900-01-00',,,),</v>
      </c>
    </row>
    <row r="230" spans="1:14" ht="20.100000000000001" customHeight="1" x14ac:dyDescent="0.25">
      <c r="A230" s="39"/>
      <c r="B230" s="40"/>
      <c r="C230" s="52"/>
      <c r="D230" s="19"/>
      <c r="E230" s="42"/>
      <c r="F230" s="42"/>
      <c r="G230" s="42"/>
      <c r="H230" s="42"/>
      <c r="I230" s="42"/>
      <c r="J230" s="42"/>
      <c r="K230" s="42"/>
      <c r="L230" s="42"/>
      <c r="M230" s="42"/>
      <c r="N230" s="52" t="str">
        <f t="shared" si="42"/>
        <v>(,'','','1900-01-00','1900-01-00',,,),</v>
      </c>
    </row>
    <row r="231" spans="1:14" ht="20.100000000000001" customHeight="1" x14ac:dyDescent="0.25">
      <c r="A231" s="39"/>
      <c r="B231" s="40"/>
      <c r="C231" s="52"/>
      <c r="D231" s="19"/>
      <c r="E231" s="42"/>
      <c r="F231" s="42"/>
      <c r="G231" s="42"/>
      <c r="H231" s="42"/>
      <c r="I231" s="42"/>
      <c r="J231" s="42"/>
      <c r="K231" s="42"/>
      <c r="L231" s="42"/>
      <c r="M231" s="42"/>
      <c r="N231" s="52" t="str">
        <f t="shared" si="42"/>
        <v>(,'','','1900-01-00','1900-01-00',,,),</v>
      </c>
    </row>
    <row r="232" spans="1:14" ht="20.100000000000001" customHeight="1" x14ac:dyDescent="0.25">
      <c r="A232" s="39"/>
      <c r="B232" s="40"/>
      <c r="C232" s="52"/>
      <c r="D232" s="19"/>
      <c r="E232" s="42"/>
      <c r="F232" s="42"/>
      <c r="G232" s="42"/>
      <c r="H232" s="42"/>
      <c r="I232" s="42"/>
      <c r="J232" s="42"/>
      <c r="K232" s="42"/>
      <c r="L232" s="42"/>
      <c r="M232" s="42"/>
      <c r="N232" s="52" t="str">
        <f t="shared" si="42"/>
        <v>(,'','','1900-01-00','1900-01-00',,,),</v>
      </c>
    </row>
    <row r="233" spans="1:14" ht="20.100000000000001" customHeight="1" x14ac:dyDescent="0.25">
      <c r="A233" s="39"/>
      <c r="B233" s="40"/>
      <c r="C233" s="52"/>
      <c r="D233" s="19"/>
      <c r="E233" s="42"/>
      <c r="F233" s="42"/>
      <c r="G233" s="42"/>
      <c r="H233" s="42"/>
      <c r="I233" s="42"/>
      <c r="J233" s="42"/>
      <c r="K233" s="42"/>
      <c r="L233" s="42"/>
      <c r="M233" s="42"/>
      <c r="N233" s="52" t="str">
        <f t="shared" si="42"/>
        <v>(,'','','1900-01-00','1900-01-00',,,),</v>
      </c>
    </row>
    <row r="234" spans="1:14" ht="20.100000000000001" customHeight="1" x14ac:dyDescent="0.25">
      <c r="A234" s="39"/>
      <c r="B234" s="40"/>
      <c r="C234" s="52"/>
      <c r="D234" s="19"/>
      <c r="E234" s="42"/>
      <c r="F234" s="42"/>
      <c r="G234" s="42"/>
      <c r="H234" s="42"/>
      <c r="I234" s="42"/>
      <c r="J234" s="42"/>
      <c r="K234" s="42"/>
      <c r="L234" s="42"/>
      <c r="M234" s="42"/>
      <c r="N234" s="52" t="str">
        <f t="shared" si="42"/>
        <v>(,'','','1900-01-00','1900-01-00',,,),</v>
      </c>
    </row>
    <row r="235" spans="1:14" ht="20.100000000000001" customHeight="1" x14ac:dyDescent="0.25">
      <c r="A235" s="39"/>
      <c r="B235" s="40"/>
      <c r="C235" s="52"/>
      <c r="D235" s="19"/>
      <c r="E235" s="42"/>
      <c r="F235" s="42"/>
      <c r="G235" s="42"/>
      <c r="H235" s="42"/>
      <c r="I235" s="42"/>
      <c r="J235" s="42"/>
      <c r="K235" s="42"/>
      <c r="L235" s="42"/>
      <c r="M235" s="42"/>
      <c r="N235" s="52" t="str">
        <f t="shared" si="42"/>
        <v>(,'','','1900-01-00','1900-01-00',,,),</v>
      </c>
    </row>
    <row r="236" spans="1:14" ht="20.100000000000001" customHeight="1" x14ac:dyDescent="0.25">
      <c r="A236" s="39"/>
      <c r="B236" s="40"/>
      <c r="C236" s="52"/>
      <c r="D236" s="19"/>
      <c r="E236" s="42"/>
      <c r="F236" s="42"/>
      <c r="G236" s="42"/>
      <c r="H236" s="42"/>
      <c r="I236" s="42"/>
      <c r="J236" s="42"/>
      <c r="K236" s="42"/>
      <c r="L236" s="42"/>
      <c r="M236" s="42"/>
      <c r="N236" s="52" t="str">
        <f t="shared" si="42"/>
        <v>(,'','','1900-01-00','1900-01-00',,,),</v>
      </c>
    </row>
    <row r="237" spans="1:14" ht="20.100000000000001" customHeight="1" x14ac:dyDescent="0.25">
      <c r="A237" s="39"/>
      <c r="B237" s="40"/>
      <c r="C237" s="52"/>
      <c r="D237" s="19"/>
      <c r="E237" s="42"/>
      <c r="F237" s="42"/>
      <c r="G237" s="42"/>
      <c r="H237" s="42"/>
      <c r="I237" s="42"/>
      <c r="J237" s="42"/>
      <c r="K237" s="42"/>
      <c r="L237" s="42"/>
      <c r="M237" s="42"/>
      <c r="N237" s="52" t="str">
        <f t="shared" si="42"/>
        <v>(,'','','1900-01-00','1900-01-00',,,),</v>
      </c>
    </row>
  </sheetData>
  <autoFilter ref="A2:N237"/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3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3" sqref="F13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4" t="s">
        <v>304</v>
      </c>
      <c r="D1" s="54" t="s">
        <v>306</v>
      </c>
      <c r="E1" s="54" t="s">
        <v>309</v>
      </c>
      <c r="F1" s="54" t="s">
        <v>312</v>
      </c>
      <c r="G1" s="54" t="s">
        <v>864</v>
      </c>
      <c r="H1" s="54" t="s">
        <v>318</v>
      </c>
      <c r="I1" s="54" t="s">
        <v>321</v>
      </c>
      <c r="J1" s="54" t="s">
        <v>323</v>
      </c>
      <c r="K1" s="54" t="s">
        <v>336</v>
      </c>
      <c r="L1" s="54" t="s">
        <v>339</v>
      </c>
      <c r="M1" s="54" t="s">
        <v>343</v>
      </c>
      <c r="N1" s="54" t="s">
        <v>328</v>
      </c>
      <c r="O1" s="54" t="s">
        <v>331</v>
      </c>
      <c r="P1" s="54" t="s">
        <v>333</v>
      </c>
      <c r="Q1" s="55" t="s">
        <v>345</v>
      </c>
      <c r="R1" s="55" t="s">
        <v>348</v>
      </c>
      <c r="S1" s="55" t="s">
        <v>351</v>
      </c>
      <c r="T1" s="57" t="s">
        <v>356</v>
      </c>
      <c r="U1" s="57" t="s">
        <v>354</v>
      </c>
      <c r="V1" s="57" t="s">
        <v>359</v>
      </c>
      <c r="W1" s="57" t="s">
        <v>362</v>
      </c>
      <c r="X1" s="57" t="s">
        <v>368</v>
      </c>
      <c r="Y1" s="57" t="s">
        <v>365</v>
      </c>
      <c r="Z1" s="1" t="s">
        <v>371</v>
      </c>
      <c r="AA1" s="1" t="s">
        <v>373</v>
      </c>
      <c r="AB1" s="1" t="s">
        <v>376</v>
      </c>
      <c r="AC1" s="1" t="s">
        <v>1007</v>
      </c>
      <c r="AD1" s="1" t="s">
        <v>379</v>
      </c>
      <c r="AE1" s="1" t="s">
        <v>381</v>
      </c>
      <c r="AF1" s="1" t="s">
        <v>383</v>
      </c>
      <c r="AG1" s="1" t="s">
        <v>1008</v>
      </c>
      <c r="AH1" s="1" t="s">
        <v>646</v>
      </c>
      <c r="AI1" s="1" t="s">
        <v>1009</v>
      </c>
      <c r="AJ1" s="1" t="s">
        <v>398</v>
      </c>
      <c r="AK1" s="1" t="s">
        <v>402</v>
      </c>
      <c r="AL1" s="1" t="s">
        <v>659</v>
      </c>
      <c r="AM1" s="1" t="s">
        <v>1010</v>
      </c>
      <c r="AN1" s="1" t="s">
        <v>411</v>
      </c>
      <c r="AO1" s="1" t="s">
        <v>414</v>
      </c>
      <c r="AP1" s="1" t="s">
        <v>438</v>
      </c>
      <c r="AQ1" s="1" t="s">
        <v>440</v>
      </c>
      <c r="AR1" s="1" t="s">
        <v>443</v>
      </c>
      <c r="AS1" s="1" t="s">
        <v>445</v>
      </c>
      <c r="AT1" s="1" t="s">
        <v>448</v>
      </c>
      <c r="AU1" s="1" t="s">
        <v>419</v>
      </c>
      <c r="AV1" s="1" t="s">
        <v>422</v>
      </c>
      <c r="AW1" s="1" t="s">
        <v>427</v>
      </c>
      <c r="AX1" s="1" t="s">
        <v>429</v>
      </c>
      <c r="AY1" s="1" t="s">
        <v>432</v>
      </c>
      <c r="AZ1" s="1" t="s">
        <v>435</v>
      </c>
    </row>
    <row r="2" spans="1:52" ht="20.100000000000001" customHeight="1" x14ac:dyDescent="0.25">
      <c r="A2" s="39">
        <v>1</v>
      </c>
      <c r="B2" s="48" t="s">
        <v>1096</v>
      </c>
      <c r="C2" s="18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6" t="s">
        <v>1157</v>
      </c>
      <c r="R2" s="56"/>
      <c r="S2" s="56"/>
      <c r="T2" s="58"/>
      <c r="U2" s="58"/>
      <c r="V2" s="58"/>
      <c r="W2" s="58"/>
      <c r="X2" s="58"/>
      <c r="Y2" s="58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</row>
    <row r="3" spans="1:52" ht="20.100000000000001" customHeight="1" x14ac:dyDescent="0.25">
      <c r="A3" s="39">
        <v>2</v>
      </c>
      <c r="B3" s="48" t="s">
        <v>1097</v>
      </c>
      <c r="C3" s="18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6" t="s">
        <v>1157</v>
      </c>
      <c r="R3" s="56"/>
      <c r="S3" s="56"/>
      <c r="T3" s="58"/>
      <c r="U3" s="58"/>
      <c r="V3" s="58"/>
      <c r="W3" s="58"/>
      <c r="X3" s="58"/>
      <c r="Y3" s="58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</row>
    <row r="4" spans="1:52" ht="20.100000000000001" customHeight="1" x14ac:dyDescent="0.25">
      <c r="A4" s="39">
        <v>3</v>
      </c>
      <c r="B4" s="48" t="s">
        <v>680</v>
      </c>
      <c r="C4" s="18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56" t="s">
        <v>1157</v>
      </c>
      <c r="R4" s="56"/>
      <c r="S4" s="56"/>
      <c r="T4" s="58"/>
      <c r="U4" s="58"/>
      <c r="V4" s="58"/>
      <c r="W4" s="58"/>
      <c r="X4" s="58"/>
      <c r="Y4" s="58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</row>
    <row r="5" spans="1:52" ht="20.100000000000001" customHeight="1" x14ac:dyDescent="0.25">
      <c r="A5" s="39">
        <v>4</v>
      </c>
      <c r="B5" s="48" t="s">
        <v>1098</v>
      </c>
      <c r="C5" s="18" t="s">
        <v>1102</v>
      </c>
      <c r="D5" s="17" t="s">
        <v>1106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6"/>
      <c r="R5" s="56"/>
      <c r="S5" s="56"/>
      <c r="T5" s="58"/>
      <c r="U5" s="58"/>
      <c r="V5" s="58"/>
      <c r="W5" s="58"/>
      <c r="X5" s="58"/>
      <c r="Y5" s="58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</row>
    <row r="6" spans="1:52" ht="20.100000000000001" customHeight="1" x14ac:dyDescent="0.25">
      <c r="A6" s="39">
        <v>5</v>
      </c>
      <c r="B6" s="48" t="s">
        <v>1099</v>
      </c>
      <c r="C6" s="18" t="s">
        <v>1103</v>
      </c>
      <c r="D6" s="17" t="s">
        <v>1107</v>
      </c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56"/>
      <c r="R6" s="56"/>
      <c r="S6" s="56"/>
      <c r="T6" s="58"/>
      <c r="U6" s="58"/>
      <c r="V6" s="58"/>
      <c r="W6" s="58"/>
      <c r="X6" s="58"/>
      <c r="Y6" s="58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spans="1:52" ht="20.100000000000001" customHeight="1" x14ac:dyDescent="0.25">
      <c r="A7" s="39">
        <v>6</v>
      </c>
      <c r="B7" s="48" t="s">
        <v>1100</v>
      </c>
      <c r="C7" s="18" t="s">
        <v>1104</v>
      </c>
      <c r="D7" s="17" t="s">
        <v>1108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6"/>
      <c r="R7" s="56"/>
      <c r="S7" s="56"/>
      <c r="T7" s="58"/>
      <c r="U7" s="58"/>
      <c r="V7" s="58"/>
      <c r="W7" s="58"/>
      <c r="X7" s="58"/>
      <c r="Y7" s="58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</row>
    <row r="8" spans="1:52" ht="20.100000000000001" customHeight="1" x14ac:dyDescent="0.25">
      <c r="A8" s="39">
        <v>7</v>
      </c>
      <c r="B8" s="48" t="s">
        <v>1101</v>
      </c>
      <c r="C8" s="18" t="s">
        <v>1105</v>
      </c>
      <c r="D8" s="17" t="s">
        <v>1109</v>
      </c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6"/>
      <c r="R8" s="56"/>
      <c r="S8" s="56"/>
      <c r="T8" s="58"/>
      <c r="U8" s="58"/>
      <c r="V8" s="58"/>
      <c r="W8" s="58"/>
      <c r="X8" s="58"/>
      <c r="Y8" s="58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pans="1:52" ht="20.100000000000001" customHeight="1" x14ac:dyDescent="0.25">
      <c r="A9" s="39">
        <v>8</v>
      </c>
      <c r="B9" s="48" t="s">
        <v>1110</v>
      </c>
      <c r="C9" s="18"/>
      <c r="D9" s="17"/>
      <c r="E9" s="17"/>
      <c r="F9" s="18" t="s">
        <v>1113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56"/>
      <c r="R9" s="56"/>
      <c r="S9" s="56"/>
      <c r="T9" s="58"/>
      <c r="U9" s="58"/>
      <c r="V9" s="58"/>
      <c r="W9" s="58"/>
      <c r="X9" s="58"/>
      <c r="Y9" s="58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</row>
    <row r="10" spans="1:52" ht="20.100000000000001" customHeight="1" x14ac:dyDescent="0.25">
      <c r="A10" s="39">
        <v>9</v>
      </c>
      <c r="B10" s="48" t="s">
        <v>1111</v>
      </c>
      <c r="C10" s="18"/>
      <c r="D10" s="17"/>
      <c r="E10" s="17"/>
      <c r="F10" s="18" t="s">
        <v>1113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6"/>
      <c r="R10" s="56"/>
      <c r="S10" s="56"/>
      <c r="T10" s="58"/>
      <c r="U10" s="58"/>
      <c r="V10" s="58"/>
      <c r="W10" s="58"/>
      <c r="X10" s="58"/>
      <c r="Y10" s="58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pans="1:52" ht="20.100000000000001" customHeight="1" x14ac:dyDescent="0.25">
      <c r="A11" s="39">
        <v>10</v>
      </c>
      <c r="B11" s="48" t="s">
        <v>1112</v>
      </c>
      <c r="C11" s="18"/>
      <c r="D11" s="17"/>
      <c r="E11" s="17"/>
      <c r="F11" s="18" t="s">
        <v>1114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6"/>
      <c r="R11" s="56"/>
      <c r="S11" s="56"/>
      <c r="T11" s="58"/>
      <c r="U11" s="58"/>
      <c r="V11" s="58"/>
      <c r="W11" s="58"/>
      <c r="X11" s="58"/>
      <c r="Y11" s="58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</row>
    <row r="12" spans="1:52" ht="20.100000000000001" customHeight="1" x14ac:dyDescent="0.25">
      <c r="A12" s="39">
        <v>11</v>
      </c>
      <c r="B12" s="48" t="s">
        <v>1120</v>
      </c>
      <c r="C12" s="18"/>
      <c r="D12" s="17"/>
      <c r="E12" s="17"/>
      <c r="F12" s="18"/>
      <c r="G12" s="18"/>
      <c r="H12" s="18"/>
      <c r="I12" s="18" t="s">
        <v>1119</v>
      </c>
      <c r="J12" s="18" t="s">
        <v>1119</v>
      </c>
      <c r="K12" s="18"/>
      <c r="L12" s="18"/>
      <c r="M12" s="18"/>
      <c r="N12" s="18"/>
      <c r="O12" s="18"/>
      <c r="P12" s="18"/>
      <c r="Q12" s="56"/>
      <c r="R12" s="56"/>
      <c r="S12" s="56"/>
      <c r="T12" s="58"/>
      <c r="U12" s="58"/>
      <c r="V12" s="58"/>
      <c r="W12" s="58"/>
      <c r="X12" s="58"/>
      <c r="Y12" s="58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pans="1:52" ht="20.100000000000001" customHeight="1" x14ac:dyDescent="0.25">
      <c r="A13" s="39">
        <v>12</v>
      </c>
      <c r="B13" s="48" t="s">
        <v>1121</v>
      </c>
      <c r="C13" s="18"/>
      <c r="D13" s="17"/>
      <c r="E13" s="17"/>
      <c r="F13" s="18"/>
      <c r="G13" s="18"/>
      <c r="H13" s="18"/>
      <c r="I13" s="18" t="s">
        <v>1119</v>
      </c>
      <c r="J13" s="18"/>
      <c r="K13" s="18"/>
      <c r="L13" s="18"/>
      <c r="M13" s="18"/>
      <c r="N13" s="18"/>
      <c r="O13" s="18"/>
      <c r="P13" s="18"/>
      <c r="Q13" s="56"/>
      <c r="R13" s="56"/>
      <c r="S13" s="56"/>
      <c r="T13" s="58"/>
      <c r="U13" s="58"/>
      <c r="V13" s="58"/>
      <c r="W13" s="58"/>
      <c r="X13" s="58"/>
      <c r="Y13" s="58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spans="1:52" ht="20.100000000000001" customHeight="1" x14ac:dyDescent="0.25">
      <c r="A14" s="39">
        <v>13</v>
      </c>
      <c r="B14" s="48" t="s">
        <v>1122</v>
      </c>
      <c r="C14" s="18"/>
      <c r="D14" s="17"/>
      <c r="E14" s="17"/>
      <c r="F14" s="18"/>
      <c r="G14" s="18"/>
      <c r="H14" s="18"/>
      <c r="I14" s="18" t="s">
        <v>1119</v>
      </c>
      <c r="J14" s="18" t="s">
        <v>1119</v>
      </c>
      <c r="K14" s="18"/>
      <c r="L14" s="18"/>
      <c r="M14" s="18"/>
      <c r="N14" s="18"/>
      <c r="O14" s="18"/>
      <c r="P14" s="18"/>
      <c r="Q14" s="56"/>
      <c r="R14" s="56"/>
      <c r="S14" s="56"/>
      <c r="T14" s="58"/>
      <c r="U14" s="58"/>
      <c r="V14" s="58"/>
      <c r="W14" s="58"/>
      <c r="X14" s="58"/>
      <c r="Y14" s="58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pans="1:52" ht="20.100000000000001" customHeight="1" x14ac:dyDescent="0.25">
      <c r="A15" s="39">
        <v>14</v>
      </c>
      <c r="B15" s="48" t="s">
        <v>1123</v>
      </c>
      <c r="C15" s="18"/>
      <c r="D15" s="17"/>
      <c r="E15" s="17"/>
      <c r="F15" s="18"/>
      <c r="G15" s="18"/>
      <c r="H15" s="18"/>
      <c r="I15" s="18" t="s">
        <v>1119</v>
      </c>
      <c r="J15" s="18" t="s">
        <v>1119</v>
      </c>
      <c r="K15" s="18"/>
      <c r="L15" s="18"/>
      <c r="M15" s="18"/>
      <c r="N15" s="18"/>
      <c r="O15" s="18"/>
      <c r="P15" s="18"/>
      <c r="Q15" s="56"/>
      <c r="R15" s="56"/>
      <c r="S15" s="56"/>
      <c r="T15" s="58"/>
      <c r="U15" s="58"/>
      <c r="V15" s="58"/>
      <c r="W15" s="58"/>
      <c r="X15" s="58"/>
      <c r="Y15" s="58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spans="1:52" ht="20.100000000000001" customHeight="1" x14ac:dyDescent="0.25">
      <c r="A16" s="39">
        <v>15</v>
      </c>
      <c r="B16" s="48" t="s">
        <v>1124</v>
      </c>
      <c r="C16" s="18"/>
      <c r="D16" s="17"/>
      <c r="E16" s="17"/>
      <c r="F16" s="18"/>
      <c r="G16" s="18"/>
      <c r="H16" s="18"/>
      <c r="I16" s="18" t="s">
        <v>1119</v>
      </c>
      <c r="J16" s="18" t="s">
        <v>1119</v>
      </c>
      <c r="K16" s="18"/>
      <c r="L16" s="18"/>
      <c r="M16" s="18"/>
      <c r="N16" s="18"/>
      <c r="O16" s="18"/>
      <c r="P16" s="18"/>
      <c r="Q16" s="56"/>
      <c r="R16" s="56"/>
      <c r="S16" s="56"/>
      <c r="T16" s="58"/>
      <c r="U16" s="58"/>
      <c r="V16" s="58"/>
      <c r="W16" s="58"/>
      <c r="X16" s="58"/>
      <c r="Y16" s="58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ht="20.100000000000001" customHeight="1" x14ac:dyDescent="0.25">
      <c r="A17" s="39">
        <v>16</v>
      </c>
      <c r="B17" s="48" t="s">
        <v>1116</v>
      </c>
      <c r="C17" s="18"/>
      <c r="D17" s="17"/>
      <c r="E17" s="17"/>
      <c r="F17" s="18"/>
      <c r="G17" s="18"/>
      <c r="H17" s="18"/>
      <c r="I17" s="18" t="s">
        <v>1117</v>
      </c>
      <c r="J17" s="18"/>
      <c r="K17" s="18"/>
      <c r="L17" s="18"/>
      <c r="M17" s="18"/>
      <c r="N17" s="18"/>
      <c r="O17" s="18"/>
      <c r="P17" s="18"/>
      <c r="Q17" s="56"/>
      <c r="R17" s="56"/>
      <c r="S17" s="56"/>
      <c r="T17" s="58"/>
      <c r="U17" s="58"/>
      <c r="V17" s="58"/>
      <c r="W17" s="58"/>
      <c r="X17" s="58"/>
      <c r="Y17" s="58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0.100000000000001" customHeight="1" x14ac:dyDescent="0.25">
      <c r="A18" s="39">
        <v>17</v>
      </c>
      <c r="B18" s="48" t="s">
        <v>1115</v>
      </c>
      <c r="C18" s="18"/>
      <c r="D18" s="17"/>
      <c r="E18" s="17"/>
      <c r="F18" s="18"/>
      <c r="G18" s="18"/>
      <c r="H18" s="18"/>
      <c r="I18" s="18" t="s">
        <v>1118</v>
      </c>
      <c r="J18" s="18"/>
      <c r="K18" s="18"/>
      <c r="L18" s="18"/>
      <c r="M18" s="18"/>
      <c r="N18" s="18"/>
      <c r="O18" s="18"/>
      <c r="P18" s="18"/>
      <c r="Q18" s="56"/>
      <c r="R18" s="56"/>
      <c r="S18" s="56"/>
      <c r="T18" s="58"/>
      <c r="U18" s="58"/>
      <c r="V18" s="58"/>
      <c r="W18" s="58"/>
      <c r="X18" s="58"/>
      <c r="Y18" s="58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</row>
    <row r="19" spans="1:52" ht="20.100000000000001" customHeight="1" x14ac:dyDescent="0.25">
      <c r="A19" s="39">
        <v>18</v>
      </c>
      <c r="B19" s="48" t="s">
        <v>1125</v>
      </c>
      <c r="C19" s="18"/>
      <c r="D19" s="17"/>
      <c r="E19" s="17"/>
      <c r="F19" s="18"/>
      <c r="G19" s="18"/>
      <c r="H19" s="18"/>
      <c r="I19" s="18"/>
      <c r="J19" s="18" t="s">
        <v>1117</v>
      </c>
      <c r="K19" s="18"/>
      <c r="L19" s="18"/>
      <c r="M19" s="18"/>
      <c r="N19" s="18"/>
      <c r="O19" s="18"/>
      <c r="P19" s="18"/>
      <c r="Q19" s="56"/>
      <c r="R19" s="56"/>
      <c r="S19" s="56"/>
      <c r="T19" s="58"/>
      <c r="U19" s="58"/>
      <c r="V19" s="58"/>
      <c r="W19" s="58"/>
      <c r="X19" s="58"/>
      <c r="Y19" s="58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</row>
    <row r="20" spans="1:52" ht="20.100000000000001" customHeight="1" x14ac:dyDescent="0.25">
      <c r="A20" s="39">
        <v>19</v>
      </c>
      <c r="B20" s="48" t="s">
        <v>1126</v>
      </c>
      <c r="C20" s="18"/>
      <c r="D20" s="17"/>
      <c r="E20" s="17"/>
      <c r="F20" s="18"/>
      <c r="G20" s="18"/>
      <c r="H20" s="18"/>
      <c r="I20" s="18"/>
      <c r="J20" s="18" t="s">
        <v>1132</v>
      </c>
      <c r="K20" s="18"/>
      <c r="L20" s="18"/>
      <c r="M20" s="18"/>
      <c r="N20" s="18"/>
      <c r="O20" s="18"/>
      <c r="P20" s="18"/>
      <c r="Q20" s="56"/>
      <c r="R20" s="56"/>
      <c r="S20" s="56"/>
      <c r="T20" s="58"/>
      <c r="U20" s="58"/>
      <c r="V20" s="58"/>
      <c r="W20" s="58"/>
      <c r="X20" s="58"/>
      <c r="Y20" s="58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</row>
    <row r="21" spans="1:52" ht="20.100000000000001" customHeight="1" x14ac:dyDescent="0.25">
      <c r="A21" s="39">
        <v>20</v>
      </c>
      <c r="B21" s="48" t="s">
        <v>1127</v>
      </c>
      <c r="C21" s="18"/>
      <c r="D21" s="17"/>
      <c r="E21" s="17"/>
      <c r="F21" s="18"/>
      <c r="G21" s="18"/>
      <c r="H21" s="18"/>
      <c r="I21" s="18"/>
      <c r="J21" s="18" t="s">
        <v>1133</v>
      </c>
      <c r="K21" s="18"/>
      <c r="L21" s="18"/>
      <c r="M21" s="18"/>
      <c r="N21" s="18"/>
      <c r="O21" s="18"/>
      <c r="P21" s="18"/>
      <c r="Q21" s="56"/>
      <c r="R21" s="56"/>
      <c r="S21" s="56"/>
      <c r="T21" s="58"/>
      <c r="U21" s="58"/>
      <c r="V21" s="58"/>
      <c r="W21" s="58"/>
      <c r="X21" s="58"/>
      <c r="Y21" s="58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</row>
    <row r="22" spans="1:52" ht="20.100000000000001" customHeight="1" x14ac:dyDescent="0.25">
      <c r="A22" s="39">
        <v>21</v>
      </c>
      <c r="B22" s="48" t="s">
        <v>1128</v>
      </c>
      <c r="C22" s="18"/>
      <c r="D22" s="17"/>
      <c r="E22" s="17"/>
      <c r="F22" s="18"/>
      <c r="G22" s="18"/>
      <c r="H22" s="18"/>
      <c r="I22" s="18"/>
      <c r="J22" s="18" t="s">
        <v>1134</v>
      </c>
      <c r="K22" s="18"/>
      <c r="L22" s="18"/>
      <c r="M22" s="18"/>
      <c r="N22" s="18"/>
      <c r="O22" s="18"/>
      <c r="P22" s="18"/>
      <c r="Q22" s="56"/>
      <c r="R22" s="56"/>
      <c r="S22" s="56"/>
      <c r="T22" s="58"/>
      <c r="U22" s="58"/>
      <c r="V22" s="58"/>
      <c r="W22" s="58"/>
      <c r="X22" s="58"/>
      <c r="Y22" s="5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spans="1:52" ht="20.100000000000001" customHeight="1" x14ac:dyDescent="0.25">
      <c r="A23" s="39">
        <v>22</v>
      </c>
      <c r="B23" s="48" t="s">
        <v>1129</v>
      </c>
      <c r="C23" s="18"/>
      <c r="D23" s="17"/>
      <c r="E23" s="17"/>
      <c r="F23" s="18"/>
      <c r="G23" s="18"/>
      <c r="H23" s="18"/>
      <c r="I23" s="18"/>
      <c r="J23" s="18" t="s">
        <v>1135</v>
      </c>
      <c r="K23" s="18"/>
      <c r="L23" s="18"/>
      <c r="M23" s="18"/>
      <c r="N23" s="18"/>
      <c r="O23" s="18"/>
      <c r="P23" s="18"/>
      <c r="Q23" s="56"/>
      <c r="R23" s="56"/>
      <c r="S23" s="56"/>
      <c r="T23" s="58"/>
      <c r="U23" s="58"/>
      <c r="V23" s="58"/>
      <c r="W23" s="58"/>
      <c r="X23" s="58"/>
      <c r="Y23" s="58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</row>
    <row r="24" spans="1:52" ht="20.100000000000001" customHeight="1" x14ac:dyDescent="0.25">
      <c r="A24" s="39">
        <v>23</v>
      </c>
      <c r="B24" s="48" t="s">
        <v>1130</v>
      </c>
      <c r="C24" s="18"/>
      <c r="D24" s="17"/>
      <c r="E24" s="17"/>
      <c r="F24" s="18"/>
      <c r="G24" s="18"/>
      <c r="H24" s="18"/>
      <c r="I24" s="18"/>
      <c r="J24" s="18" t="s">
        <v>1136</v>
      </c>
      <c r="K24" s="18"/>
      <c r="L24" s="18"/>
      <c r="M24" s="18"/>
      <c r="N24" s="18"/>
      <c r="O24" s="18"/>
      <c r="P24" s="18"/>
      <c r="Q24" s="56"/>
      <c r="R24" s="56"/>
      <c r="S24" s="56"/>
      <c r="T24" s="58"/>
      <c r="U24" s="58"/>
      <c r="V24" s="58"/>
      <c r="W24" s="58"/>
      <c r="X24" s="58"/>
      <c r="Y24" s="58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</row>
    <row r="25" spans="1:52" ht="20.100000000000001" customHeight="1" x14ac:dyDescent="0.25">
      <c r="A25" s="39">
        <v>24</v>
      </c>
      <c r="B25" s="48" t="s">
        <v>1131</v>
      </c>
      <c r="C25" s="18"/>
      <c r="D25" s="17"/>
      <c r="E25" s="17"/>
      <c r="F25" s="18"/>
      <c r="G25" s="18"/>
      <c r="H25" s="18"/>
      <c r="I25" s="18"/>
      <c r="J25" s="18" t="s">
        <v>1137</v>
      </c>
      <c r="K25" s="18"/>
      <c r="L25" s="18"/>
      <c r="M25" s="18"/>
      <c r="N25" s="18"/>
      <c r="O25" s="18"/>
      <c r="P25" s="18"/>
      <c r="Q25" s="56"/>
      <c r="R25" s="56"/>
      <c r="S25" s="56"/>
      <c r="T25" s="58"/>
      <c r="U25" s="58"/>
      <c r="V25" s="58"/>
      <c r="W25" s="58"/>
      <c r="X25" s="58"/>
      <c r="Y25" s="58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</row>
    <row r="26" spans="1:52" ht="20.100000000000001" customHeight="1" x14ac:dyDescent="0.25">
      <c r="A26" s="39">
        <v>25</v>
      </c>
      <c r="B26" s="48" t="s">
        <v>596</v>
      </c>
      <c r="C26" s="18"/>
      <c r="D26" s="17"/>
      <c r="E26" s="17"/>
      <c r="F26" s="18"/>
      <c r="G26" s="18"/>
      <c r="H26" s="18"/>
      <c r="I26" s="18"/>
      <c r="J26" s="18"/>
      <c r="K26" s="18" t="s">
        <v>1142</v>
      </c>
      <c r="L26" s="18"/>
      <c r="M26" s="18"/>
      <c r="N26" s="18"/>
      <c r="O26" s="18"/>
      <c r="P26" s="18"/>
      <c r="Q26" s="56"/>
      <c r="R26" s="56"/>
      <c r="S26" s="56"/>
      <c r="T26" s="58"/>
      <c r="U26" s="58"/>
      <c r="V26" s="58"/>
      <c r="W26" s="58"/>
      <c r="X26" s="58"/>
      <c r="Y26" s="58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spans="1:52" ht="20.100000000000001" customHeight="1" x14ac:dyDescent="0.25">
      <c r="A27" s="39">
        <v>26</v>
      </c>
      <c r="B27" s="48" t="s">
        <v>1138</v>
      </c>
      <c r="C27" s="18"/>
      <c r="D27" s="17"/>
      <c r="E27" s="17"/>
      <c r="F27" s="18"/>
      <c r="G27" s="18"/>
      <c r="H27" s="18"/>
      <c r="I27" s="18"/>
      <c r="J27" s="18"/>
      <c r="K27" s="18" t="s">
        <v>1143</v>
      </c>
      <c r="L27" s="18" t="s">
        <v>1144</v>
      </c>
      <c r="M27" s="18"/>
      <c r="N27" s="18"/>
      <c r="O27" s="18"/>
      <c r="P27" s="18"/>
      <c r="Q27" s="56"/>
      <c r="R27" s="56"/>
      <c r="S27" s="56"/>
      <c r="T27" s="58"/>
      <c r="U27" s="58"/>
      <c r="V27" s="58"/>
      <c r="W27" s="58"/>
      <c r="X27" s="58"/>
      <c r="Y27" s="58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</row>
    <row r="28" spans="1:52" ht="20.100000000000001" customHeight="1" x14ac:dyDescent="0.25">
      <c r="A28" s="39">
        <v>27</v>
      </c>
      <c r="B28" s="48" t="s">
        <v>597</v>
      </c>
      <c r="C28" s="18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 t="s">
        <v>1145</v>
      </c>
      <c r="O28" s="18"/>
      <c r="P28" s="18"/>
      <c r="Q28" s="56"/>
      <c r="R28" s="56"/>
      <c r="S28" s="56"/>
      <c r="T28" s="58"/>
      <c r="U28" s="58"/>
      <c r="V28" s="58"/>
      <c r="W28" s="58"/>
      <c r="X28" s="58"/>
      <c r="Y28" s="58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</row>
    <row r="29" spans="1:52" ht="20.100000000000001" customHeight="1" x14ac:dyDescent="0.25">
      <c r="A29" s="39">
        <v>28</v>
      </c>
      <c r="B29" s="48" t="s">
        <v>1139</v>
      </c>
      <c r="C29" s="18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 t="s">
        <v>1145</v>
      </c>
      <c r="O29" s="18"/>
      <c r="P29" s="18"/>
      <c r="Q29" s="56"/>
      <c r="R29" s="56"/>
      <c r="S29" s="56"/>
      <c r="T29" s="58"/>
      <c r="U29" s="58"/>
      <c r="V29" s="58"/>
      <c r="W29" s="58"/>
      <c r="X29" s="58"/>
      <c r="Y29" s="58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</row>
    <row r="30" spans="1:52" ht="20.100000000000001" customHeight="1" x14ac:dyDescent="0.25">
      <c r="A30" s="39">
        <v>29</v>
      </c>
      <c r="B30" s="48" t="s">
        <v>1140</v>
      </c>
      <c r="C30" s="18"/>
      <c r="D30" s="17"/>
      <c r="E30" s="17"/>
      <c r="F30" s="18"/>
      <c r="G30" s="18"/>
      <c r="H30" s="18"/>
      <c r="I30" s="18"/>
      <c r="J30" s="18"/>
      <c r="K30" s="18"/>
      <c r="L30" s="18"/>
      <c r="M30" s="18" t="s">
        <v>1146</v>
      </c>
      <c r="N30" s="18"/>
      <c r="O30" s="18"/>
      <c r="P30" s="18"/>
      <c r="Q30" s="56"/>
      <c r="R30" s="56"/>
      <c r="S30" s="56"/>
      <c r="T30" s="58"/>
      <c r="U30" s="58"/>
      <c r="V30" s="58"/>
      <c r="W30" s="58"/>
      <c r="X30" s="58"/>
      <c r="Y30" s="58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</row>
    <row r="31" spans="1:52" ht="20.100000000000001" customHeight="1" x14ac:dyDescent="0.25">
      <c r="A31" s="39">
        <v>30</v>
      </c>
      <c r="B31" s="48" t="s">
        <v>1141</v>
      </c>
      <c r="C31" s="18"/>
      <c r="D31" s="17"/>
      <c r="E31" s="17"/>
      <c r="F31" s="18"/>
      <c r="G31" s="18"/>
      <c r="H31" s="18"/>
      <c r="I31" s="18"/>
      <c r="J31" s="18"/>
      <c r="K31" s="18"/>
      <c r="L31" s="18"/>
      <c r="M31" s="18" t="s">
        <v>1146</v>
      </c>
      <c r="N31" s="18"/>
      <c r="O31" s="18"/>
      <c r="P31" s="18"/>
      <c r="Q31" s="56"/>
      <c r="R31" s="56"/>
      <c r="S31" s="56"/>
      <c r="T31" s="58"/>
      <c r="U31" s="58"/>
      <c r="V31" s="58"/>
      <c r="W31" s="58"/>
      <c r="X31" s="58"/>
      <c r="Y31" s="58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</row>
    <row r="32" spans="1:52" ht="20.100000000000001" customHeight="1" x14ac:dyDescent="0.25">
      <c r="A32" s="39">
        <v>31</v>
      </c>
      <c r="B32" s="48" t="s">
        <v>1147</v>
      </c>
      <c r="C32" s="18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 t="s">
        <v>1154</v>
      </c>
      <c r="P32" s="18" t="s">
        <v>1154</v>
      </c>
      <c r="Q32" s="56"/>
      <c r="R32" s="56"/>
      <c r="S32" s="56"/>
      <c r="T32" s="58"/>
      <c r="U32" s="58"/>
      <c r="V32" s="58"/>
      <c r="W32" s="58"/>
      <c r="X32" s="58"/>
      <c r="Y32" s="58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</row>
    <row r="33" spans="1:52" ht="20.100000000000001" customHeight="1" x14ac:dyDescent="0.25">
      <c r="A33" s="39">
        <v>32</v>
      </c>
      <c r="B33" s="48" t="s">
        <v>1148</v>
      </c>
      <c r="C33" s="18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 t="s">
        <v>1154</v>
      </c>
      <c r="P33" s="18" t="s">
        <v>1154</v>
      </c>
      <c r="Q33" s="56"/>
      <c r="R33" s="56"/>
      <c r="S33" s="56"/>
      <c r="T33" s="58"/>
      <c r="U33" s="58"/>
      <c r="V33" s="58"/>
      <c r="W33" s="58"/>
      <c r="X33" s="58"/>
      <c r="Y33" s="58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</row>
    <row r="34" spans="1:52" ht="20.100000000000001" customHeight="1" x14ac:dyDescent="0.25">
      <c r="A34" s="39">
        <v>33</v>
      </c>
      <c r="B34" s="48" t="s">
        <v>1149</v>
      </c>
      <c r="C34" s="18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 t="s">
        <v>1154</v>
      </c>
      <c r="P34" s="18" t="s">
        <v>1154</v>
      </c>
      <c r="Q34" s="56"/>
      <c r="R34" s="56"/>
      <c r="S34" s="56"/>
      <c r="T34" s="58"/>
      <c r="U34" s="58"/>
      <c r="V34" s="58"/>
      <c r="W34" s="58"/>
      <c r="X34" s="58"/>
      <c r="Y34" s="58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</row>
    <row r="35" spans="1:52" ht="20.100000000000001" customHeight="1" x14ac:dyDescent="0.25">
      <c r="A35" s="39">
        <v>34</v>
      </c>
      <c r="B35" s="48" t="s">
        <v>1152</v>
      </c>
      <c r="C35" s="18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 t="s">
        <v>1154</v>
      </c>
      <c r="P35" s="18" t="s">
        <v>1154</v>
      </c>
      <c r="Q35" s="56"/>
      <c r="R35" s="56"/>
      <c r="S35" s="56"/>
      <c r="T35" s="58"/>
      <c r="U35" s="58"/>
      <c r="V35" s="58"/>
      <c r="W35" s="58"/>
      <c r="X35" s="58"/>
      <c r="Y35" s="58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</row>
    <row r="36" spans="1:52" ht="20.100000000000001" customHeight="1" x14ac:dyDescent="0.25">
      <c r="A36" s="39">
        <v>35</v>
      </c>
      <c r="B36" s="48" t="s">
        <v>1153</v>
      </c>
      <c r="C36" s="18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 t="s">
        <v>1154</v>
      </c>
      <c r="P36" s="18" t="s">
        <v>1154</v>
      </c>
      <c r="Q36" s="56"/>
      <c r="R36" s="56"/>
      <c r="S36" s="56"/>
      <c r="T36" s="58"/>
      <c r="U36" s="58"/>
      <c r="V36" s="58"/>
      <c r="W36" s="58"/>
      <c r="X36" s="58"/>
      <c r="Y36" s="58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</row>
    <row r="37" spans="1:52" ht="20.100000000000001" customHeight="1" x14ac:dyDescent="0.25">
      <c r="A37" s="39">
        <v>36</v>
      </c>
      <c r="B37" s="48" t="s">
        <v>1150</v>
      </c>
      <c r="C37" s="18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 t="s">
        <v>1154</v>
      </c>
      <c r="P37" s="18" t="s">
        <v>1154</v>
      </c>
      <c r="Q37" s="56"/>
      <c r="R37" s="56"/>
      <c r="S37" s="56"/>
      <c r="T37" s="58"/>
      <c r="U37" s="58"/>
      <c r="V37" s="58"/>
      <c r="W37" s="58"/>
      <c r="X37" s="58"/>
      <c r="Y37" s="58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</row>
    <row r="38" spans="1:52" ht="20.100000000000001" customHeight="1" x14ac:dyDescent="0.25">
      <c r="A38" s="39">
        <v>37</v>
      </c>
      <c r="B38" s="48" t="s">
        <v>1151</v>
      </c>
      <c r="C38" s="18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 t="s">
        <v>1154</v>
      </c>
      <c r="P38" s="18" t="s">
        <v>1154</v>
      </c>
      <c r="Q38" s="56"/>
      <c r="R38" s="56"/>
      <c r="S38" s="56"/>
      <c r="T38" s="58"/>
      <c r="U38" s="58"/>
      <c r="V38" s="58"/>
      <c r="W38" s="58"/>
      <c r="X38" s="58"/>
      <c r="Y38" s="58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</row>
    <row r="39" spans="1:52" ht="20.100000000000001" customHeight="1" x14ac:dyDescent="0.25">
      <c r="A39" s="39">
        <v>38</v>
      </c>
      <c r="B39" s="48" t="s">
        <v>1155</v>
      </c>
      <c r="C39" s="18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 t="s">
        <v>1156</v>
      </c>
      <c r="P39" s="18" t="s">
        <v>1156</v>
      </c>
      <c r="Q39" s="56"/>
      <c r="R39" s="56"/>
      <c r="S39" s="56"/>
      <c r="T39" s="58"/>
      <c r="U39" s="58"/>
      <c r="V39" s="58"/>
      <c r="W39" s="58"/>
      <c r="X39" s="58"/>
      <c r="Y39" s="58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</row>
    <row r="40" spans="1:52" ht="20.100000000000001" customHeight="1" x14ac:dyDescent="0.25">
      <c r="A40" s="39">
        <v>39</v>
      </c>
      <c r="B40" s="48" t="s">
        <v>1158</v>
      </c>
      <c r="C40" s="18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6"/>
      <c r="R40" s="56" t="s">
        <v>1160</v>
      </c>
      <c r="S40" s="56"/>
      <c r="T40" s="58"/>
      <c r="U40" s="58"/>
      <c r="V40" s="58"/>
      <c r="W40" s="58"/>
      <c r="X40" s="58"/>
      <c r="Y40" s="58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</row>
    <row r="41" spans="1:52" ht="20.100000000000001" customHeight="1" x14ac:dyDescent="0.25">
      <c r="A41" s="39">
        <v>40</v>
      </c>
      <c r="B41" s="48" t="s">
        <v>1159</v>
      </c>
      <c r="C41" s="18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56"/>
      <c r="R41" s="56" t="s">
        <v>1160</v>
      </c>
      <c r="S41" s="56"/>
      <c r="T41" s="58"/>
      <c r="U41" s="58"/>
      <c r="V41" s="58"/>
      <c r="W41" s="58"/>
      <c r="X41" s="58"/>
      <c r="Y41" s="58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</row>
    <row r="42" spans="1:52" ht="20.100000000000001" customHeight="1" x14ac:dyDescent="0.25">
      <c r="A42" s="39">
        <v>41</v>
      </c>
      <c r="B42" s="48" t="s">
        <v>619</v>
      </c>
      <c r="C42" s="18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6"/>
      <c r="R42" s="56"/>
      <c r="S42" s="56">
        <v>0</v>
      </c>
      <c r="T42" s="58"/>
      <c r="U42" s="58"/>
      <c r="V42" s="58"/>
      <c r="W42" s="58"/>
      <c r="X42" s="58"/>
      <c r="Y42" s="58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</row>
    <row r="43" spans="1:52" ht="20.100000000000001" customHeight="1" x14ac:dyDescent="0.25">
      <c r="A43" s="39">
        <v>42</v>
      </c>
      <c r="B43" s="48" t="s">
        <v>1161</v>
      </c>
      <c r="C43" s="18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6"/>
      <c r="R43" s="56"/>
      <c r="S43" s="56">
        <v>0</v>
      </c>
      <c r="T43" s="58"/>
      <c r="U43" s="58"/>
      <c r="V43" s="58"/>
      <c r="W43" s="58"/>
      <c r="X43" s="58"/>
      <c r="Y43" s="58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</row>
    <row r="44" spans="1:52" ht="20.100000000000001" customHeight="1" x14ac:dyDescent="0.25">
      <c r="A44" s="39">
        <v>43</v>
      </c>
      <c r="B44" s="48" t="s">
        <v>1162</v>
      </c>
      <c r="C44" s="18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6"/>
      <c r="R44" s="56"/>
      <c r="S44" s="56">
        <v>47</v>
      </c>
      <c r="T44" s="58"/>
      <c r="U44" s="58"/>
      <c r="V44" s="58"/>
      <c r="W44" s="58"/>
      <c r="X44" s="58"/>
      <c r="Y44" s="58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</row>
    <row r="45" spans="1:52" ht="20.100000000000001" customHeight="1" x14ac:dyDescent="0.25">
      <c r="A45" s="39">
        <v>44</v>
      </c>
      <c r="B45" s="48" t="s">
        <v>1163</v>
      </c>
      <c r="C45" s="18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6"/>
      <c r="R45" s="56"/>
      <c r="S45" s="56">
        <v>47</v>
      </c>
      <c r="T45" s="58"/>
      <c r="U45" s="58"/>
      <c r="V45" s="58"/>
      <c r="W45" s="58"/>
      <c r="X45" s="58"/>
      <c r="Y45" s="58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</row>
    <row r="46" spans="1:52" ht="20.100000000000001" customHeight="1" x14ac:dyDescent="0.25">
      <c r="A46" s="39">
        <v>45</v>
      </c>
      <c r="B46" s="48" t="s">
        <v>1161</v>
      </c>
      <c r="C46" s="18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6"/>
      <c r="R46" s="56"/>
      <c r="S46" s="56">
        <v>47</v>
      </c>
      <c r="T46" s="58"/>
      <c r="U46" s="58"/>
      <c r="V46" s="58"/>
      <c r="W46" s="58"/>
      <c r="X46" s="58"/>
      <c r="Y46" s="58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</row>
    <row r="47" spans="1:52" ht="20.100000000000001" customHeight="1" x14ac:dyDescent="0.25">
      <c r="A47" s="39">
        <v>46</v>
      </c>
      <c r="B47" s="48" t="s">
        <v>1164</v>
      </c>
      <c r="C47" s="18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6"/>
      <c r="R47" s="56"/>
      <c r="S47" s="56">
        <v>158</v>
      </c>
      <c r="T47" s="58"/>
      <c r="U47" s="58"/>
      <c r="V47" s="58"/>
      <c r="W47" s="58"/>
      <c r="X47" s="58"/>
      <c r="Y47" s="58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</row>
    <row r="48" spans="1:52" ht="20.100000000000001" customHeight="1" x14ac:dyDescent="0.25">
      <c r="A48" s="39">
        <v>47</v>
      </c>
      <c r="B48" s="48" t="s">
        <v>1165</v>
      </c>
      <c r="C48" s="18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6"/>
      <c r="R48" s="56"/>
      <c r="S48" s="56">
        <v>158</v>
      </c>
      <c r="T48" s="58"/>
      <c r="U48" s="58"/>
      <c r="V48" s="58"/>
      <c r="W48" s="58"/>
      <c r="X48" s="58"/>
      <c r="Y48" s="58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</row>
    <row r="49" spans="1:52" ht="20.100000000000001" customHeight="1" x14ac:dyDescent="0.25">
      <c r="A49" s="39">
        <v>48</v>
      </c>
      <c r="B49" s="48" t="s">
        <v>1166</v>
      </c>
      <c r="C49" s="18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6"/>
      <c r="R49" s="56"/>
      <c r="S49" s="56" t="s">
        <v>1169</v>
      </c>
      <c r="T49" s="58"/>
      <c r="U49" s="58"/>
      <c r="V49" s="58"/>
      <c r="W49" s="58"/>
      <c r="X49" s="58"/>
      <c r="Y49" s="58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</row>
    <row r="50" spans="1:52" ht="20.100000000000001" customHeight="1" x14ac:dyDescent="0.25">
      <c r="A50" s="39">
        <v>49</v>
      </c>
      <c r="B50" s="48" t="s">
        <v>1167</v>
      </c>
      <c r="C50" s="18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6"/>
      <c r="R50" s="56"/>
      <c r="S50" s="56" t="s">
        <v>1169</v>
      </c>
      <c r="T50" s="58"/>
      <c r="U50" s="58"/>
      <c r="V50" s="58"/>
      <c r="W50" s="58"/>
      <c r="X50" s="58"/>
      <c r="Y50" s="58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</row>
    <row r="51" spans="1:52" ht="20.100000000000001" customHeight="1" x14ac:dyDescent="0.25">
      <c r="A51" s="39">
        <v>50</v>
      </c>
      <c r="B51" s="48" t="s">
        <v>1168</v>
      </c>
      <c r="C51" s="18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6"/>
      <c r="R51" s="56"/>
      <c r="S51" s="56" t="s">
        <v>1170</v>
      </c>
      <c r="T51" s="58"/>
      <c r="U51" s="58"/>
      <c r="V51" s="58"/>
      <c r="W51" s="58"/>
      <c r="X51" s="58"/>
      <c r="Y51" s="58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</row>
    <row r="52" spans="1:52" ht="20.100000000000001" customHeight="1" x14ac:dyDescent="0.25">
      <c r="A52" s="39">
        <v>51</v>
      </c>
      <c r="B52" s="48" t="s">
        <v>1150</v>
      </c>
      <c r="C52" s="18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6"/>
      <c r="R52" s="56"/>
      <c r="S52" s="56" t="s">
        <v>1170</v>
      </c>
      <c r="T52" s="58"/>
      <c r="U52" s="58"/>
      <c r="V52" s="58"/>
      <c r="W52" s="58"/>
      <c r="X52" s="58"/>
      <c r="Y52" s="58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</row>
    <row r="53" spans="1:52" ht="20.100000000000001" customHeight="1" x14ac:dyDescent="0.25">
      <c r="A53" s="39">
        <v>52</v>
      </c>
      <c r="B53" s="48" t="s">
        <v>625</v>
      </c>
      <c r="C53" s="18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6"/>
      <c r="R53" s="56"/>
      <c r="S53" s="56" t="s">
        <v>1170</v>
      </c>
      <c r="T53" s="58"/>
      <c r="U53" s="58"/>
      <c r="V53" s="58"/>
      <c r="W53" s="58"/>
      <c r="X53" s="58"/>
      <c r="Y53" s="58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</row>
    <row r="54" spans="1:52" ht="20.100000000000001" customHeight="1" x14ac:dyDescent="0.25">
      <c r="A54" s="39">
        <v>53</v>
      </c>
      <c r="B54" s="48" t="s">
        <v>1171</v>
      </c>
      <c r="C54" s="18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6"/>
      <c r="R54" s="56"/>
      <c r="S54" s="56"/>
      <c r="T54" s="58" t="s">
        <v>1172</v>
      </c>
      <c r="U54" s="58"/>
      <c r="V54" s="58" t="s">
        <v>1172</v>
      </c>
      <c r="W54" s="58"/>
      <c r="X54" s="58"/>
      <c r="Y54" s="58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</row>
    <row r="55" spans="1:52" ht="20.100000000000001" customHeight="1" x14ac:dyDescent="0.25">
      <c r="A55" s="39">
        <v>54</v>
      </c>
      <c r="B55" s="48" t="s">
        <v>1096</v>
      </c>
      <c r="C55" s="18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6"/>
      <c r="R55" s="56"/>
      <c r="S55" s="56"/>
      <c r="T55" s="58" t="s">
        <v>1172</v>
      </c>
      <c r="U55" s="58"/>
      <c r="V55" s="58" t="s">
        <v>1172</v>
      </c>
      <c r="W55" s="58"/>
      <c r="X55" s="58"/>
      <c r="Y55" s="58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</row>
    <row r="56" spans="1:52" ht="20.100000000000001" customHeight="1" x14ac:dyDescent="0.25">
      <c r="A56" s="39">
        <v>55</v>
      </c>
      <c r="B56" s="48" t="s">
        <v>1173</v>
      </c>
      <c r="C56" s="18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6"/>
      <c r="R56" s="56"/>
      <c r="S56" s="56"/>
      <c r="T56" s="58"/>
      <c r="U56" s="58"/>
      <c r="V56" s="58"/>
      <c r="W56" s="58" t="s">
        <v>1191</v>
      </c>
      <c r="X56" s="58"/>
      <c r="Y56" s="58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</row>
    <row r="57" spans="1:52" ht="20.100000000000001" customHeight="1" x14ac:dyDescent="0.25">
      <c r="A57" s="39">
        <v>56</v>
      </c>
      <c r="B57" s="48" t="s">
        <v>1174</v>
      </c>
      <c r="C57" s="18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6"/>
      <c r="R57" s="56"/>
      <c r="S57" s="56"/>
      <c r="T57" s="58"/>
      <c r="U57" s="58"/>
      <c r="V57" s="58"/>
      <c r="W57" s="58" t="s">
        <v>1192</v>
      </c>
      <c r="X57" s="58"/>
      <c r="Y57" s="58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</row>
    <row r="58" spans="1:52" ht="20.100000000000001" customHeight="1" x14ac:dyDescent="0.25">
      <c r="A58" s="39">
        <v>57</v>
      </c>
      <c r="B58" s="48" t="s">
        <v>1175</v>
      </c>
      <c r="C58" s="18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6"/>
      <c r="R58" s="56"/>
      <c r="S58" s="56"/>
      <c r="T58" s="58"/>
      <c r="U58" s="58"/>
      <c r="V58" s="58"/>
      <c r="W58" s="58" t="s">
        <v>1193</v>
      </c>
      <c r="X58" s="58"/>
      <c r="Y58" s="58" t="s">
        <v>1193</v>
      </c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</row>
    <row r="59" spans="1:52" ht="20.100000000000001" customHeight="1" x14ac:dyDescent="0.25">
      <c r="A59" s="39">
        <v>58</v>
      </c>
      <c r="B59" s="48" t="s">
        <v>1176</v>
      </c>
      <c r="C59" s="18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6"/>
      <c r="R59" s="56"/>
      <c r="S59" s="56"/>
      <c r="T59" s="58"/>
      <c r="U59" s="58"/>
      <c r="V59" s="58"/>
      <c r="W59" s="58" t="s">
        <v>1193</v>
      </c>
      <c r="X59" s="58"/>
      <c r="Y59" s="58" t="s">
        <v>1193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</row>
    <row r="60" spans="1:52" ht="20.100000000000001" customHeight="1" x14ac:dyDescent="0.25">
      <c r="A60" s="39">
        <v>59</v>
      </c>
      <c r="B60" s="48" t="s">
        <v>1177</v>
      </c>
      <c r="C60" s="18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6"/>
      <c r="R60" s="56"/>
      <c r="S60" s="56"/>
      <c r="T60" s="58"/>
      <c r="U60" s="58"/>
      <c r="V60" s="58"/>
      <c r="W60" s="58" t="s">
        <v>1194</v>
      </c>
      <c r="X60" s="58"/>
      <c r="Y60" s="58" t="s">
        <v>1194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</row>
    <row r="61" spans="1:52" ht="20.100000000000001" customHeight="1" x14ac:dyDescent="0.25">
      <c r="A61" s="39">
        <v>60</v>
      </c>
      <c r="B61" s="48" t="s">
        <v>1178</v>
      </c>
      <c r="C61" s="18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56"/>
      <c r="R61" s="56"/>
      <c r="S61" s="56"/>
      <c r="T61" s="58"/>
      <c r="U61" s="58"/>
      <c r="V61" s="58"/>
      <c r="W61" s="58" t="s">
        <v>1194</v>
      </c>
      <c r="X61" s="58"/>
      <c r="Y61" s="58" t="s">
        <v>1194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</row>
    <row r="62" spans="1:52" ht="20.100000000000001" customHeight="1" x14ac:dyDescent="0.25">
      <c r="A62" s="39">
        <v>61</v>
      </c>
      <c r="B62" s="48" t="s">
        <v>1179</v>
      </c>
      <c r="C62" s="18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6"/>
      <c r="R62" s="56"/>
      <c r="S62" s="56"/>
      <c r="T62" s="58"/>
      <c r="U62" s="58"/>
      <c r="V62" s="58"/>
      <c r="W62" s="58" t="s">
        <v>1195</v>
      </c>
      <c r="X62" s="58"/>
      <c r="Y62" s="58" t="s">
        <v>1195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</row>
    <row r="63" spans="1:52" ht="20.100000000000001" customHeight="1" x14ac:dyDescent="0.25">
      <c r="A63" s="39">
        <v>62</v>
      </c>
      <c r="B63" s="48" t="s">
        <v>1180</v>
      </c>
      <c r="C63" s="18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56"/>
      <c r="R63" s="56"/>
      <c r="S63" s="56"/>
      <c r="T63" s="58"/>
      <c r="U63" s="58"/>
      <c r="V63" s="58"/>
      <c r="W63" s="58" t="s">
        <v>1196</v>
      </c>
      <c r="X63" s="58"/>
      <c r="Y63" s="58" t="s">
        <v>1196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</row>
    <row r="64" spans="1:52" ht="20.100000000000001" customHeight="1" x14ac:dyDescent="0.25">
      <c r="A64" s="39">
        <v>63</v>
      </c>
      <c r="B64" s="48" t="s">
        <v>1181</v>
      </c>
      <c r="C64" s="18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56"/>
      <c r="R64" s="56"/>
      <c r="S64" s="56"/>
      <c r="T64" s="58"/>
      <c r="U64" s="58"/>
      <c r="V64" s="58"/>
      <c r="W64" s="58" t="s">
        <v>1196</v>
      </c>
      <c r="X64" s="58"/>
      <c r="Y64" s="58" t="s">
        <v>1196</v>
      </c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</row>
    <row r="65" spans="1:52" ht="20.100000000000001" customHeight="1" x14ac:dyDescent="0.25">
      <c r="A65" s="39">
        <v>64</v>
      </c>
      <c r="B65" s="48" t="s">
        <v>1182</v>
      </c>
      <c r="C65" s="18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56"/>
      <c r="R65" s="56"/>
      <c r="S65" s="56"/>
      <c r="T65" s="58"/>
      <c r="U65" s="58"/>
      <c r="V65" s="58"/>
      <c r="W65" s="58" t="s">
        <v>1196</v>
      </c>
      <c r="X65" s="58"/>
      <c r="Y65" s="58" t="s">
        <v>1196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</row>
    <row r="66" spans="1:52" ht="20.100000000000001" customHeight="1" x14ac:dyDescent="0.25">
      <c r="A66" s="39">
        <v>65</v>
      </c>
      <c r="B66" s="48" t="s">
        <v>1183</v>
      </c>
      <c r="C66" s="18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56"/>
      <c r="R66" s="56"/>
      <c r="S66" s="56"/>
      <c r="T66" s="58"/>
      <c r="U66" s="58"/>
      <c r="V66" s="58"/>
      <c r="W66" s="58" t="s">
        <v>1197</v>
      </c>
      <c r="X66" s="58"/>
      <c r="Y66" s="58" t="s">
        <v>1197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</row>
    <row r="67" spans="1:52" ht="20.100000000000001" customHeight="1" x14ac:dyDescent="0.25">
      <c r="A67" s="39">
        <v>66</v>
      </c>
      <c r="B67" s="48" t="s">
        <v>1184</v>
      </c>
      <c r="C67" s="18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56"/>
      <c r="R67" s="56"/>
      <c r="S67" s="56"/>
      <c r="T67" s="58"/>
      <c r="U67" s="58"/>
      <c r="V67" s="58"/>
      <c r="W67" s="58" t="s">
        <v>1197</v>
      </c>
      <c r="X67" s="58"/>
      <c r="Y67" s="58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</row>
    <row r="68" spans="1:52" ht="20.100000000000001" customHeight="1" x14ac:dyDescent="0.25">
      <c r="A68" s="39">
        <v>67</v>
      </c>
      <c r="B68" s="48" t="s">
        <v>1185</v>
      </c>
      <c r="C68" s="18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56"/>
      <c r="R68" s="56"/>
      <c r="S68" s="56"/>
      <c r="T68" s="58"/>
      <c r="U68" s="58"/>
      <c r="V68" s="58"/>
      <c r="W68" s="58" t="s">
        <v>1197</v>
      </c>
      <c r="X68" s="58"/>
      <c r="Y68" s="58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</row>
    <row r="69" spans="1:52" ht="20.100000000000001" customHeight="1" x14ac:dyDescent="0.25">
      <c r="A69" s="39">
        <v>68</v>
      </c>
      <c r="B69" s="48" t="s">
        <v>1186</v>
      </c>
      <c r="C69" s="18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56"/>
      <c r="R69" s="56"/>
      <c r="S69" s="56"/>
      <c r="T69" s="58"/>
      <c r="U69" s="58"/>
      <c r="V69" s="58"/>
      <c r="W69" s="58" t="s">
        <v>1198</v>
      </c>
      <c r="X69" s="58"/>
      <c r="Y69" s="58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</row>
    <row r="70" spans="1:52" ht="20.100000000000001" customHeight="1" x14ac:dyDescent="0.25">
      <c r="A70" s="39">
        <v>69</v>
      </c>
      <c r="B70" s="40" t="s">
        <v>1187</v>
      </c>
      <c r="C70" s="18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6"/>
      <c r="R70" s="56"/>
      <c r="S70" s="56"/>
      <c r="T70" s="58"/>
      <c r="U70" s="58"/>
      <c r="V70" s="58"/>
      <c r="W70" s="58" t="s">
        <v>1199</v>
      </c>
      <c r="X70" s="58" t="s">
        <v>1202</v>
      </c>
      <c r="Y70" s="58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</row>
    <row r="71" spans="1:52" ht="20.100000000000001" customHeight="1" x14ac:dyDescent="0.25">
      <c r="A71" s="39">
        <v>70</v>
      </c>
      <c r="B71" s="40" t="s">
        <v>1188</v>
      </c>
      <c r="C71" s="18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6"/>
      <c r="R71" s="56"/>
      <c r="S71" s="56"/>
      <c r="T71" s="58"/>
      <c r="U71" s="58"/>
      <c r="V71" s="58"/>
      <c r="W71" s="58" t="s">
        <v>1199</v>
      </c>
      <c r="X71" s="58" t="s">
        <v>1203</v>
      </c>
      <c r="Y71" s="58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</row>
    <row r="72" spans="1:52" ht="20.100000000000001" customHeight="1" x14ac:dyDescent="0.25">
      <c r="A72" s="39">
        <v>71</v>
      </c>
      <c r="B72" s="40" t="s">
        <v>1189</v>
      </c>
      <c r="C72" s="18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56"/>
      <c r="R72" s="56"/>
      <c r="S72" s="56"/>
      <c r="T72" s="58"/>
      <c r="U72" s="58"/>
      <c r="V72" s="58"/>
      <c r="W72" s="58" t="s">
        <v>1200</v>
      </c>
      <c r="X72" s="58"/>
      <c r="Y72" s="58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</row>
    <row r="73" spans="1:52" ht="20.100000000000001" customHeight="1" x14ac:dyDescent="0.25">
      <c r="A73" s="39">
        <v>72</v>
      </c>
      <c r="B73" s="40" t="s">
        <v>1190</v>
      </c>
      <c r="C73" s="18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6"/>
      <c r="R73" s="56"/>
      <c r="S73" s="56"/>
      <c r="T73" s="58"/>
      <c r="U73" s="58"/>
      <c r="V73" s="58"/>
      <c r="W73" s="58" t="s">
        <v>1201</v>
      </c>
      <c r="X73" s="58"/>
      <c r="Y73" s="58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</row>
    <row r="74" spans="1:52" ht="20.100000000000001" customHeight="1" x14ac:dyDescent="0.25">
      <c r="A74" s="39">
        <v>73</v>
      </c>
      <c r="B74" s="40" t="s">
        <v>619</v>
      </c>
      <c r="C74" s="18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6"/>
      <c r="R74" s="56"/>
      <c r="S74" s="56"/>
      <c r="T74" s="58"/>
      <c r="U74" s="58"/>
      <c r="V74" s="58"/>
      <c r="W74" s="58"/>
      <c r="X74" s="58"/>
      <c r="Y74" s="58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>
        <v>0</v>
      </c>
      <c r="AV74" s="42">
        <v>0</v>
      </c>
      <c r="AW74" s="42"/>
      <c r="AX74" s="42"/>
      <c r="AY74" s="42"/>
      <c r="AZ74" s="42"/>
    </row>
    <row r="75" spans="1:52" ht="20.100000000000001" customHeight="1" x14ac:dyDescent="0.25">
      <c r="A75" s="39">
        <v>74</v>
      </c>
      <c r="B75" s="40" t="s">
        <v>1163</v>
      </c>
      <c r="C75" s="18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56"/>
      <c r="R75" s="56"/>
      <c r="S75" s="56"/>
      <c r="T75" s="58"/>
      <c r="U75" s="58"/>
      <c r="V75" s="58"/>
      <c r="W75" s="58"/>
      <c r="X75" s="58"/>
      <c r="Y75" s="58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>
        <v>101</v>
      </c>
      <c r="AV75" s="42">
        <v>101</v>
      </c>
      <c r="AW75" s="42"/>
      <c r="AX75" s="42"/>
      <c r="AY75" s="42"/>
      <c r="AZ75" s="42"/>
    </row>
    <row r="76" spans="1:52" ht="20.100000000000001" customHeight="1" x14ac:dyDescent="0.25">
      <c r="A76" s="39">
        <v>75</v>
      </c>
      <c r="B76" s="40" t="s">
        <v>1162</v>
      </c>
      <c r="C76" s="18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56"/>
      <c r="R76" s="56"/>
      <c r="S76" s="56"/>
      <c r="T76" s="58"/>
      <c r="U76" s="58"/>
      <c r="V76" s="58"/>
      <c r="W76" s="58"/>
      <c r="X76" s="58"/>
      <c r="Y76" s="58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>
        <v>101</v>
      </c>
      <c r="AV76" s="42">
        <v>101</v>
      </c>
      <c r="AW76" s="42"/>
      <c r="AX76" s="42"/>
      <c r="AY76" s="42"/>
      <c r="AZ76" s="42"/>
    </row>
    <row r="77" spans="1:52" ht="20.100000000000001" customHeight="1" x14ac:dyDescent="0.25">
      <c r="A77" s="39">
        <v>76</v>
      </c>
      <c r="B77" s="40" t="s">
        <v>1606</v>
      </c>
      <c r="C77" s="18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56"/>
      <c r="R77" s="56"/>
      <c r="S77" s="56"/>
      <c r="T77" s="58"/>
      <c r="U77" s="58"/>
      <c r="V77" s="58"/>
      <c r="W77" s="58"/>
      <c r="X77" s="58"/>
      <c r="Y77" s="58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>
        <v>232</v>
      </c>
      <c r="AV77" s="42">
        <v>232</v>
      </c>
      <c r="AW77" s="42"/>
      <c r="AX77" s="42"/>
      <c r="AY77" s="42"/>
      <c r="AZ77" s="42"/>
    </row>
    <row r="78" spans="1:52" ht="20.100000000000001" customHeight="1" x14ac:dyDescent="0.25">
      <c r="A78" s="39">
        <v>77</v>
      </c>
      <c r="B78" s="40" t="s">
        <v>1164</v>
      </c>
      <c r="C78" s="18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56"/>
      <c r="R78" s="56"/>
      <c r="S78" s="56"/>
      <c r="T78" s="58"/>
      <c r="U78" s="58"/>
      <c r="V78" s="58"/>
      <c r="W78" s="58"/>
      <c r="X78" s="58"/>
      <c r="Y78" s="58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>
        <v>232</v>
      </c>
      <c r="AV78" s="42">
        <v>232</v>
      </c>
      <c r="AW78" s="42"/>
      <c r="AX78" s="42"/>
      <c r="AY78" s="42"/>
      <c r="AZ78" s="42"/>
    </row>
    <row r="79" spans="1:52" ht="20.100000000000001" customHeight="1" x14ac:dyDescent="0.25">
      <c r="A79" s="39">
        <v>78</v>
      </c>
      <c r="B79" s="40" t="s">
        <v>1607</v>
      </c>
      <c r="C79" s="18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56"/>
      <c r="R79" s="56"/>
      <c r="S79" s="56"/>
      <c r="T79" s="58"/>
      <c r="U79" s="58"/>
      <c r="V79" s="58"/>
      <c r="W79" s="58"/>
      <c r="X79" s="58"/>
      <c r="Y79" s="58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>
        <v>232</v>
      </c>
      <c r="AV79" s="42">
        <v>232</v>
      </c>
      <c r="AW79" s="42"/>
      <c r="AX79" s="42"/>
      <c r="AY79" s="42"/>
      <c r="AZ79" s="42"/>
    </row>
    <row r="80" spans="1:52" ht="20.100000000000001" customHeight="1" x14ac:dyDescent="0.25">
      <c r="A80" s="39">
        <v>79</v>
      </c>
      <c r="B80" s="40" t="s">
        <v>1166</v>
      </c>
      <c r="C80" s="18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56"/>
      <c r="R80" s="56"/>
      <c r="S80" s="56"/>
      <c r="T80" s="58"/>
      <c r="U80" s="58"/>
      <c r="V80" s="58"/>
      <c r="W80" s="58"/>
      <c r="X80" s="58"/>
      <c r="Y80" s="58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>
        <v>398</v>
      </c>
      <c r="AV80" s="42">
        <v>398</v>
      </c>
      <c r="AW80" s="42"/>
      <c r="AX80" s="42"/>
      <c r="AY80" s="42"/>
      <c r="AZ80" s="42"/>
    </row>
    <row r="81" spans="1:52" ht="20.100000000000001" customHeight="1" x14ac:dyDescent="0.25">
      <c r="A81" s="39">
        <v>80</v>
      </c>
      <c r="B81" s="40" t="s">
        <v>1167</v>
      </c>
      <c r="C81" s="18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56"/>
      <c r="R81" s="56"/>
      <c r="S81" s="56"/>
      <c r="T81" s="58"/>
      <c r="U81" s="58"/>
      <c r="V81" s="58"/>
      <c r="W81" s="58"/>
      <c r="X81" s="58"/>
      <c r="Y81" s="58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>
        <v>431</v>
      </c>
      <c r="AV81" s="42">
        <v>431</v>
      </c>
      <c r="AW81" s="42">
        <v>0</v>
      </c>
      <c r="AX81" s="42"/>
      <c r="AY81" s="42">
        <v>0</v>
      </c>
      <c r="AZ81" s="42"/>
    </row>
    <row r="82" spans="1:52" ht="20.100000000000001" customHeight="1" x14ac:dyDescent="0.25">
      <c r="A82" s="39">
        <v>81</v>
      </c>
      <c r="B82" s="40" t="s">
        <v>1168</v>
      </c>
      <c r="C82" s="18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6"/>
      <c r="R82" s="56"/>
      <c r="S82" s="56"/>
      <c r="T82" s="58"/>
      <c r="U82" s="58"/>
      <c r="V82" s="58"/>
      <c r="W82" s="58"/>
      <c r="X82" s="58"/>
      <c r="Y82" s="58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>
        <v>505</v>
      </c>
      <c r="AV82" s="42">
        <v>505</v>
      </c>
      <c r="AW82" s="42">
        <v>73</v>
      </c>
      <c r="AX82" s="42"/>
      <c r="AY82" s="42">
        <v>73</v>
      </c>
      <c r="AZ82" s="42"/>
    </row>
    <row r="83" spans="1:52" ht="20.100000000000001" customHeight="1" x14ac:dyDescent="0.25">
      <c r="A83" s="39">
        <v>82</v>
      </c>
      <c r="B83" s="40" t="s">
        <v>625</v>
      </c>
      <c r="C83" s="18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6"/>
      <c r="R83" s="56"/>
      <c r="S83" s="56"/>
      <c r="T83" s="58"/>
      <c r="U83" s="58"/>
      <c r="V83" s="58"/>
      <c r="W83" s="58"/>
      <c r="X83" s="58"/>
      <c r="Y83" s="58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>
        <v>505</v>
      </c>
      <c r="AV83" s="42">
        <v>505</v>
      </c>
      <c r="AW83" s="42">
        <v>73</v>
      </c>
      <c r="AX83" s="42"/>
      <c r="AY83" s="42">
        <v>73</v>
      </c>
      <c r="AZ83" s="42"/>
    </row>
    <row r="84" spans="1:52" ht="20.100000000000001" customHeight="1" x14ac:dyDescent="0.25">
      <c r="A84" s="39">
        <v>83</v>
      </c>
      <c r="B84" s="40" t="s">
        <v>1608</v>
      </c>
      <c r="C84" s="18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56"/>
      <c r="R84" s="56"/>
      <c r="S84" s="56"/>
      <c r="T84" s="58"/>
      <c r="U84" s="58"/>
      <c r="V84" s="58"/>
      <c r="W84" s="58"/>
      <c r="X84" s="58"/>
      <c r="Y84" s="58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>
        <v>73</v>
      </c>
      <c r="AX84" s="42"/>
      <c r="AY84" s="42">
        <v>73</v>
      </c>
      <c r="AZ84" s="42"/>
    </row>
    <row r="85" spans="1:52" ht="20.100000000000001" customHeight="1" x14ac:dyDescent="0.25">
      <c r="A85" s="39">
        <v>84</v>
      </c>
      <c r="B85" s="40" t="s">
        <v>601</v>
      </c>
      <c r="C85" s="18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56"/>
      <c r="R85" s="56"/>
      <c r="S85" s="56"/>
      <c r="T85" s="58"/>
      <c r="U85" s="58"/>
      <c r="V85" s="58"/>
      <c r="W85" s="58"/>
      <c r="X85" s="58"/>
      <c r="Y85" s="58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>
        <v>588</v>
      </c>
      <c r="AV85" s="42">
        <v>588</v>
      </c>
      <c r="AW85" s="42">
        <v>154</v>
      </c>
      <c r="AX85" s="42"/>
      <c r="AY85" s="42">
        <v>154</v>
      </c>
      <c r="AZ85" s="42"/>
    </row>
    <row r="86" spans="1:52" ht="20.100000000000001" customHeight="1" x14ac:dyDescent="0.25">
      <c r="A86" s="39">
        <v>85</v>
      </c>
      <c r="B86" s="40" t="s">
        <v>1609</v>
      </c>
      <c r="C86" s="18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6"/>
      <c r="R86" s="56"/>
      <c r="S86" s="56"/>
      <c r="T86" s="58"/>
      <c r="U86" s="58"/>
      <c r="V86" s="58"/>
      <c r="W86" s="58"/>
      <c r="X86" s="58"/>
      <c r="Y86" s="58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>
        <v>656</v>
      </c>
      <c r="AV86" s="42">
        <v>656</v>
      </c>
      <c r="AW86" s="42">
        <v>222</v>
      </c>
      <c r="AX86" s="42"/>
      <c r="AY86" s="42">
        <v>222</v>
      </c>
      <c r="AZ86" s="42"/>
    </row>
    <row r="87" spans="1:52" ht="20.100000000000001" customHeight="1" x14ac:dyDescent="0.25">
      <c r="A87" s="39">
        <v>86</v>
      </c>
      <c r="B87" s="40" t="s">
        <v>1610</v>
      </c>
      <c r="C87" s="18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56"/>
      <c r="R87" s="56"/>
      <c r="S87" s="56"/>
      <c r="T87" s="58"/>
      <c r="U87" s="58"/>
      <c r="V87" s="58"/>
      <c r="W87" s="58"/>
      <c r="X87" s="58"/>
      <c r="Y87" s="58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>
        <v>749</v>
      </c>
      <c r="AV87" s="42">
        <v>749</v>
      </c>
      <c r="AW87" s="42"/>
      <c r="AX87" s="42"/>
      <c r="AY87" s="42"/>
      <c r="AZ87" s="42"/>
    </row>
    <row r="88" spans="1:52" ht="20.100000000000001" customHeight="1" x14ac:dyDescent="0.25">
      <c r="A88" s="39">
        <v>87</v>
      </c>
      <c r="B88" s="40" t="s">
        <v>1611</v>
      </c>
      <c r="C88" s="18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6"/>
      <c r="R88" s="56"/>
      <c r="S88" s="56"/>
      <c r="T88" s="58"/>
      <c r="U88" s="58"/>
      <c r="V88" s="58"/>
      <c r="W88" s="58"/>
      <c r="X88" s="58"/>
      <c r="Y88" s="58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>
        <v>879</v>
      </c>
      <c r="AV88" s="42">
        <v>879</v>
      </c>
      <c r="AW88" s="42"/>
      <c r="AX88" s="42"/>
      <c r="AY88" s="42"/>
      <c r="AZ88" s="42"/>
    </row>
    <row r="89" spans="1:52" ht="20.100000000000001" customHeight="1" x14ac:dyDescent="0.25">
      <c r="A89" s="39">
        <v>88</v>
      </c>
      <c r="B89" s="40" t="s">
        <v>1648</v>
      </c>
      <c r="C89" s="18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56"/>
      <c r="R89" s="56"/>
      <c r="S89" s="56"/>
      <c r="T89" s="58"/>
      <c r="U89" s="58"/>
      <c r="V89" s="58"/>
      <c r="W89" s="58"/>
      <c r="X89" s="58"/>
      <c r="Y89" s="58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>
        <v>0</v>
      </c>
      <c r="AY89" s="42"/>
      <c r="AZ89" s="42"/>
    </row>
    <row r="90" spans="1:52" ht="20.100000000000001" customHeight="1" x14ac:dyDescent="0.25">
      <c r="A90" s="39">
        <v>89</v>
      </c>
      <c r="B90" s="40" t="s">
        <v>1649</v>
      </c>
      <c r="C90" s="18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6"/>
      <c r="R90" s="56"/>
      <c r="S90" s="56"/>
      <c r="T90" s="58"/>
      <c r="U90" s="58"/>
      <c r="V90" s="58"/>
      <c r="W90" s="58"/>
      <c r="X90" s="58"/>
      <c r="Y90" s="58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>
        <v>95</v>
      </c>
      <c r="AY90" s="42"/>
      <c r="AZ90" s="42"/>
    </row>
    <row r="91" spans="1:52" ht="20.100000000000001" customHeight="1" x14ac:dyDescent="0.25">
      <c r="A91" s="39">
        <v>90</v>
      </c>
      <c r="B91" s="40" t="s">
        <v>1650</v>
      </c>
      <c r="C91" s="18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56"/>
      <c r="R91" s="56"/>
      <c r="S91" s="56"/>
      <c r="T91" s="58"/>
      <c r="U91" s="58"/>
      <c r="V91" s="58"/>
      <c r="W91" s="58"/>
      <c r="X91" s="58"/>
      <c r="Y91" s="58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>
        <v>198</v>
      </c>
      <c r="AY91" s="42"/>
      <c r="AZ91" s="42"/>
    </row>
    <row r="92" spans="1:52" ht="20.100000000000001" customHeight="1" x14ac:dyDescent="0.25">
      <c r="A92" s="39">
        <v>91</v>
      </c>
      <c r="B92" s="40" t="s">
        <v>1651</v>
      </c>
      <c r="C92" s="18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6"/>
      <c r="R92" s="56"/>
      <c r="S92" s="56"/>
      <c r="T92" s="58"/>
      <c r="U92" s="58"/>
      <c r="V92" s="58"/>
      <c r="W92" s="58"/>
      <c r="X92" s="58"/>
      <c r="Y92" s="58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>
        <v>309</v>
      </c>
      <c r="AY92" s="42"/>
      <c r="AZ92" s="42"/>
    </row>
    <row r="93" spans="1:52" ht="20.100000000000001" customHeight="1" x14ac:dyDescent="0.25">
      <c r="A93" s="39">
        <v>92</v>
      </c>
      <c r="B93" s="40" t="s">
        <v>1652</v>
      </c>
      <c r="C93" s="18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56"/>
      <c r="R93" s="56"/>
      <c r="S93" s="56"/>
      <c r="T93" s="58"/>
      <c r="U93" s="58"/>
      <c r="V93" s="58"/>
      <c r="W93" s="58"/>
      <c r="X93" s="58"/>
      <c r="Y93" s="58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</row>
    <row r="94" spans="1:52" ht="20.100000000000001" customHeight="1" x14ac:dyDescent="0.25">
      <c r="A94" s="39">
        <v>93</v>
      </c>
      <c r="B94" s="40" t="s">
        <v>1653</v>
      </c>
      <c r="C94" s="18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6"/>
      <c r="R94" s="56"/>
      <c r="S94" s="56"/>
      <c r="T94" s="58"/>
      <c r="U94" s="58"/>
      <c r="V94" s="58"/>
      <c r="W94" s="58"/>
      <c r="X94" s="58"/>
      <c r="Y94" s="58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>
        <v>533</v>
      </c>
      <c r="AY94" s="42"/>
      <c r="AZ94" s="42"/>
    </row>
    <row r="95" spans="1:52" ht="20.100000000000001" customHeight="1" x14ac:dyDescent="0.25">
      <c r="A95" s="39">
        <v>94</v>
      </c>
      <c r="B95" s="40"/>
      <c r="C95" s="18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6"/>
      <c r="R95" s="56"/>
      <c r="S95" s="56"/>
      <c r="T95" s="58"/>
      <c r="U95" s="58"/>
      <c r="V95" s="58"/>
      <c r="W95" s="58"/>
      <c r="X95" s="58"/>
      <c r="Y95" s="58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</row>
    <row r="96" spans="1:52" ht="20.100000000000001" customHeight="1" x14ac:dyDescent="0.25">
      <c r="A96" s="39">
        <v>95</v>
      </c>
      <c r="B96" s="40"/>
      <c r="C96" s="18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6"/>
      <c r="R96" s="56"/>
      <c r="S96" s="56"/>
      <c r="T96" s="58"/>
      <c r="U96" s="58"/>
      <c r="V96" s="58"/>
      <c r="W96" s="58"/>
      <c r="X96" s="58"/>
      <c r="Y96" s="58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</row>
    <row r="97" spans="1:52" ht="20.100000000000001" customHeight="1" x14ac:dyDescent="0.25">
      <c r="A97" s="39">
        <v>96</v>
      </c>
      <c r="B97" s="40"/>
      <c r="C97" s="18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6"/>
      <c r="R97" s="56"/>
      <c r="S97" s="56"/>
      <c r="T97" s="58"/>
      <c r="U97" s="58"/>
      <c r="V97" s="58"/>
      <c r="W97" s="58"/>
      <c r="X97" s="58"/>
      <c r="Y97" s="58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</row>
    <row r="98" spans="1:52" ht="20.100000000000001" customHeight="1" x14ac:dyDescent="0.25">
      <c r="A98" s="39">
        <v>97</v>
      </c>
      <c r="B98" s="40"/>
      <c r="C98" s="18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6"/>
      <c r="R98" s="56"/>
      <c r="S98" s="56"/>
      <c r="T98" s="58"/>
      <c r="U98" s="58"/>
      <c r="V98" s="58"/>
      <c r="W98" s="58"/>
      <c r="X98" s="58"/>
      <c r="Y98" s="58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</row>
    <row r="99" spans="1:52" ht="20.100000000000001" customHeight="1" x14ac:dyDescent="0.25">
      <c r="A99" s="39">
        <v>98</v>
      </c>
      <c r="B99" s="40"/>
      <c r="C99" s="18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6"/>
      <c r="R99" s="56"/>
      <c r="S99" s="56"/>
      <c r="T99" s="58"/>
      <c r="U99" s="58"/>
      <c r="V99" s="58"/>
      <c r="W99" s="58"/>
      <c r="X99" s="58"/>
      <c r="Y99" s="58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</row>
    <row r="100" spans="1:52" ht="20.100000000000001" customHeight="1" x14ac:dyDescent="0.25">
      <c r="A100" s="39">
        <v>99</v>
      </c>
      <c r="B100" s="40"/>
      <c r="C100" s="18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6"/>
      <c r="R100" s="56"/>
      <c r="S100" s="56"/>
      <c r="T100" s="58"/>
      <c r="U100" s="58"/>
      <c r="V100" s="58"/>
      <c r="W100" s="58"/>
      <c r="X100" s="58"/>
      <c r="Y100" s="58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</row>
    <row r="101" spans="1:52" ht="20.100000000000001" customHeight="1" x14ac:dyDescent="0.25">
      <c r="A101" s="39">
        <v>100</v>
      </c>
      <c r="B101" s="40"/>
      <c r="C101" s="18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6"/>
      <c r="R101" s="56"/>
      <c r="S101" s="56"/>
      <c r="T101" s="58"/>
      <c r="U101" s="58"/>
      <c r="V101" s="58"/>
      <c r="W101" s="58"/>
      <c r="X101" s="58"/>
      <c r="Y101" s="58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</row>
    <row r="102" spans="1:52" ht="20.100000000000001" customHeight="1" x14ac:dyDescent="0.25">
      <c r="A102" s="39">
        <v>101</v>
      </c>
      <c r="B102" s="40"/>
      <c r="C102" s="18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6"/>
      <c r="R102" s="56"/>
      <c r="S102" s="56"/>
      <c r="T102" s="58"/>
      <c r="U102" s="58"/>
      <c r="V102" s="58"/>
      <c r="W102" s="58"/>
      <c r="X102" s="58"/>
      <c r="Y102" s="58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</row>
    <row r="103" spans="1:52" ht="20.100000000000001" customHeight="1" x14ac:dyDescent="0.25">
      <c r="A103" s="39">
        <v>102</v>
      </c>
      <c r="B103" s="40"/>
      <c r="C103" s="18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6"/>
      <c r="R103" s="56"/>
      <c r="S103" s="56"/>
      <c r="T103" s="58"/>
      <c r="U103" s="58"/>
      <c r="V103" s="58"/>
      <c r="W103" s="58"/>
      <c r="X103" s="58"/>
      <c r="Y103" s="58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</row>
    <row r="104" spans="1:52" ht="20.100000000000001" customHeight="1" x14ac:dyDescent="0.25">
      <c r="A104" s="39">
        <v>103</v>
      </c>
      <c r="B104" s="40"/>
      <c r="C104" s="18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56"/>
      <c r="R104" s="56"/>
      <c r="S104" s="56"/>
      <c r="T104" s="58"/>
      <c r="U104" s="58"/>
      <c r="V104" s="58"/>
      <c r="W104" s="58"/>
      <c r="X104" s="58"/>
      <c r="Y104" s="58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</row>
    <row r="105" spans="1:52" ht="20.100000000000001" customHeight="1" x14ac:dyDescent="0.25">
      <c r="A105" s="39">
        <v>104</v>
      </c>
      <c r="B105" s="40"/>
      <c r="C105" s="18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56"/>
      <c r="R105" s="56"/>
      <c r="S105" s="56"/>
      <c r="T105" s="58"/>
      <c r="U105" s="58"/>
      <c r="V105" s="58"/>
      <c r="W105" s="58"/>
      <c r="X105" s="58"/>
      <c r="Y105" s="58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</row>
    <row r="106" spans="1:52" ht="20.100000000000001" customHeight="1" x14ac:dyDescent="0.25">
      <c r="A106" s="39">
        <v>105</v>
      </c>
      <c r="B106" s="40"/>
      <c r="C106" s="18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6"/>
      <c r="R106" s="56"/>
      <c r="S106" s="56"/>
      <c r="T106" s="58"/>
      <c r="U106" s="58"/>
      <c r="V106" s="58"/>
      <c r="W106" s="58"/>
      <c r="X106" s="58"/>
      <c r="Y106" s="58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</row>
    <row r="107" spans="1:52" ht="20.100000000000001" customHeight="1" x14ac:dyDescent="0.25">
      <c r="A107" s="39">
        <v>106</v>
      </c>
      <c r="B107" s="40"/>
      <c r="C107" s="18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6"/>
      <c r="R107" s="56"/>
      <c r="S107" s="56"/>
      <c r="T107" s="58"/>
      <c r="U107" s="58"/>
      <c r="V107" s="58"/>
      <c r="W107" s="58"/>
      <c r="X107" s="58"/>
      <c r="Y107" s="58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</row>
    <row r="108" spans="1:52" ht="20.100000000000001" customHeight="1" x14ac:dyDescent="0.25">
      <c r="A108" s="39">
        <v>107</v>
      </c>
      <c r="B108" s="40"/>
      <c r="C108" s="18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6"/>
      <c r="R108" s="56"/>
      <c r="S108" s="56"/>
      <c r="T108" s="58"/>
      <c r="U108" s="58"/>
      <c r="V108" s="58"/>
      <c r="W108" s="58"/>
      <c r="X108" s="58"/>
      <c r="Y108" s="58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</row>
    <row r="109" spans="1:52" ht="20.100000000000001" customHeight="1" x14ac:dyDescent="0.25">
      <c r="A109" s="39">
        <v>108</v>
      </c>
      <c r="B109" s="40"/>
      <c r="C109" s="18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6"/>
      <c r="R109" s="56"/>
      <c r="S109" s="56"/>
      <c r="T109" s="58"/>
      <c r="U109" s="58"/>
      <c r="V109" s="58"/>
      <c r="W109" s="58"/>
      <c r="X109" s="58"/>
      <c r="Y109" s="58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</row>
    <row r="110" spans="1:52" ht="20.100000000000001" customHeight="1" x14ac:dyDescent="0.25">
      <c r="A110" s="39">
        <v>109</v>
      </c>
      <c r="B110" s="40"/>
      <c r="C110" s="18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6"/>
      <c r="R110" s="56"/>
      <c r="S110" s="56"/>
      <c r="T110" s="58"/>
      <c r="U110" s="58"/>
      <c r="V110" s="58"/>
      <c r="W110" s="58"/>
      <c r="X110" s="58"/>
      <c r="Y110" s="58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</row>
    <row r="111" spans="1:52" ht="20.100000000000001" customHeight="1" x14ac:dyDescent="0.25">
      <c r="A111" s="39">
        <v>110</v>
      </c>
      <c r="B111" s="40"/>
      <c r="C111" s="18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6"/>
      <c r="R111" s="56"/>
      <c r="S111" s="56"/>
      <c r="T111" s="58"/>
      <c r="U111" s="58"/>
      <c r="V111" s="58"/>
      <c r="W111" s="58"/>
      <c r="X111" s="58"/>
      <c r="Y111" s="58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</row>
    <row r="112" spans="1:52" ht="20.100000000000001" customHeight="1" x14ac:dyDescent="0.25">
      <c r="A112" s="39">
        <v>111</v>
      </c>
      <c r="B112" s="40"/>
      <c r="C112" s="18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6"/>
      <c r="R112" s="56"/>
      <c r="S112" s="56"/>
      <c r="T112" s="58"/>
      <c r="U112" s="58"/>
      <c r="V112" s="58"/>
      <c r="W112" s="58"/>
      <c r="X112" s="58"/>
      <c r="Y112" s="58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</row>
    <row r="113" spans="1:52" ht="20.100000000000001" customHeight="1" x14ac:dyDescent="0.25">
      <c r="A113" s="39">
        <v>112</v>
      </c>
      <c r="B113" s="40"/>
      <c r="C113" s="18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6"/>
      <c r="R113" s="56"/>
      <c r="S113" s="56"/>
      <c r="T113" s="58"/>
      <c r="U113" s="58"/>
      <c r="V113" s="58"/>
      <c r="W113" s="58"/>
      <c r="X113" s="58"/>
      <c r="Y113" s="58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</row>
    <row r="114" spans="1:52" ht="20.100000000000001" customHeight="1" x14ac:dyDescent="0.25">
      <c r="A114" s="39">
        <v>113</v>
      </c>
      <c r="B114" s="40"/>
      <c r="C114" s="18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56"/>
      <c r="R114" s="56"/>
      <c r="S114" s="56"/>
      <c r="T114" s="58"/>
      <c r="U114" s="58"/>
      <c r="V114" s="58"/>
      <c r="W114" s="58"/>
      <c r="X114" s="58"/>
      <c r="Y114" s="58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</row>
    <row r="115" spans="1:52" ht="20.100000000000001" customHeight="1" x14ac:dyDescent="0.25">
      <c r="A115" s="39">
        <v>114</v>
      </c>
      <c r="B115" s="40"/>
      <c r="C115" s="18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56"/>
      <c r="R115" s="56"/>
      <c r="S115" s="56"/>
      <c r="T115" s="58"/>
      <c r="U115" s="58"/>
      <c r="V115" s="58"/>
      <c r="W115" s="58"/>
      <c r="X115" s="58"/>
      <c r="Y115" s="58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</row>
    <row r="116" spans="1:52" ht="20.100000000000001" customHeight="1" x14ac:dyDescent="0.25">
      <c r="A116" s="39">
        <v>115</v>
      </c>
      <c r="B116" s="40"/>
      <c r="C116" s="18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6"/>
      <c r="R116" s="56"/>
      <c r="S116" s="56"/>
      <c r="T116" s="58"/>
      <c r="U116" s="58"/>
      <c r="V116" s="58"/>
      <c r="W116" s="58"/>
      <c r="X116" s="58"/>
      <c r="Y116" s="58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</row>
    <row r="117" spans="1:52" ht="20.100000000000001" customHeight="1" x14ac:dyDescent="0.25">
      <c r="A117" s="39">
        <v>116</v>
      </c>
      <c r="B117" s="40"/>
      <c r="C117" s="18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56"/>
      <c r="R117" s="56"/>
      <c r="S117" s="56"/>
      <c r="T117" s="58"/>
      <c r="U117" s="58"/>
      <c r="V117" s="58"/>
      <c r="W117" s="58"/>
      <c r="X117" s="58"/>
      <c r="Y117" s="58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</row>
    <row r="118" spans="1:52" ht="20.100000000000001" customHeight="1" x14ac:dyDescent="0.25">
      <c r="A118" s="39">
        <v>117</v>
      </c>
      <c r="B118" s="40"/>
      <c r="C118" s="18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56"/>
      <c r="R118" s="56"/>
      <c r="S118" s="56"/>
      <c r="T118" s="58"/>
      <c r="U118" s="58"/>
      <c r="V118" s="58"/>
      <c r="W118" s="58"/>
      <c r="X118" s="58"/>
      <c r="Y118" s="58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</row>
    <row r="119" spans="1:52" ht="20.100000000000001" customHeight="1" x14ac:dyDescent="0.25">
      <c r="A119" s="39">
        <v>118</v>
      </c>
      <c r="B119" s="40"/>
      <c r="C119" s="18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56"/>
      <c r="R119" s="56"/>
      <c r="S119" s="56"/>
      <c r="T119" s="58"/>
      <c r="U119" s="58"/>
      <c r="V119" s="58"/>
      <c r="W119" s="58"/>
      <c r="X119" s="58"/>
      <c r="Y119" s="58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</row>
    <row r="120" spans="1:52" ht="20.100000000000001" customHeight="1" x14ac:dyDescent="0.25">
      <c r="A120" s="39">
        <v>119</v>
      </c>
      <c r="B120" s="40"/>
      <c r="C120" s="18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56"/>
      <c r="R120" s="56"/>
      <c r="S120" s="56"/>
      <c r="T120" s="58"/>
      <c r="U120" s="58"/>
      <c r="V120" s="58"/>
      <c r="W120" s="58"/>
      <c r="X120" s="58"/>
      <c r="Y120" s="58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</row>
    <row r="121" spans="1:52" ht="20.100000000000001" customHeight="1" x14ac:dyDescent="0.25">
      <c r="A121" s="39">
        <v>120</v>
      </c>
      <c r="B121" s="40"/>
      <c r="C121" s="18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56"/>
      <c r="R121" s="56"/>
      <c r="S121" s="56"/>
      <c r="T121" s="58"/>
      <c r="U121" s="58"/>
      <c r="V121" s="58"/>
      <c r="W121" s="58"/>
      <c r="X121" s="58"/>
      <c r="Y121" s="58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</row>
    <row r="122" spans="1:52" ht="20.100000000000001" customHeight="1" x14ac:dyDescent="0.25">
      <c r="A122" s="39">
        <v>121</v>
      </c>
      <c r="B122" s="40"/>
      <c r="C122" s="18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56"/>
      <c r="R122" s="56"/>
      <c r="S122" s="56"/>
      <c r="T122" s="58"/>
      <c r="U122" s="58"/>
      <c r="V122" s="58"/>
      <c r="W122" s="58"/>
      <c r="X122" s="58"/>
      <c r="Y122" s="58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</row>
    <row r="123" spans="1:52" ht="20.100000000000001" customHeight="1" x14ac:dyDescent="0.25">
      <c r="A123" s="39">
        <v>122</v>
      </c>
      <c r="B123" s="40"/>
      <c r="C123" s="18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56"/>
      <c r="R123" s="56"/>
      <c r="S123" s="56"/>
      <c r="T123" s="58"/>
      <c r="U123" s="58"/>
      <c r="V123" s="58"/>
      <c r="W123" s="58"/>
      <c r="X123" s="58"/>
      <c r="Y123" s="58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</row>
    <row r="124" spans="1:52" ht="20.100000000000001" customHeight="1" x14ac:dyDescent="0.25">
      <c r="A124" s="39">
        <v>123</v>
      </c>
      <c r="B124" s="40"/>
      <c r="C124" s="18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56"/>
      <c r="R124" s="56"/>
      <c r="S124" s="56"/>
      <c r="T124" s="58"/>
      <c r="U124" s="58"/>
      <c r="V124" s="58"/>
      <c r="W124" s="58"/>
      <c r="X124" s="58"/>
      <c r="Y124" s="58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</row>
    <row r="125" spans="1:52" ht="20.100000000000001" customHeight="1" x14ac:dyDescent="0.25">
      <c r="A125" s="39">
        <v>124</v>
      </c>
      <c r="B125" s="40"/>
      <c r="C125" s="18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6"/>
      <c r="R125" s="56"/>
      <c r="S125" s="56"/>
      <c r="T125" s="58"/>
      <c r="U125" s="58"/>
      <c r="V125" s="58"/>
      <c r="W125" s="58"/>
      <c r="X125" s="58"/>
      <c r="Y125" s="58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</row>
    <row r="126" spans="1:52" ht="20.100000000000001" customHeight="1" x14ac:dyDescent="0.25">
      <c r="A126" s="39">
        <v>125</v>
      </c>
      <c r="B126" s="40"/>
      <c r="C126" s="18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56"/>
      <c r="R126" s="56"/>
      <c r="S126" s="56"/>
      <c r="T126" s="58"/>
      <c r="U126" s="58"/>
      <c r="V126" s="58"/>
      <c r="W126" s="58"/>
      <c r="X126" s="58"/>
      <c r="Y126" s="58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</row>
    <row r="127" spans="1:52" ht="20.100000000000001" customHeight="1" x14ac:dyDescent="0.25">
      <c r="A127" s="39">
        <v>126</v>
      </c>
      <c r="B127" s="40"/>
      <c r="C127" s="18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6"/>
      <c r="R127" s="56"/>
      <c r="S127" s="56"/>
      <c r="T127" s="58"/>
      <c r="U127" s="58"/>
      <c r="V127" s="58"/>
      <c r="W127" s="58"/>
      <c r="X127" s="58"/>
      <c r="Y127" s="58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</row>
    <row r="128" spans="1:52" ht="20.100000000000001" customHeight="1" x14ac:dyDescent="0.25">
      <c r="A128" s="39">
        <v>127</v>
      </c>
      <c r="B128" s="40"/>
      <c r="C128" s="18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56"/>
      <c r="R128" s="56"/>
      <c r="S128" s="56"/>
      <c r="T128" s="58"/>
      <c r="U128" s="58"/>
      <c r="V128" s="58"/>
      <c r="W128" s="58"/>
      <c r="X128" s="58"/>
      <c r="Y128" s="58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</row>
    <row r="129" spans="1:52" ht="20.100000000000001" customHeight="1" x14ac:dyDescent="0.25">
      <c r="A129" s="39">
        <v>128</v>
      </c>
      <c r="B129" s="40"/>
      <c r="C129" s="18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6"/>
      <c r="R129" s="56"/>
      <c r="S129" s="56"/>
      <c r="T129" s="58"/>
      <c r="U129" s="58"/>
      <c r="V129" s="58"/>
      <c r="W129" s="58"/>
      <c r="X129" s="58"/>
      <c r="Y129" s="58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</row>
    <row r="130" spans="1:52" ht="20.100000000000001" customHeight="1" x14ac:dyDescent="0.25">
      <c r="A130" s="39">
        <v>129</v>
      </c>
      <c r="B130" s="40"/>
      <c r="C130" s="18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56"/>
      <c r="R130" s="56"/>
      <c r="S130" s="56"/>
      <c r="T130" s="58"/>
      <c r="U130" s="58"/>
      <c r="V130" s="58"/>
      <c r="W130" s="58"/>
      <c r="X130" s="58"/>
      <c r="Y130" s="58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</row>
    <row r="131" spans="1:52" ht="20.100000000000001" customHeight="1" x14ac:dyDescent="0.25">
      <c r="A131" s="39">
        <v>130</v>
      </c>
      <c r="B131" s="40"/>
      <c r="C131" s="18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6"/>
      <c r="R131" s="56"/>
      <c r="S131" s="56"/>
      <c r="T131" s="58"/>
      <c r="U131" s="58"/>
      <c r="V131" s="58"/>
      <c r="W131" s="58"/>
      <c r="X131" s="58"/>
      <c r="Y131" s="58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</row>
    <row r="132" spans="1:52" ht="20.100000000000001" customHeight="1" x14ac:dyDescent="0.25">
      <c r="A132" s="39">
        <v>131</v>
      </c>
      <c r="B132" s="40"/>
      <c r="C132" s="18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56"/>
      <c r="R132" s="56"/>
      <c r="S132" s="56"/>
      <c r="T132" s="58"/>
      <c r="U132" s="58"/>
      <c r="V132" s="58"/>
      <c r="W132" s="58"/>
      <c r="X132" s="58"/>
      <c r="Y132" s="58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</row>
    <row r="133" spans="1:52" ht="20.100000000000001" customHeight="1" x14ac:dyDescent="0.25">
      <c r="A133" s="39">
        <v>132</v>
      </c>
      <c r="B133" s="40"/>
      <c r="C133" s="18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6"/>
      <c r="R133" s="56"/>
      <c r="S133" s="56"/>
      <c r="T133" s="58"/>
      <c r="U133" s="58"/>
      <c r="V133" s="58"/>
      <c r="W133" s="58"/>
      <c r="X133" s="58"/>
      <c r="Y133" s="58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</row>
    <row r="134" spans="1:52" ht="20.100000000000001" customHeight="1" x14ac:dyDescent="0.25">
      <c r="A134" s="39">
        <v>133</v>
      </c>
      <c r="B134" s="40"/>
      <c r="C134" s="18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56"/>
      <c r="R134" s="56"/>
      <c r="S134" s="56"/>
      <c r="T134" s="58"/>
      <c r="U134" s="58"/>
      <c r="V134" s="58"/>
      <c r="W134" s="58"/>
      <c r="X134" s="58"/>
      <c r="Y134" s="58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</row>
    <row r="135" spans="1:52" ht="20.100000000000001" customHeight="1" x14ac:dyDescent="0.25">
      <c r="A135" s="39">
        <v>134</v>
      </c>
      <c r="B135" s="40"/>
      <c r="C135" s="18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6"/>
      <c r="R135" s="56"/>
      <c r="S135" s="56"/>
      <c r="T135" s="58"/>
      <c r="U135" s="58"/>
      <c r="V135" s="58"/>
      <c r="W135" s="58"/>
      <c r="X135" s="58"/>
      <c r="Y135" s="58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</row>
    <row r="136" spans="1:52" ht="20.100000000000001" customHeight="1" x14ac:dyDescent="0.25">
      <c r="A136" s="39">
        <v>135</v>
      </c>
      <c r="B136" s="40"/>
      <c r="C136" s="18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56"/>
      <c r="R136" s="56"/>
      <c r="S136" s="56"/>
      <c r="T136" s="58"/>
      <c r="U136" s="58"/>
      <c r="V136" s="58"/>
      <c r="W136" s="58"/>
      <c r="X136" s="58"/>
      <c r="Y136" s="58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</row>
    <row r="137" spans="1:52" ht="20.100000000000001" customHeight="1" x14ac:dyDescent="0.25">
      <c r="A137" s="39">
        <v>136</v>
      </c>
      <c r="B137" s="40"/>
      <c r="C137" s="18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6"/>
      <c r="R137" s="56"/>
      <c r="S137" s="56"/>
      <c r="T137" s="58"/>
      <c r="U137" s="58"/>
      <c r="V137" s="58"/>
      <c r="W137" s="58"/>
      <c r="X137" s="58"/>
      <c r="Y137" s="58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</row>
    <row r="138" spans="1:52" ht="20.100000000000001" customHeight="1" x14ac:dyDescent="0.25">
      <c r="A138" s="39">
        <v>137</v>
      </c>
      <c r="B138" s="40"/>
      <c r="C138" s="18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56"/>
      <c r="R138" s="56"/>
      <c r="S138" s="56"/>
      <c r="T138" s="58"/>
      <c r="U138" s="58"/>
      <c r="V138" s="58"/>
      <c r="W138" s="58"/>
      <c r="X138" s="58"/>
      <c r="Y138" s="58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</row>
    <row r="139" spans="1:52" ht="20.100000000000001" customHeight="1" x14ac:dyDescent="0.25">
      <c r="A139" s="39">
        <v>138</v>
      </c>
      <c r="B139" s="40"/>
      <c r="C139" s="18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6"/>
      <c r="R139" s="56"/>
      <c r="S139" s="56"/>
      <c r="T139" s="58"/>
      <c r="U139" s="58"/>
      <c r="V139" s="58"/>
      <c r="W139" s="58"/>
      <c r="X139" s="58"/>
      <c r="Y139" s="58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</row>
    <row r="140" spans="1:52" ht="20.100000000000001" customHeight="1" x14ac:dyDescent="0.25">
      <c r="A140" s="39">
        <v>139</v>
      </c>
      <c r="B140" s="40"/>
      <c r="C140" s="18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56"/>
      <c r="R140" s="56"/>
      <c r="S140" s="56"/>
      <c r="T140" s="58"/>
      <c r="U140" s="58"/>
      <c r="V140" s="58"/>
      <c r="W140" s="58"/>
      <c r="X140" s="58"/>
      <c r="Y140" s="58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</row>
    <row r="141" spans="1:52" ht="20.100000000000001" customHeight="1" x14ac:dyDescent="0.25">
      <c r="A141" s="39">
        <v>140</v>
      </c>
      <c r="B141" s="40"/>
      <c r="C141" s="18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6"/>
      <c r="R141" s="56"/>
      <c r="S141" s="56"/>
      <c r="T141" s="58"/>
      <c r="U141" s="58"/>
      <c r="V141" s="58"/>
      <c r="W141" s="58"/>
      <c r="X141" s="58"/>
      <c r="Y141" s="58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</row>
    <row r="142" spans="1:52" ht="20.100000000000001" customHeight="1" x14ac:dyDescent="0.25">
      <c r="A142" s="39">
        <v>141</v>
      </c>
      <c r="B142" s="40"/>
      <c r="C142" s="18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6"/>
      <c r="R142" s="56"/>
      <c r="S142" s="56"/>
      <c r="T142" s="58"/>
      <c r="U142" s="58"/>
      <c r="V142" s="58"/>
      <c r="W142" s="58"/>
      <c r="X142" s="58"/>
      <c r="Y142" s="58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</row>
    <row r="143" spans="1:52" ht="20.100000000000001" customHeight="1" x14ac:dyDescent="0.25">
      <c r="A143" s="39">
        <v>142</v>
      </c>
      <c r="B143" s="40"/>
      <c r="C143" s="18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56"/>
      <c r="R143" s="56"/>
      <c r="S143" s="56"/>
      <c r="T143" s="58"/>
      <c r="U143" s="58"/>
      <c r="V143" s="58"/>
      <c r="W143" s="58"/>
      <c r="X143" s="58"/>
      <c r="Y143" s="58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</row>
    <row r="144" spans="1:52" ht="20.100000000000001" customHeight="1" x14ac:dyDescent="0.25">
      <c r="A144" s="39">
        <v>143</v>
      </c>
      <c r="B144" s="40"/>
      <c r="C144" s="18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56"/>
      <c r="R144" s="56"/>
      <c r="S144" s="56"/>
      <c r="T144" s="58"/>
      <c r="U144" s="58"/>
      <c r="V144" s="58"/>
      <c r="W144" s="58"/>
      <c r="X144" s="58"/>
      <c r="Y144" s="58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</row>
    <row r="145" spans="1:52" ht="20.100000000000001" customHeight="1" x14ac:dyDescent="0.25">
      <c r="A145" s="39">
        <v>144</v>
      </c>
      <c r="B145" s="40"/>
      <c r="C145" s="18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56"/>
      <c r="R145" s="56"/>
      <c r="S145" s="56"/>
      <c r="T145" s="58"/>
      <c r="U145" s="58"/>
      <c r="V145" s="58"/>
      <c r="W145" s="58"/>
      <c r="X145" s="58"/>
      <c r="Y145" s="58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</row>
    <row r="146" spans="1:52" ht="20.100000000000001" customHeight="1" x14ac:dyDescent="0.25">
      <c r="A146" s="39">
        <v>145</v>
      </c>
      <c r="B146" s="40"/>
      <c r="C146" s="18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56"/>
      <c r="R146" s="56"/>
      <c r="S146" s="56"/>
      <c r="T146" s="58"/>
      <c r="U146" s="58"/>
      <c r="V146" s="58"/>
      <c r="W146" s="58"/>
      <c r="X146" s="58"/>
      <c r="Y146" s="58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</row>
    <row r="147" spans="1:52" ht="20.100000000000001" customHeight="1" x14ac:dyDescent="0.25">
      <c r="A147" s="39">
        <v>146</v>
      </c>
      <c r="B147" s="40"/>
      <c r="C147" s="18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56"/>
      <c r="R147" s="56"/>
      <c r="S147" s="56"/>
      <c r="T147" s="58"/>
      <c r="U147" s="58"/>
      <c r="V147" s="58"/>
      <c r="W147" s="58"/>
      <c r="X147" s="58"/>
      <c r="Y147" s="58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</row>
    <row r="148" spans="1:52" ht="20.100000000000001" customHeight="1" x14ac:dyDescent="0.25">
      <c r="A148" s="39">
        <v>147</v>
      </c>
      <c r="B148" s="40"/>
      <c r="C148" s="18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56"/>
      <c r="R148" s="56"/>
      <c r="S148" s="56"/>
      <c r="T148" s="58"/>
      <c r="U148" s="58"/>
      <c r="V148" s="58"/>
      <c r="W148" s="58"/>
      <c r="X148" s="58"/>
      <c r="Y148" s="58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</row>
    <row r="149" spans="1:52" ht="20.100000000000001" customHeight="1" x14ac:dyDescent="0.25">
      <c r="A149" s="39">
        <v>148</v>
      </c>
      <c r="B149" s="40"/>
      <c r="C149" s="18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56"/>
      <c r="R149" s="56"/>
      <c r="S149" s="56"/>
      <c r="T149" s="58"/>
      <c r="U149" s="58"/>
      <c r="V149" s="58"/>
      <c r="W149" s="58"/>
      <c r="X149" s="58"/>
      <c r="Y149" s="58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</row>
    <row r="150" spans="1:52" ht="20.100000000000001" customHeight="1" x14ac:dyDescent="0.25">
      <c r="A150" s="39">
        <v>149</v>
      </c>
      <c r="B150" s="40"/>
      <c r="C150" s="18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56"/>
      <c r="R150" s="56"/>
      <c r="S150" s="56"/>
      <c r="T150" s="58"/>
      <c r="U150" s="58"/>
      <c r="V150" s="58"/>
      <c r="W150" s="58"/>
      <c r="X150" s="58"/>
      <c r="Y150" s="58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</row>
    <row r="151" spans="1:52" ht="20.100000000000001" customHeight="1" x14ac:dyDescent="0.25">
      <c r="A151" s="39">
        <v>150</v>
      </c>
      <c r="B151" s="40"/>
      <c r="C151" s="18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56"/>
      <c r="R151" s="56"/>
      <c r="S151" s="56"/>
      <c r="T151" s="58"/>
      <c r="U151" s="58"/>
      <c r="V151" s="58"/>
      <c r="W151" s="58"/>
      <c r="X151" s="58"/>
      <c r="Y151" s="58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</row>
    <row r="152" spans="1:52" ht="20.100000000000001" customHeight="1" x14ac:dyDescent="0.25">
      <c r="A152" s="39">
        <v>151</v>
      </c>
      <c r="B152" s="40"/>
      <c r="C152" s="18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6"/>
      <c r="R152" s="56"/>
      <c r="S152" s="56"/>
      <c r="T152" s="58"/>
      <c r="U152" s="58"/>
      <c r="V152" s="58"/>
      <c r="W152" s="58"/>
      <c r="X152" s="58"/>
      <c r="Y152" s="58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</row>
    <row r="153" spans="1:52" ht="20.100000000000001" customHeight="1" x14ac:dyDescent="0.25">
      <c r="A153" s="39">
        <v>152</v>
      </c>
      <c r="B153" s="40"/>
      <c r="C153" s="18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56"/>
      <c r="R153" s="56"/>
      <c r="S153" s="56"/>
      <c r="T153" s="58"/>
      <c r="U153" s="58"/>
      <c r="V153" s="58"/>
      <c r="W153" s="58"/>
      <c r="X153" s="58"/>
      <c r="Y153" s="58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</row>
    <row r="154" spans="1:52" ht="20.100000000000001" customHeight="1" x14ac:dyDescent="0.25">
      <c r="A154" s="39">
        <v>153</v>
      </c>
      <c r="B154" s="40"/>
      <c r="C154" s="18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56"/>
      <c r="R154" s="56"/>
      <c r="S154" s="56"/>
      <c r="T154" s="58"/>
      <c r="U154" s="58"/>
      <c r="V154" s="58"/>
      <c r="W154" s="58"/>
      <c r="X154" s="58"/>
      <c r="Y154" s="58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</row>
    <row r="155" spans="1:52" ht="20.100000000000001" customHeight="1" x14ac:dyDescent="0.25">
      <c r="A155" s="39">
        <v>154</v>
      </c>
      <c r="B155" s="40"/>
      <c r="C155" s="18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56"/>
      <c r="R155" s="56"/>
      <c r="S155" s="56"/>
      <c r="T155" s="58"/>
      <c r="U155" s="58"/>
      <c r="V155" s="58"/>
      <c r="W155" s="58"/>
      <c r="X155" s="58"/>
      <c r="Y155" s="58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</row>
    <row r="156" spans="1:52" ht="20.100000000000001" customHeight="1" x14ac:dyDescent="0.25">
      <c r="A156" s="39">
        <v>155</v>
      </c>
      <c r="B156" s="40"/>
      <c r="C156" s="18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56"/>
      <c r="R156" s="56"/>
      <c r="S156" s="56"/>
      <c r="T156" s="58"/>
      <c r="U156" s="58"/>
      <c r="V156" s="58"/>
      <c r="W156" s="58"/>
      <c r="X156" s="58"/>
      <c r="Y156" s="58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</row>
    <row r="157" spans="1:52" ht="20.100000000000001" customHeight="1" x14ac:dyDescent="0.25">
      <c r="A157" s="39">
        <v>156</v>
      </c>
      <c r="B157" s="40"/>
      <c r="C157" s="18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56"/>
      <c r="R157" s="56"/>
      <c r="S157" s="56"/>
      <c r="T157" s="58"/>
      <c r="U157" s="58"/>
      <c r="V157" s="58"/>
      <c r="W157" s="58"/>
      <c r="X157" s="58"/>
      <c r="Y157" s="58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</row>
    <row r="158" spans="1:52" ht="20.100000000000001" customHeight="1" x14ac:dyDescent="0.25">
      <c r="A158" s="39">
        <v>157</v>
      </c>
      <c r="B158" s="40"/>
      <c r="C158" s="18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56"/>
      <c r="R158" s="56"/>
      <c r="S158" s="56"/>
      <c r="T158" s="58"/>
      <c r="U158" s="58"/>
      <c r="V158" s="58"/>
      <c r="W158" s="58"/>
      <c r="X158" s="58"/>
      <c r="Y158" s="58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</row>
    <row r="159" spans="1:52" ht="20.100000000000001" customHeight="1" x14ac:dyDescent="0.25">
      <c r="A159" s="39">
        <v>158</v>
      </c>
      <c r="B159" s="40"/>
      <c r="C159" s="18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56"/>
      <c r="R159" s="56"/>
      <c r="S159" s="56"/>
      <c r="T159" s="58"/>
      <c r="U159" s="58"/>
      <c r="V159" s="58"/>
      <c r="W159" s="58"/>
      <c r="X159" s="58"/>
      <c r="Y159" s="58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</row>
    <row r="160" spans="1:52" ht="20.100000000000001" customHeight="1" x14ac:dyDescent="0.25">
      <c r="A160" s="39">
        <v>159</v>
      </c>
      <c r="B160" s="40"/>
      <c r="C160" s="18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56"/>
      <c r="R160" s="56"/>
      <c r="S160" s="56"/>
      <c r="T160" s="58"/>
      <c r="U160" s="58"/>
      <c r="V160" s="58"/>
      <c r="W160" s="58"/>
      <c r="X160" s="58"/>
      <c r="Y160" s="58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</row>
    <row r="161" spans="1:52" ht="20.100000000000001" customHeight="1" x14ac:dyDescent="0.25">
      <c r="A161" s="39">
        <v>160</v>
      </c>
      <c r="B161" s="40"/>
      <c r="C161" s="18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56"/>
      <c r="R161" s="56"/>
      <c r="S161" s="56"/>
      <c r="T161" s="58"/>
      <c r="U161" s="58"/>
      <c r="V161" s="58"/>
      <c r="W161" s="58"/>
      <c r="X161" s="58"/>
      <c r="Y161" s="58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</row>
    <row r="162" spans="1:52" ht="20.100000000000001" customHeight="1" x14ac:dyDescent="0.25">
      <c r="A162" s="39">
        <v>161</v>
      </c>
      <c r="B162" s="40"/>
      <c r="C162" s="18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56"/>
      <c r="R162" s="56"/>
      <c r="S162" s="56"/>
      <c r="T162" s="58"/>
      <c r="U162" s="58"/>
      <c r="V162" s="58"/>
      <c r="W162" s="58"/>
      <c r="X162" s="58"/>
      <c r="Y162" s="58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</row>
    <row r="163" spans="1:52" ht="20.100000000000001" customHeight="1" x14ac:dyDescent="0.25">
      <c r="A163" s="39">
        <v>162</v>
      </c>
      <c r="B163" s="40"/>
      <c r="C163" s="18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56"/>
      <c r="R163" s="56"/>
      <c r="S163" s="56"/>
      <c r="T163" s="58"/>
      <c r="U163" s="58"/>
      <c r="V163" s="58"/>
      <c r="W163" s="58"/>
      <c r="X163" s="58"/>
      <c r="Y163" s="58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</row>
    <row r="164" spans="1:52" ht="20.100000000000001" customHeight="1" x14ac:dyDescent="0.25">
      <c r="A164" s="39">
        <v>163</v>
      </c>
      <c r="B164" s="40"/>
      <c r="C164" s="18"/>
      <c r="D164" s="17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56"/>
      <c r="R164" s="56"/>
      <c r="S164" s="56"/>
      <c r="T164" s="58"/>
      <c r="U164" s="58"/>
      <c r="V164" s="58"/>
      <c r="W164" s="58"/>
      <c r="X164" s="58"/>
      <c r="Y164" s="58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</row>
    <row r="165" spans="1:52" ht="20.100000000000001" customHeight="1" x14ac:dyDescent="0.25">
      <c r="A165" s="39">
        <v>164</v>
      </c>
      <c r="B165" s="40"/>
      <c r="C165" s="18"/>
      <c r="D165" s="17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6"/>
      <c r="R165" s="56"/>
      <c r="S165" s="56"/>
      <c r="T165" s="58"/>
      <c r="U165" s="58"/>
      <c r="V165" s="58"/>
      <c r="W165" s="58"/>
      <c r="X165" s="58"/>
      <c r="Y165" s="58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</row>
    <row r="166" spans="1:52" ht="20.100000000000001" customHeight="1" x14ac:dyDescent="0.25">
      <c r="A166" s="39">
        <v>165</v>
      </c>
      <c r="B166" s="40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56"/>
      <c r="R166" s="56"/>
      <c r="S166" s="56"/>
      <c r="T166" s="58"/>
      <c r="U166" s="58"/>
      <c r="V166" s="58"/>
      <c r="W166" s="58"/>
      <c r="X166" s="58"/>
      <c r="Y166" s="58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</row>
    <row r="167" spans="1:52" ht="20.100000000000001" customHeight="1" x14ac:dyDescent="0.25">
      <c r="A167" s="39">
        <v>166</v>
      </c>
      <c r="B167" s="40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6"/>
      <c r="R167" s="56"/>
      <c r="S167" s="56"/>
      <c r="T167" s="58"/>
      <c r="U167" s="58"/>
      <c r="V167" s="58"/>
      <c r="W167" s="58"/>
      <c r="X167" s="58"/>
      <c r="Y167" s="58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</row>
    <row r="168" spans="1:52" ht="20.100000000000001" customHeight="1" x14ac:dyDescent="0.25">
      <c r="A168" s="39">
        <v>167</v>
      </c>
      <c r="B168" s="40"/>
      <c r="C168" s="18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56"/>
      <c r="R168" s="56"/>
      <c r="S168" s="56"/>
      <c r="T168" s="58"/>
      <c r="U168" s="58"/>
      <c r="V168" s="58"/>
      <c r="W168" s="58"/>
      <c r="X168" s="58"/>
      <c r="Y168" s="58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</row>
    <row r="169" spans="1:52" ht="20.100000000000001" customHeight="1" x14ac:dyDescent="0.25">
      <c r="A169" s="39">
        <v>168</v>
      </c>
      <c r="B169" s="40"/>
      <c r="C169" s="18"/>
      <c r="D169" s="17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6"/>
      <c r="R169" s="56"/>
      <c r="S169" s="56"/>
      <c r="T169" s="58"/>
      <c r="U169" s="58"/>
      <c r="V169" s="58"/>
      <c r="W169" s="58"/>
      <c r="X169" s="58"/>
      <c r="Y169" s="58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</row>
    <row r="170" spans="1:52" ht="20.100000000000001" customHeight="1" x14ac:dyDescent="0.25">
      <c r="A170" s="39">
        <v>169</v>
      </c>
      <c r="B170" s="40"/>
      <c r="C170" s="18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56"/>
      <c r="R170" s="56"/>
      <c r="S170" s="56"/>
      <c r="T170" s="58"/>
      <c r="U170" s="58"/>
      <c r="V170" s="58"/>
      <c r="W170" s="58"/>
      <c r="X170" s="58"/>
      <c r="Y170" s="58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</row>
    <row r="171" spans="1:52" ht="20.100000000000001" customHeight="1" x14ac:dyDescent="0.25">
      <c r="A171" s="39">
        <v>170</v>
      </c>
      <c r="B171" s="40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6"/>
      <c r="R171" s="56"/>
      <c r="S171" s="56"/>
      <c r="T171" s="58"/>
      <c r="U171" s="58"/>
      <c r="V171" s="58"/>
      <c r="W171" s="58"/>
      <c r="X171" s="58"/>
      <c r="Y171" s="58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</row>
    <row r="172" spans="1:52" ht="20.100000000000001" customHeight="1" x14ac:dyDescent="0.25">
      <c r="A172" s="39">
        <v>171</v>
      </c>
      <c r="B172" s="40"/>
      <c r="C172" s="18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56"/>
      <c r="R172" s="56"/>
      <c r="S172" s="56"/>
      <c r="T172" s="58"/>
      <c r="U172" s="58"/>
      <c r="V172" s="58"/>
      <c r="W172" s="58"/>
      <c r="X172" s="58"/>
      <c r="Y172" s="58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</row>
    <row r="173" spans="1:52" ht="20.100000000000001" customHeight="1" x14ac:dyDescent="0.25">
      <c r="A173" s="39">
        <v>172</v>
      </c>
      <c r="B173" s="40"/>
      <c r="C173" s="18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6"/>
      <c r="R173" s="56"/>
      <c r="S173" s="56"/>
      <c r="T173" s="58"/>
      <c r="U173" s="58"/>
      <c r="V173" s="58"/>
      <c r="W173" s="58"/>
      <c r="X173" s="58"/>
      <c r="Y173" s="58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</row>
    <row r="174" spans="1:52" ht="20.100000000000001" customHeight="1" x14ac:dyDescent="0.25">
      <c r="A174" s="39">
        <v>173</v>
      </c>
      <c r="B174" s="48"/>
      <c r="C174" s="18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56"/>
      <c r="R174" s="56"/>
      <c r="S174" s="56"/>
      <c r="T174" s="58"/>
      <c r="U174" s="58"/>
      <c r="V174" s="58"/>
      <c r="W174" s="58"/>
      <c r="X174" s="58"/>
      <c r="Y174" s="58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</row>
    <row r="175" spans="1:52" ht="20.100000000000001" customHeight="1" x14ac:dyDescent="0.25">
      <c r="A175" s="39">
        <v>174</v>
      </c>
      <c r="B175" s="40"/>
      <c r="C175" s="18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6"/>
      <c r="R175" s="56"/>
      <c r="S175" s="56"/>
      <c r="T175" s="58"/>
      <c r="U175" s="58"/>
      <c r="V175" s="58"/>
      <c r="W175" s="58"/>
      <c r="X175" s="58"/>
      <c r="Y175" s="58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</row>
    <row r="176" spans="1:52" ht="20.100000000000001" customHeight="1" x14ac:dyDescent="0.25">
      <c r="A176" s="39">
        <v>175</v>
      </c>
      <c r="B176" s="40"/>
      <c r="C176" s="18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56"/>
      <c r="R176" s="56"/>
      <c r="S176" s="56"/>
      <c r="T176" s="58"/>
      <c r="U176" s="58"/>
      <c r="V176" s="58"/>
      <c r="W176" s="58"/>
      <c r="X176" s="58"/>
      <c r="Y176" s="58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</row>
    <row r="177" spans="1:52" ht="20.100000000000001" customHeight="1" x14ac:dyDescent="0.25">
      <c r="A177" s="39">
        <v>176</v>
      </c>
      <c r="B177" s="40"/>
      <c r="C177" s="18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6"/>
      <c r="R177" s="56"/>
      <c r="S177" s="56"/>
      <c r="T177" s="58"/>
      <c r="U177" s="58"/>
      <c r="V177" s="58"/>
      <c r="W177" s="58"/>
      <c r="X177" s="58"/>
      <c r="Y177" s="58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</row>
    <row r="178" spans="1:52" ht="20.100000000000001" customHeight="1" x14ac:dyDescent="0.25">
      <c r="A178" s="39">
        <v>177</v>
      </c>
      <c r="B178" s="40"/>
      <c r="C178" s="18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56"/>
      <c r="R178" s="56"/>
      <c r="S178" s="56"/>
      <c r="T178" s="58"/>
      <c r="U178" s="58"/>
      <c r="V178" s="58"/>
      <c r="W178" s="58"/>
      <c r="X178" s="58"/>
      <c r="Y178" s="58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</row>
    <row r="179" spans="1:52" ht="20.100000000000001" customHeight="1" x14ac:dyDescent="0.25">
      <c r="A179" s="39">
        <v>178</v>
      </c>
      <c r="B179" s="40"/>
      <c r="C179" s="18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6"/>
      <c r="R179" s="56"/>
      <c r="S179" s="56"/>
      <c r="T179" s="58"/>
      <c r="U179" s="58"/>
      <c r="V179" s="58"/>
      <c r="W179" s="58"/>
      <c r="X179" s="58"/>
      <c r="Y179" s="58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</row>
    <row r="180" spans="1:52" ht="20.100000000000001" customHeight="1" x14ac:dyDescent="0.25">
      <c r="A180" s="39">
        <v>179</v>
      </c>
      <c r="B180" s="40"/>
      <c r="C180" s="18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56"/>
      <c r="R180" s="56"/>
      <c r="S180" s="56"/>
      <c r="T180" s="58"/>
      <c r="U180" s="58"/>
      <c r="V180" s="58"/>
      <c r="W180" s="58"/>
      <c r="X180" s="58"/>
      <c r="Y180" s="58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</row>
    <row r="181" spans="1:52" ht="20.100000000000001" customHeight="1" x14ac:dyDescent="0.25">
      <c r="A181" s="39">
        <v>180</v>
      </c>
      <c r="B181" s="40"/>
      <c r="C181" s="18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6"/>
      <c r="R181" s="56"/>
      <c r="S181" s="56"/>
      <c r="T181" s="58"/>
      <c r="U181" s="58"/>
      <c r="V181" s="58"/>
      <c r="W181" s="58"/>
      <c r="X181" s="58"/>
      <c r="Y181" s="58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</row>
    <row r="182" spans="1:52" ht="20.100000000000001" customHeight="1" x14ac:dyDescent="0.25">
      <c r="A182" s="39">
        <v>181</v>
      </c>
      <c r="B182" s="40"/>
      <c r="C182" s="18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6"/>
      <c r="R182" s="56"/>
      <c r="S182" s="56"/>
      <c r="T182" s="58"/>
      <c r="U182" s="58"/>
      <c r="V182" s="58"/>
      <c r="W182" s="58"/>
      <c r="X182" s="58"/>
      <c r="Y182" s="58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</row>
    <row r="183" spans="1:52" ht="20.100000000000001" customHeight="1" x14ac:dyDescent="0.25">
      <c r="A183" s="39">
        <v>182</v>
      </c>
      <c r="B183" s="40"/>
      <c r="C183" s="18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56"/>
      <c r="R183" s="56"/>
      <c r="S183" s="56"/>
      <c r="T183" s="58"/>
      <c r="U183" s="58"/>
      <c r="V183" s="58"/>
      <c r="W183" s="58"/>
      <c r="X183" s="58"/>
      <c r="Y183" s="58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</row>
    <row r="184" spans="1:52" ht="20.100000000000001" customHeight="1" x14ac:dyDescent="0.25">
      <c r="A184" s="39">
        <v>183</v>
      </c>
      <c r="B184" s="40"/>
      <c r="C184" s="18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56"/>
      <c r="R184" s="56"/>
      <c r="S184" s="56"/>
      <c r="T184" s="58"/>
      <c r="U184" s="58"/>
      <c r="V184" s="58"/>
      <c r="W184" s="58"/>
      <c r="X184" s="58"/>
      <c r="Y184" s="58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</row>
    <row r="185" spans="1:52" ht="20.100000000000001" customHeight="1" x14ac:dyDescent="0.25">
      <c r="A185" s="39">
        <v>184</v>
      </c>
      <c r="B185" s="40"/>
      <c r="C185" s="18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56"/>
      <c r="R185" s="56"/>
      <c r="S185" s="56"/>
      <c r="T185" s="58"/>
      <c r="U185" s="58"/>
      <c r="V185" s="58"/>
      <c r="W185" s="58"/>
      <c r="X185" s="58"/>
      <c r="Y185" s="58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</row>
    <row r="186" spans="1:52" ht="20.100000000000001" customHeight="1" x14ac:dyDescent="0.25">
      <c r="A186" s="39">
        <v>185</v>
      </c>
      <c r="B186" s="40"/>
      <c r="C186" s="18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56"/>
      <c r="R186" s="56"/>
      <c r="S186" s="56"/>
      <c r="T186" s="58"/>
      <c r="U186" s="58"/>
      <c r="V186" s="58"/>
      <c r="W186" s="58"/>
      <c r="X186" s="58"/>
      <c r="Y186" s="58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</row>
    <row r="187" spans="1:52" ht="20.100000000000001" customHeight="1" x14ac:dyDescent="0.25">
      <c r="A187" s="39">
        <v>186</v>
      </c>
      <c r="B187" s="40"/>
      <c r="C187" s="18"/>
      <c r="D187" s="17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56"/>
      <c r="R187" s="56"/>
      <c r="S187" s="56"/>
      <c r="T187" s="58"/>
      <c r="U187" s="58"/>
      <c r="V187" s="58"/>
      <c r="W187" s="58"/>
      <c r="X187" s="58"/>
      <c r="Y187" s="58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</row>
    <row r="188" spans="1:52" ht="20.100000000000001" customHeight="1" x14ac:dyDescent="0.25">
      <c r="A188" s="39">
        <v>187</v>
      </c>
      <c r="B188" s="40"/>
      <c r="C188" s="18"/>
      <c r="D188" s="17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56"/>
      <c r="R188" s="56"/>
      <c r="S188" s="56"/>
      <c r="T188" s="58"/>
      <c r="U188" s="58"/>
      <c r="V188" s="58"/>
      <c r="W188" s="58"/>
      <c r="X188" s="58"/>
      <c r="Y188" s="58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</row>
    <row r="189" spans="1:52" ht="20.100000000000001" customHeight="1" x14ac:dyDescent="0.25">
      <c r="A189" s="39">
        <v>188</v>
      </c>
      <c r="B189" s="40"/>
      <c r="C189" s="18"/>
      <c r="D189" s="1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56"/>
      <c r="R189" s="56"/>
      <c r="S189" s="56"/>
      <c r="T189" s="58"/>
      <c r="U189" s="58"/>
      <c r="V189" s="58"/>
      <c r="W189" s="58"/>
      <c r="X189" s="58"/>
      <c r="Y189" s="58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</row>
    <row r="190" spans="1:52" ht="20.100000000000001" customHeight="1" x14ac:dyDescent="0.25">
      <c r="A190" s="39">
        <v>189</v>
      </c>
      <c r="B190" s="40"/>
      <c r="C190" s="18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56"/>
      <c r="R190" s="56"/>
      <c r="S190" s="56"/>
      <c r="T190" s="58"/>
      <c r="U190" s="58"/>
      <c r="V190" s="58"/>
      <c r="W190" s="58"/>
      <c r="X190" s="58"/>
      <c r="Y190" s="58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</row>
    <row r="191" spans="1:52" ht="20.100000000000001" customHeight="1" x14ac:dyDescent="0.25">
      <c r="A191" s="39">
        <v>190</v>
      </c>
      <c r="B191" s="40"/>
      <c r="C191" s="18"/>
      <c r="D191" s="17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56"/>
      <c r="R191" s="56"/>
      <c r="S191" s="56"/>
      <c r="T191" s="58"/>
      <c r="U191" s="58"/>
      <c r="V191" s="58"/>
      <c r="W191" s="58"/>
      <c r="X191" s="58"/>
      <c r="Y191" s="58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</row>
    <row r="192" spans="1:52" ht="20.100000000000001" customHeight="1" x14ac:dyDescent="0.25">
      <c r="A192" s="39">
        <v>191</v>
      </c>
      <c r="B192" s="40"/>
      <c r="C192" s="18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56"/>
      <c r="R192" s="56"/>
      <c r="S192" s="56"/>
      <c r="T192" s="58"/>
      <c r="U192" s="58"/>
      <c r="V192" s="58"/>
      <c r="W192" s="58"/>
      <c r="X192" s="58"/>
      <c r="Y192" s="58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</row>
    <row r="193" spans="1:52" ht="20.100000000000001" customHeight="1" x14ac:dyDescent="0.25">
      <c r="A193" s="39">
        <v>192</v>
      </c>
      <c r="B193" s="40"/>
      <c r="C193" s="18"/>
      <c r="D193" s="1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56"/>
      <c r="R193" s="56"/>
      <c r="S193" s="56"/>
      <c r="T193" s="58"/>
      <c r="U193" s="58"/>
      <c r="V193" s="58"/>
      <c r="W193" s="58"/>
      <c r="X193" s="58"/>
      <c r="Y193" s="58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</row>
    <row r="194" spans="1:52" ht="20.100000000000001" customHeight="1" x14ac:dyDescent="0.25">
      <c r="A194" s="39">
        <v>193</v>
      </c>
      <c r="B194" s="40"/>
      <c r="C194" s="18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56"/>
      <c r="R194" s="56"/>
      <c r="S194" s="56"/>
      <c r="T194" s="58"/>
      <c r="U194" s="58"/>
      <c r="V194" s="58"/>
      <c r="W194" s="58"/>
      <c r="X194" s="58"/>
      <c r="Y194" s="58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</row>
    <row r="195" spans="1:52" ht="20.100000000000001" customHeight="1" x14ac:dyDescent="0.25">
      <c r="A195" s="39">
        <v>194</v>
      </c>
      <c r="B195" s="40"/>
      <c r="C195" s="18"/>
      <c r="D195" s="17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56"/>
      <c r="R195" s="56"/>
      <c r="S195" s="56"/>
      <c r="T195" s="58"/>
      <c r="U195" s="58"/>
      <c r="V195" s="58"/>
      <c r="W195" s="58"/>
      <c r="X195" s="58"/>
      <c r="Y195" s="58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</row>
    <row r="196" spans="1:52" ht="20.100000000000001" customHeight="1" x14ac:dyDescent="0.25">
      <c r="A196" s="39">
        <v>195</v>
      </c>
      <c r="B196" s="40"/>
      <c r="C196" s="18"/>
      <c r="D196" s="1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56"/>
      <c r="R196" s="56"/>
      <c r="S196" s="56"/>
      <c r="T196" s="58"/>
      <c r="U196" s="58"/>
      <c r="V196" s="58"/>
      <c r="W196" s="58"/>
      <c r="X196" s="58"/>
      <c r="Y196" s="58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</row>
    <row r="197" spans="1:52" ht="20.100000000000001" customHeight="1" x14ac:dyDescent="0.25">
      <c r="A197" s="39">
        <v>196</v>
      </c>
      <c r="B197" s="40"/>
      <c r="C197" s="18"/>
      <c r="D197" s="1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56"/>
      <c r="R197" s="56"/>
      <c r="S197" s="56"/>
      <c r="T197" s="58"/>
      <c r="U197" s="58"/>
      <c r="V197" s="58"/>
      <c r="W197" s="58"/>
      <c r="X197" s="58"/>
      <c r="Y197" s="58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</row>
    <row r="198" spans="1:52" ht="20.100000000000001" customHeight="1" x14ac:dyDescent="0.25">
      <c r="A198" s="39">
        <v>197</v>
      </c>
      <c r="B198" s="40"/>
      <c r="C198" s="18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56"/>
      <c r="R198" s="56"/>
      <c r="S198" s="56"/>
      <c r="T198" s="58"/>
      <c r="U198" s="58"/>
      <c r="V198" s="58"/>
      <c r="W198" s="58"/>
      <c r="X198" s="58"/>
      <c r="Y198" s="58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</row>
    <row r="199" spans="1:52" ht="20.100000000000001" customHeight="1" x14ac:dyDescent="0.25">
      <c r="A199" s="39">
        <v>198</v>
      </c>
      <c r="B199" s="40"/>
      <c r="C199" s="18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56"/>
      <c r="R199" s="56"/>
      <c r="S199" s="56"/>
      <c r="T199" s="58"/>
      <c r="U199" s="58"/>
      <c r="V199" s="58"/>
      <c r="W199" s="58"/>
      <c r="X199" s="58"/>
      <c r="Y199" s="58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</row>
    <row r="200" spans="1:52" ht="20.100000000000001" customHeight="1" x14ac:dyDescent="0.25">
      <c r="A200" s="39">
        <v>199</v>
      </c>
      <c r="B200" s="40"/>
      <c r="C200" s="18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56"/>
      <c r="R200" s="56"/>
      <c r="S200" s="56"/>
      <c r="T200" s="58"/>
      <c r="U200" s="58"/>
      <c r="V200" s="58"/>
      <c r="W200" s="58"/>
      <c r="X200" s="58"/>
      <c r="Y200" s="58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</row>
    <row r="201" spans="1:52" ht="20.100000000000001" customHeight="1" x14ac:dyDescent="0.25">
      <c r="A201" s="39">
        <v>200</v>
      </c>
      <c r="B201" s="40"/>
      <c r="C201" s="18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56"/>
      <c r="R201" s="56"/>
      <c r="S201" s="56"/>
      <c r="T201" s="58"/>
      <c r="U201" s="58"/>
      <c r="V201" s="58"/>
      <c r="W201" s="58"/>
      <c r="X201" s="58"/>
      <c r="Y201" s="58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</row>
    <row r="202" spans="1:52" ht="20.100000000000001" customHeight="1" x14ac:dyDescent="0.25">
      <c r="A202" s="39">
        <v>201</v>
      </c>
      <c r="B202" s="40"/>
      <c r="C202" s="18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56"/>
      <c r="R202" s="56"/>
      <c r="S202" s="56"/>
      <c r="T202" s="58"/>
      <c r="U202" s="58"/>
      <c r="V202" s="58"/>
      <c r="W202" s="58"/>
      <c r="X202" s="58"/>
      <c r="Y202" s="58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</row>
    <row r="203" spans="1:52" ht="20.100000000000001" customHeight="1" x14ac:dyDescent="0.25">
      <c r="A203" s="39">
        <v>202</v>
      </c>
      <c r="B203" s="40"/>
      <c r="C203" s="18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56"/>
      <c r="R203" s="56"/>
      <c r="S203" s="56"/>
      <c r="T203" s="58"/>
      <c r="U203" s="58"/>
      <c r="V203" s="58"/>
      <c r="W203" s="58"/>
      <c r="X203" s="58"/>
      <c r="Y203" s="58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</row>
    <row r="204" spans="1:52" ht="20.100000000000001" customHeight="1" x14ac:dyDescent="0.25">
      <c r="A204" s="39">
        <v>203</v>
      </c>
      <c r="B204" s="40"/>
      <c r="C204" s="18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6"/>
      <c r="R204" s="56"/>
      <c r="S204" s="56"/>
      <c r="T204" s="58"/>
      <c r="U204" s="58"/>
      <c r="V204" s="58"/>
      <c r="W204" s="58"/>
      <c r="X204" s="58"/>
      <c r="Y204" s="58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</row>
    <row r="205" spans="1:52" ht="20.100000000000001" customHeight="1" x14ac:dyDescent="0.25">
      <c r="A205" s="39">
        <v>204</v>
      </c>
      <c r="B205" s="40"/>
      <c r="C205" s="18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56"/>
      <c r="R205" s="56"/>
      <c r="S205" s="56"/>
      <c r="T205" s="58"/>
      <c r="U205" s="58"/>
      <c r="V205" s="58"/>
      <c r="W205" s="58"/>
      <c r="X205" s="58"/>
      <c r="Y205" s="58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</row>
    <row r="206" spans="1:52" ht="20.100000000000001" customHeight="1" x14ac:dyDescent="0.25">
      <c r="A206" s="39">
        <v>205</v>
      </c>
      <c r="B206" s="40"/>
      <c r="C206" s="18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6"/>
      <c r="R206" s="56"/>
      <c r="S206" s="56"/>
      <c r="T206" s="58"/>
      <c r="U206" s="58"/>
      <c r="V206" s="58"/>
      <c r="W206" s="58"/>
      <c r="X206" s="58"/>
      <c r="Y206" s="58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</row>
    <row r="207" spans="1:52" ht="20.100000000000001" customHeight="1" x14ac:dyDescent="0.25">
      <c r="A207" s="39">
        <v>206</v>
      </c>
      <c r="B207" s="40"/>
      <c r="C207" s="18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56"/>
      <c r="R207" s="56"/>
      <c r="S207" s="56"/>
      <c r="T207" s="58"/>
      <c r="U207" s="58"/>
      <c r="V207" s="58"/>
      <c r="W207" s="58"/>
      <c r="X207" s="58"/>
      <c r="Y207" s="58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</row>
    <row r="208" spans="1:52" ht="20.100000000000001" customHeight="1" x14ac:dyDescent="0.25">
      <c r="A208" s="39">
        <v>207</v>
      </c>
      <c r="B208" s="40"/>
      <c r="C208" s="18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6"/>
      <c r="R208" s="56"/>
      <c r="S208" s="56"/>
      <c r="T208" s="58"/>
      <c r="U208" s="58"/>
      <c r="V208" s="58"/>
      <c r="W208" s="58"/>
      <c r="X208" s="58"/>
      <c r="Y208" s="58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</row>
    <row r="209" spans="1:52" ht="20.100000000000001" customHeight="1" x14ac:dyDescent="0.25">
      <c r="A209" s="39">
        <v>208</v>
      </c>
      <c r="B209" s="40"/>
      <c r="C209" s="18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56"/>
      <c r="R209" s="56"/>
      <c r="S209" s="56"/>
      <c r="T209" s="58"/>
      <c r="U209" s="58"/>
      <c r="V209" s="58"/>
      <c r="W209" s="58"/>
      <c r="X209" s="58"/>
      <c r="Y209" s="58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</row>
    <row r="210" spans="1:52" ht="20.100000000000001" customHeight="1" x14ac:dyDescent="0.25">
      <c r="A210" s="39">
        <v>209</v>
      </c>
      <c r="B210" s="40"/>
      <c r="C210" s="18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6"/>
      <c r="R210" s="56"/>
      <c r="S210" s="56"/>
      <c r="T210" s="58"/>
      <c r="U210" s="58"/>
      <c r="V210" s="58"/>
      <c r="W210" s="58"/>
      <c r="X210" s="58"/>
      <c r="Y210" s="58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</row>
    <row r="211" spans="1:52" ht="20.100000000000001" customHeight="1" x14ac:dyDescent="0.25">
      <c r="A211" s="39">
        <v>210</v>
      </c>
      <c r="B211" s="40"/>
      <c r="C211" s="18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56"/>
      <c r="R211" s="56"/>
      <c r="S211" s="56"/>
      <c r="T211" s="58"/>
      <c r="U211" s="58"/>
      <c r="V211" s="58"/>
      <c r="W211" s="58"/>
      <c r="X211" s="58"/>
      <c r="Y211" s="58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</row>
    <row r="212" spans="1:52" ht="20.100000000000001" customHeight="1" x14ac:dyDescent="0.25">
      <c r="A212" s="39">
        <v>211</v>
      </c>
      <c r="B212" s="40"/>
      <c r="C212" s="18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6"/>
      <c r="R212" s="56"/>
      <c r="S212" s="56"/>
      <c r="T212" s="58"/>
      <c r="U212" s="58"/>
      <c r="V212" s="58"/>
      <c r="W212" s="58"/>
      <c r="X212" s="58"/>
      <c r="Y212" s="58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</row>
    <row r="213" spans="1:52" ht="20.100000000000001" customHeight="1" x14ac:dyDescent="0.25">
      <c r="A213" s="39">
        <v>212</v>
      </c>
      <c r="B213" s="40"/>
      <c r="C213" s="18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56"/>
      <c r="R213" s="56"/>
      <c r="S213" s="56"/>
      <c r="T213" s="58"/>
      <c r="U213" s="58"/>
      <c r="V213" s="58"/>
      <c r="W213" s="58"/>
      <c r="X213" s="58"/>
      <c r="Y213" s="58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</row>
    <row r="214" spans="1:52" ht="20.100000000000001" customHeight="1" x14ac:dyDescent="0.25">
      <c r="A214" s="39">
        <v>213</v>
      </c>
      <c r="B214" s="40"/>
      <c r="C214" s="18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6"/>
      <c r="R214" s="56"/>
      <c r="S214" s="56"/>
      <c r="T214" s="58"/>
      <c r="U214" s="58"/>
      <c r="V214" s="58"/>
      <c r="W214" s="58"/>
      <c r="X214" s="58"/>
      <c r="Y214" s="58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</row>
    <row r="215" spans="1:52" ht="20.100000000000001" customHeight="1" x14ac:dyDescent="0.25">
      <c r="A215" s="39">
        <v>214</v>
      </c>
      <c r="B215" s="40"/>
      <c r="C215" s="18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56"/>
      <c r="R215" s="56"/>
      <c r="S215" s="56"/>
      <c r="T215" s="58"/>
      <c r="U215" s="58"/>
      <c r="V215" s="58"/>
      <c r="W215" s="58"/>
      <c r="X215" s="58"/>
      <c r="Y215" s="58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</row>
    <row r="216" spans="1:52" ht="20.100000000000001" customHeight="1" x14ac:dyDescent="0.25">
      <c r="A216" s="39">
        <v>215</v>
      </c>
      <c r="B216" s="40"/>
      <c r="C216" s="18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6"/>
      <c r="R216" s="56"/>
      <c r="S216" s="56"/>
      <c r="T216" s="58"/>
      <c r="U216" s="58"/>
      <c r="V216" s="58"/>
      <c r="W216" s="58"/>
      <c r="X216" s="58"/>
      <c r="Y216" s="58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</row>
    <row r="217" spans="1:52" ht="20.100000000000001" customHeight="1" x14ac:dyDescent="0.25">
      <c r="A217" s="39">
        <v>216</v>
      </c>
      <c r="B217" s="40"/>
      <c r="C217" s="18"/>
      <c r="D217" s="17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56"/>
      <c r="R217" s="56"/>
      <c r="S217" s="56"/>
      <c r="T217" s="58"/>
      <c r="U217" s="58"/>
      <c r="V217" s="58"/>
      <c r="W217" s="58"/>
      <c r="X217" s="58"/>
      <c r="Y217" s="58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</row>
    <row r="218" spans="1:52" ht="20.100000000000001" customHeight="1" x14ac:dyDescent="0.25">
      <c r="A218" s="39">
        <v>217</v>
      </c>
      <c r="B218" s="40"/>
      <c r="C218" s="18"/>
      <c r="D218" s="17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6"/>
      <c r="R218" s="56"/>
      <c r="S218" s="56"/>
      <c r="T218" s="58"/>
      <c r="U218" s="58"/>
      <c r="V218" s="58"/>
      <c r="W218" s="58"/>
      <c r="X218" s="58"/>
      <c r="Y218" s="58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</row>
    <row r="219" spans="1:52" ht="20.100000000000001" customHeight="1" x14ac:dyDescent="0.25">
      <c r="A219" s="39">
        <v>218</v>
      </c>
      <c r="B219" s="40"/>
      <c r="C219" s="18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56"/>
      <c r="R219" s="56"/>
      <c r="S219" s="56"/>
      <c r="T219" s="58"/>
      <c r="U219" s="58"/>
      <c r="V219" s="58"/>
      <c r="W219" s="58"/>
      <c r="X219" s="58"/>
      <c r="Y219" s="58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</row>
    <row r="220" spans="1:52" ht="20.100000000000001" customHeight="1" x14ac:dyDescent="0.25">
      <c r="A220" s="39">
        <v>219</v>
      </c>
      <c r="B220" s="40"/>
      <c r="C220" s="18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6"/>
      <c r="R220" s="56"/>
      <c r="S220" s="56"/>
      <c r="T220" s="58"/>
      <c r="U220" s="58"/>
      <c r="V220" s="58"/>
      <c r="W220" s="58"/>
      <c r="X220" s="58"/>
      <c r="Y220" s="58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</row>
    <row r="221" spans="1:52" ht="20.100000000000001" customHeight="1" x14ac:dyDescent="0.25">
      <c r="A221" s="39">
        <v>220</v>
      </c>
      <c r="B221" s="40"/>
      <c r="C221" s="18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6"/>
      <c r="R221" s="56"/>
      <c r="S221" s="56"/>
      <c r="T221" s="58"/>
      <c r="U221" s="58"/>
      <c r="V221" s="58"/>
      <c r="W221" s="58"/>
      <c r="X221" s="58"/>
      <c r="Y221" s="58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</row>
    <row r="222" spans="1:52" ht="20.100000000000001" customHeight="1" x14ac:dyDescent="0.25">
      <c r="A222" s="39">
        <v>221</v>
      </c>
      <c r="B222" s="40"/>
      <c r="C222" s="18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56"/>
      <c r="R222" s="56"/>
      <c r="S222" s="56"/>
      <c r="T222" s="58"/>
      <c r="U222" s="58"/>
      <c r="V222" s="58"/>
      <c r="W222" s="58"/>
      <c r="X222" s="58"/>
      <c r="Y222" s="58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</row>
    <row r="223" spans="1:52" ht="20.100000000000001" customHeight="1" x14ac:dyDescent="0.25">
      <c r="A223" s="39">
        <v>222</v>
      </c>
      <c r="B223" s="40"/>
      <c r="C223" s="18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56"/>
      <c r="R223" s="56"/>
      <c r="S223" s="56"/>
      <c r="T223" s="58"/>
      <c r="U223" s="58"/>
      <c r="V223" s="58"/>
      <c r="W223" s="58"/>
      <c r="X223" s="58"/>
      <c r="Y223" s="58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</row>
    <row r="224" spans="1:52" ht="20.100000000000001" customHeight="1" x14ac:dyDescent="0.25">
      <c r="A224" s="39">
        <v>223</v>
      </c>
      <c r="B224" s="40"/>
      <c r="C224" s="18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56"/>
      <c r="R224" s="56"/>
      <c r="S224" s="56"/>
      <c r="T224" s="58"/>
      <c r="U224" s="58"/>
      <c r="V224" s="58"/>
      <c r="W224" s="58"/>
      <c r="X224" s="58"/>
      <c r="Y224" s="58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</row>
    <row r="225" spans="1:52" ht="20.100000000000001" customHeight="1" x14ac:dyDescent="0.25">
      <c r="A225" s="39">
        <v>224</v>
      </c>
      <c r="B225" s="40"/>
      <c r="C225" s="18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56"/>
      <c r="R225" s="56"/>
      <c r="S225" s="56"/>
      <c r="T225" s="58"/>
      <c r="U225" s="58"/>
      <c r="V225" s="58"/>
      <c r="W225" s="58"/>
      <c r="X225" s="58"/>
      <c r="Y225" s="58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</row>
    <row r="226" spans="1:52" ht="20.100000000000001" customHeight="1" x14ac:dyDescent="0.25">
      <c r="A226" s="39">
        <v>225</v>
      </c>
      <c r="B226" s="40"/>
      <c r="C226" s="18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56"/>
      <c r="R226" s="56"/>
      <c r="S226" s="56"/>
      <c r="T226" s="58"/>
      <c r="U226" s="58"/>
      <c r="V226" s="58"/>
      <c r="W226" s="58"/>
      <c r="X226" s="58"/>
      <c r="Y226" s="58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</row>
    <row r="227" spans="1:52" ht="20.100000000000001" customHeight="1" x14ac:dyDescent="0.25">
      <c r="A227" s="39">
        <v>226</v>
      </c>
      <c r="B227" s="40"/>
      <c r="C227" s="18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56"/>
      <c r="R227" s="56"/>
      <c r="S227" s="56"/>
      <c r="T227" s="58"/>
      <c r="U227" s="58"/>
      <c r="V227" s="58"/>
      <c r="W227" s="58"/>
      <c r="X227" s="58"/>
      <c r="Y227" s="58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</row>
    <row r="228" spans="1:52" ht="20.100000000000001" customHeight="1" x14ac:dyDescent="0.25">
      <c r="A228" s="39">
        <v>227</v>
      </c>
      <c r="B228" s="40"/>
      <c r="C228" s="18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56"/>
      <c r="R228" s="56"/>
      <c r="S228" s="56"/>
      <c r="T228" s="58"/>
      <c r="U228" s="58"/>
      <c r="V228" s="58"/>
      <c r="W228" s="58"/>
      <c r="X228" s="58"/>
      <c r="Y228" s="58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</row>
    <row r="229" spans="1:52" ht="20.100000000000001" customHeight="1" x14ac:dyDescent="0.25">
      <c r="A229" s="39">
        <v>228</v>
      </c>
      <c r="B229" s="40"/>
      <c r="C229" s="18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56"/>
      <c r="R229" s="56"/>
      <c r="S229" s="56"/>
      <c r="T229" s="58"/>
      <c r="U229" s="58"/>
      <c r="V229" s="58"/>
      <c r="W229" s="58"/>
      <c r="X229" s="58"/>
      <c r="Y229" s="58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</row>
    <row r="230" spans="1:52" ht="20.100000000000001" customHeight="1" x14ac:dyDescent="0.25">
      <c r="A230" s="39">
        <v>229</v>
      </c>
      <c r="B230" s="40"/>
      <c r="C230" s="18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56"/>
      <c r="R230" s="56"/>
      <c r="S230" s="56"/>
      <c r="T230" s="58"/>
      <c r="U230" s="58"/>
      <c r="V230" s="58"/>
      <c r="W230" s="58"/>
      <c r="X230" s="58"/>
      <c r="Y230" s="58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</row>
    <row r="231" spans="1:52" ht="20.100000000000001" customHeight="1" x14ac:dyDescent="0.25">
      <c r="A231" s="39">
        <v>230</v>
      </c>
      <c r="B231" s="40"/>
      <c r="C231" s="18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56"/>
      <c r="R231" s="56"/>
      <c r="S231" s="56"/>
      <c r="T231" s="58"/>
      <c r="U231" s="58"/>
      <c r="V231" s="58"/>
      <c r="W231" s="58"/>
      <c r="X231" s="58"/>
      <c r="Y231" s="58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</row>
    <row r="232" spans="1:52" ht="20.100000000000001" customHeight="1" x14ac:dyDescent="0.25">
      <c r="A232" s="39">
        <v>231</v>
      </c>
      <c r="B232" s="40"/>
      <c r="C232" s="18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56"/>
      <c r="R232" s="56"/>
      <c r="S232" s="56"/>
      <c r="T232" s="58"/>
      <c r="U232" s="58"/>
      <c r="V232" s="58"/>
      <c r="W232" s="58"/>
      <c r="X232" s="58"/>
      <c r="Y232" s="58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</row>
    <row r="233" spans="1:52" ht="20.100000000000001" customHeight="1" x14ac:dyDescent="0.25">
      <c r="A233" s="39">
        <v>232</v>
      </c>
      <c r="B233" s="40"/>
      <c r="C233" s="18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56"/>
      <c r="R233" s="56"/>
      <c r="S233" s="56"/>
      <c r="T233" s="58"/>
      <c r="U233" s="58"/>
      <c r="V233" s="58"/>
      <c r="W233" s="58"/>
      <c r="X233" s="58"/>
      <c r="Y233" s="58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</row>
    <row r="234" spans="1:52" ht="20.100000000000001" customHeight="1" x14ac:dyDescent="0.25">
      <c r="A234" s="39">
        <v>233</v>
      </c>
      <c r="B234" s="40"/>
      <c r="C234" s="18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56"/>
      <c r="R234" s="56"/>
      <c r="S234" s="56"/>
      <c r="T234" s="58"/>
      <c r="U234" s="58"/>
      <c r="V234" s="58"/>
      <c r="W234" s="58"/>
      <c r="X234" s="58"/>
      <c r="Y234" s="58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</row>
    <row r="235" spans="1:52" ht="20.100000000000001" customHeight="1" x14ac:dyDescent="0.25">
      <c r="A235" s="39">
        <v>234</v>
      </c>
      <c r="B235" s="40"/>
      <c r="C235" s="18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56"/>
      <c r="R235" s="56"/>
      <c r="S235" s="56"/>
      <c r="T235" s="58"/>
      <c r="U235" s="58"/>
      <c r="V235" s="58"/>
      <c r="W235" s="58"/>
      <c r="X235" s="58"/>
      <c r="Y235" s="58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</row>
    <row r="236" spans="1:52" ht="20.100000000000001" customHeight="1" x14ac:dyDescent="0.25">
      <c r="A236" s="39">
        <v>235</v>
      </c>
      <c r="B236" s="40"/>
      <c r="C236" s="18"/>
      <c r="D236" s="17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56"/>
      <c r="R236" s="56"/>
      <c r="S236" s="56"/>
      <c r="T236" s="58"/>
      <c r="U236" s="58"/>
      <c r="V236" s="58"/>
      <c r="W236" s="58"/>
      <c r="X236" s="58"/>
      <c r="Y236" s="58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</row>
  </sheetData>
  <autoFilter ref="A1:AZ236"/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235"/>
  <sheetViews>
    <sheetView zoomScaleNormal="100" workbookViewId="0">
      <pane xSplit="2" ySplit="1" topLeftCell="AC229" activePane="bottomRight" state="frozen"/>
      <selection pane="topRight" activeCell="C1" sqref="C1"/>
      <selection pane="bottomLeft" activeCell="A2" sqref="A2"/>
      <selection pane="bottomRight" activeCell="D232" sqref="D232:D233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4" t="s">
        <v>304</v>
      </c>
      <c r="D1" s="54" t="s">
        <v>306</v>
      </c>
      <c r="E1" s="54" t="s">
        <v>309</v>
      </c>
      <c r="F1" s="54" t="s">
        <v>312</v>
      </c>
      <c r="G1" s="54" t="s">
        <v>864</v>
      </c>
      <c r="H1" s="54" t="s">
        <v>318</v>
      </c>
      <c r="I1" s="54" t="s">
        <v>321</v>
      </c>
      <c r="J1" s="54" t="s">
        <v>323</v>
      </c>
      <c r="K1" s="54" t="s">
        <v>336</v>
      </c>
      <c r="L1" s="54" t="s">
        <v>339</v>
      </c>
      <c r="M1" s="54" t="s">
        <v>343</v>
      </c>
      <c r="N1" s="54" t="s">
        <v>328</v>
      </c>
      <c r="O1" s="54" t="s">
        <v>331</v>
      </c>
      <c r="P1" s="54" t="s">
        <v>333</v>
      </c>
      <c r="Q1" s="55" t="s">
        <v>345</v>
      </c>
      <c r="R1" s="55" t="s">
        <v>348</v>
      </c>
      <c r="S1" s="55" t="s">
        <v>351</v>
      </c>
      <c r="T1" s="57" t="s">
        <v>356</v>
      </c>
      <c r="U1" s="57" t="s">
        <v>354</v>
      </c>
      <c r="V1" s="57" t="s">
        <v>359</v>
      </c>
      <c r="W1" s="57" t="s">
        <v>362</v>
      </c>
      <c r="X1" s="57" t="s">
        <v>368</v>
      </c>
      <c r="Y1" s="57" t="s">
        <v>365</v>
      </c>
      <c r="Z1" s="1" t="s">
        <v>371</v>
      </c>
      <c r="AA1" s="1" t="s">
        <v>373</v>
      </c>
      <c r="AB1" s="1" t="s">
        <v>376</v>
      </c>
      <c r="AC1" s="1" t="s">
        <v>1007</v>
      </c>
      <c r="AD1" s="1" t="s">
        <v>379</v>
      </c>
      <c r="AE1" s="1" t="s">
        <v>381</v>
      </c>
      <c r="AF1" s="1" t="s">
        <v>383</v>
      </c>
      <c r="AG1" s="1" t="s">
        <v>1008</v>
      </c>
      <c r="AH1" s="1" t="s">
        <v>646</v>
      </c>
      <c r="AI1" s="1" t="s">
        <v>1009</v>
      </c>
      <c r="AJ1" s="1" t="s">
        <v>398</v>
      </c>
      <c r="AK1" s="1" t="s">
        <v>402</v>
      </c>
      <c r="AL1" s="1" t="s">
        <v>659</v>
      </c>
      <c r="AM1" s="1" t="s">
        <v>1010</v>
      </c>
      <c r="AN1" s="1" t="s">
        <v>411</v>
      </c>
      <c r="AO1" s="1" t="s">
        <v>414</v>
      </c>
      <c r="AP1" s="1" t="s">
        <v>438</v>
      </c>
      <c r="AQ1" s="1" t="s">
        <v>440</v>
      </c>
      <c r="AR1" s="1" t="s">
        <v>443</v>
      </c>
      <c r="AS1" s="1" t="s">
        <v>445</v>
      </c>
      <c r="AT1" s="1" t="s">
        <v>448</v>
      </c>
      <c r="AU1" s="1" t="s">
        <v>419</v>
      </c>
      <c r="AV1" s="1" t="s">
        <v>422</v>
      </c>
      <c r="AW1" s="1" t="s">
        <v>427</v>
      </c>
      <c r="AX1" s="1" t="s">
        <v>429</v>
      </c>
      <c r="AY1" s="1" t="s">
        <v>432</v>
      </c>
      <c r="AZ1" s="1" t="s">
        <v>435</v>
      </c>
    </row>
    <row r="2" spans="1:52" ht="20.100000000000001" customHeight="1" x14ac:dyDescent="0.25">
      <c r="A2" s="39">
        <v>1</v>
      </c>
      <c r="B2" s="48" t="s">
        <v>1204</v>
      </c>
      <c r="C2" s="16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6"/>
      <c r="R2" s="56"/>
      <c r="S2" s="56"/>
      <c r="T2" s="58"/>
      <c r="U2" s="58"/>
      <c r="V2" s="58"/>
      <c r="W2" s="58"/>
      <c r="X2" s="58"/>
      <c r="Y2" s="58"/>
      <c r="Z2" s="42" t="s">
        <v>1224</v>
      </c>
      <c r="AA2" s="42"/>
      <c r="AB2" s="42" t="s">
        <v>1224</v>
      </c>
      <c r="AC2" s="42"/>
      <c r="AD2" s="42" t="s">
        <v>1224</v>
      </c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</row>
    <row r="3" spans="1:52" ht="20.100000000000001" customHeight="1" x14ac:dyDescent="0.25">
      <c r="A3" s="39">
        <v>2</v>
      </c>
      <c r="B3" s="48" t="s">
        <v>1205</v>
      </c>
      <c r="C3" s="16"/>
      <c r="D3" s="17"/>
      <c r="E3" s="17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6"/>
      <c r="R3" s="56"/>
      <c r="S3" s="56"/>
      <c r="T3" s="58"/>
      <c r="U3" s="58"/>
      <c r="V3" s="58"/>
      <c r="W3" s="58"/>
      <c r="X3" s="58"/>
      <c r="Y3" s="58"/>
      <c r="Z3" s="42" t="s">
        <v>1225</v>
      </c>
      <c r="AA3" s="42"/>
      <c r="AB3" s="42" t="s">
        <v>1225</v>
      </c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</row>
    <row r="4" spans="1:52" ht="20.100000000000001" customHeight="1" x14ac:dyDescent="0.25">
      <c r="A4" s="39">
        <v>3</v>
      </c>
      <c r="B4" s="48" t="s">
        <v>1206</v>
      </c>
      <c r="C4" s="16"/>
      <c r="D4" s="17"/>
      <c r="E4" s="17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56"/>
      <c r="R4" s="56"/>
      <c r="S4" s="56"/>
      <c r="T4" s="58"/>
      <c r="U4" s="58"/>
      <c r="V4" s="58"/>
      <c r="W4" s="58"/>
      <c r="X4" s="58"/>
      <c r="Y4" s="58"/>
      <c r="Z4" s="42" t="s">
        <v>1226</v>
      </c>
      <c r="AA4" s="42"/>
      <c r="AB4" s="42" t="s">
        <v>1226</v>
      </c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</row>
    <row r="5" spans="1:52" ht="20.100000000000001" customHeight="1" x14ac:dyDescent="0.25">
      <c r="A5" s="39">
        <v>4</v>
      </c>
      <c r="B5" s="48" t="s">
        <v>1207</v>
      </c>
      <c r="C5" s="16"/>
      <c r="D5" s="17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6"/>
      <c r="R5" s="56"/>
      <c r="S5" s="56"/>
      <c r="T5" s="58"/>
      <c r="U5" s="58"/>
      <c r="V5" s="58"/>
      <c r="W5" s="58"/>
      <c r="X5" s="58"/>
      <c r="Y5" s="58"/>
      <c r="Z5" s="42" t="s">
        <v>1227</v>
      </c>
      <c r="AA5" s="42"/>
      <c r="AB5" s="42" t="s">
        <v>1227</v>
      </c>
      <c r="AC5" s="42"/>
      <c r="AD5" s="42"/>
      <c r="AE5" s="42"/>
      <c r="AF5" s="42" t="s">
        <v>1227</v>
      </c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</row>
    <row r="6" spans="1:52" ht="20.100000000000001" customHeight="1" x14ac:dyDescent="0.25">
      <c r="A6" s="39">
        <v>5</v>
      </c>
      <c r="B6" s="48" t="s">
        <v>1208</v>
      </c>
      <c r="C6" s="16"/>
      <c r="D6" s="17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56"/>
      <c r="R6" s="56"/>
      <c r="S6" s="56"/>
      <c r="T6" s="58"/>
      <c r="U6" s="58"/>
      <c r="V6" s="58"/>
      <c r="W6" s="58"/>
      <c r="X6" s="58"/>
      <c r="Y6" s="58"/>
      <c r="Z6" s="42" t="s">
        <v>1228</v>
      </c>
      <c r="AA6" s="42"/>
      <c r="AB6" s="42" t="s">
        <v>1228</v>
      </c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spans="1:52" ht="20.100000000000001" customHeight="1" x14ac:dyDescent="0.25">
      <c r="A7" s="39">
        <v>6</v>
      </c>
      <c r="B7" s="48" t="s">
        <v>1209</v>
      </c>
      <c r="C7" s="16"/>
      <c r="D7" s="17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6"/>
      <c r="R7" s="56"/>
      <c r="S7" s="56"/>
      <c r="T7" s="58"/>
      <c r="U7" s="58"/>
      <c r="V7" s="58"/>
      <c r="W7" s="58"/>
      <c r="X7" s="58"/>
      <c r="Y7" s="58"/>
      <c r="Z7" s="42" t="s">
        <v>1229</v>
      </c>
      <c r="AA7" s="42"/>
      <c r="AB7" s="42" t="s">
        <v>1229</v>
      </c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</row>
    <row r="8" spans="1:52" ht="20.100000000000001" customHeight="1" x14ac:dyDescent="0.25">
      <c r="A8" s="39">
        <v>7</v>
      </c>
      <c r="B8" s="48" t="s">
        <v>1210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6"/>
      <c r="R8" s="56"/>
      <c r="S8" s="56"/>
      <c r="T8" s="58"/>
      <c r="U8" s="58"/>
      <c r="V8" s="58"/>
      <c r="W8" s="58"/>
      <c r="X8" s="58"/>
      <c r="Y8" s="58"/>
      <c r="Z8" s="42" t="s">
        <v>1230</v>
      </c>
      <c r="AA8" s="42"/>
      <c r="AB8" s="42" t="s">
        <v>1230</v>
      </c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pans="1:52" ht="20.100000000000001" customHeight="1" x14ac:dyDescent="0.25">
      <c r="A9" s="39">
        <v>8</v>
      </c>
      <c r="B9" s="48" t="s">
        <v>1211</v>
      </c>
      <c r="C9" s="16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56"/>
      <c r="R9" s="56"/>
      <c r="S9" s="56"/>
      <c r="T9" s="58"/>
      <c r="U9" s="58"/>
      <c r="V9" s="58"/>
      <c r="W9" s="58"/>
      <c r="X9" s="58"/>
      <c r="Y9" s="58"/>
      <c r="Z9" s="42" t="s">
        <v>1231</v>
      </c>
      <c r="AA9" s="42"/>
      <c r="AB9" s="42" t="s">
        <v>1231</v>
      </c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</row>
    <row r="10" spans="1:52" ht="20.100000000000001" customHeight="1" x14ac:dyDescent="0.25">
      <c r="A10" s="39">
        <v>9</v>
      </c>
      <c r="B10" s="48" t="s">
        <v>1212</v>
      </c>
      <c r="C10" s="16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6"/>
      <c r="R10" s="56"/>
      <c r="S10" s="56"/>
      <c r="T10" s="58"/>
      <c r="U10" s="58"/>
      <c r="V10" s="58"/>
      <c r="W10" s="58"/>
      <c r="X10" s="58"/>
      <c r="Y10" s="58"/>
      <c r="Z10" s="42" t="s">
        <v>1232</v>
      </c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pans="1:52" ht="20.100000000000001" customHeight="1" x14ac:dyDescent="0.25">
      <c r="A11" s="39">
        <v>10</v>
      </c>
      <c r="B11" s="48" t="s">
        <v>1213</v>
      </c>
      <c r="C11" s="16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6"/>
      <c r="R11" s="56"/>
      <c r="S11" s="56"/>
      <c r="T11" s="58"/>
      <c r="U11" s="58"/>
      <c r="V11" s="58"/>
      <c r="W11" s="58"/>
      <c r="X11" s="58"/>
      <c r="Y11" s="58"/>
      <c r="Z11" s="42" t="s">
        <v>1233</v>
      </c>
      <c r="AA11" s="42"/>
      <c r="AB11" s="42" t="s">
        <v>1233</v>
      </c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</row>
    <row r="12" spans="1:52" ht="20.100000000000001" customHeight="1" x14ac:dyDescent="0.25">
      <c r="A12" s="39">
        <v>11</v>
      </c>
      <c r="B12" s="48" t="s">
        <v>1214</v>
      </c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56"/>
      <c r="R12" s="56"/>
      <c r="S12" s="56"/>
      <c r="T12" s="58"/>
      <c r="U12" s="58"/>
      <c r="V12" s="58"/>
      <c r="W12" s="58"/>
      <c r="X12" s="58"/>
      <c r="Y12" s="58"/>
      <c r="Z12" s="42" t="s">
        <v>1234</v>
      </c>
      <c r="AA12" s="42"/>
      <c r="AB12" s="42" t="s">
        <v>1234</v>
      </c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pans="1:52" ht="20.100000000000001" customHeight="1" x14ac:dyDescent="0.25">
      <c r="A13" s="39">
        <v>12</v>
      </c>
      <c r="B13" s="48" t="s">
        <v>1215</v>
      </c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56"/>
      <c r="R13" s="56"/>
      <c r="S13" s="56"/>
      <c r="T13" s="58"/>
      <c r="U13" s="58"/>
      <c r="V13" s="58"/>
      <c r="W13" s="58"/>
      <c r="X13" s="58"/>
      <c r="Y13" s="58"/>
      <c r="Z13" s="42" t="s">
        <v>1235</v>
      </c>
      <c r="AA13" s="42"/>
      <c r="AB13" s="42" t="s">
        <v>1235</v>
      </c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spans="1:52" ht="20.100000000000001" customHeight="1" x14ac:dyDescent="0.25">
      <c r="A14" s="39">
        <v>13</v>
      </c>
      <c r="B14" s="48" t="s">
        <v>1216</v>
      </c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56"/>
      <c r="R14" s="56"/>
      <c r="S14" s="56"/>
      <c r="T14" s="58"/>
      <c r="U14" s="58"/>
      <c r="V14" s="58"/>
      <c r="W14" s="58"/>
      <c r="X14" s="58"/>
      <c r="Y14" s="58"/>
      <c r="Z14" s="42" t="s">
        <v>1236</v>
      </c>
      <c r="AA14" s="42"/>
      <c r="AB14" s="42" t="s">
        <v>1236</v>
      </c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pans="1:52" ht="20.100000000000001" customHeight="1" x14ac:dyDescent="0.25">
      <c r="A15" s="39">
        <v>14</v>
      </c>
      <c r="B15" s="48" t="s">
        <v>1217</v>
      </c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56"/>
      <c r="R15" s="56"/>
      <c r="S15" s="56"/>
      <c r="T15" s="58"/>
      <c r="U15" s="58"/>
      <c r="V15" s="58"/>
      <c r="W15" s="58"/>
      <c r="X15" s="58"/>
      <c r="Y15" s="58"/>
      <c r="Z15" s="42" t="s">
        <v>1237</v>
      </c>
      <c r="AA15" s="42"/>
      <c r="AB15" s="42" t="s">
        <v>1237</v>
      </c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spans="1:52" ht="20.100000000000001" customHeight="1" x14ac:dyDescent="0.25">
      <c r="A16" s="39">
        <v>15</v>
      </c>
      <c r="B16" s="48" t="s">
        <v>1218</v>
      </c>
      <c r="C16" s="16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56"/>
      <c r="R16" s="56"/>
      <c r="S16" s="56"/>
      <c r="T16" s="58"/>
      <c r="U16" s="58"/>
      <c r="V16" s="58"/>
      <c r="W16" s="58"/>
      <c r="X16" s="58"/>
      <c r="Y16" s="58"/>
      <c r="Z16" s="42" t="s">
        <v>1238</v>
      </c>
      <c r="AA16" s="42"/>
      <c r="AB16" s="42" t="s">
        <v>1238</v>
      </c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</row>
    <row r="17" spans="1:52" ht="20.100000000000001" customHeight="1" x14ac:dyDescent="0.25">
      <c r="A17" s="39">
        <v>16</v>
      </c>
      <c r="B17" s="48" t="s">
        <v>1219</v>
      </c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56"/>
      <c r="R17" s="56"/>
      <c r="S17" s="56"/>
      <c r="T17" s="58"/>
      <c r="U17" s="58"/>
      <c r="V17" s="58"/>
      <c r="W17" s="58"/>
      <c r="X17" s="58"/>
      <c r="Y17" s="58"/>
      <c r="Z17" s="42" t="s">
        <v>1239</v>
      </c>
      <c r="AA17" s="42"/>
      <c r="AB17" s="42" t="s">
        <v>1239</v>
      </c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</row>
    <row r="18" spans="1:52" ht="20.100000000000001" customHeight="1" x14ac:dyDescent="0.25">
      <c r="A18" s="39">
        <v>17</v>
      </c>
      <c r="B18" s="48" t="s">
        <v>1220</v>
      </c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56"/>
      <c r="R18" s="56"/>
      <c r="S18" s="56"/>
      <c r="T18" s="58"/>
      <c r="U18" s="58"/>
      <c r="V18" s="58"/>
      <c r="W18" s="58"/>
      <c r="X18" s="58"/>
      <c r="Y18" s="58"/>
      <c r="Z18" s="42" t="s">
        <v>1240</v>
      </c>
      <c r="AA18" s="42"/>
      <c r="AB18" s="42" t="s">
        <v>1240</v>
      </c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</row>
    <row r="19" spans="1:52" ht="20.100000000000001" customHeight="1" x14ac:dyDescent="0.25">
      <c r="A19" s="39">
        <v>18</v>
      </c>
      <c r="B19" s="48" t="s">
        <v>1221</v>
      </c>
      <c r="C19" s="16"/>
      <c r="D19" s="17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56"/>
      <c r="R19" s="56"/>
      <c r="S19" s="56"/>
      <c r="T19" s="58"/>
      <c r="U19" s="58"/>
      <c r="V19" s="58"/>
      <c r="W19" s="58"/>
      <c r="X19" s="58"/>
      <c r="Y19" s="58"/>
      <c r="Z19" s="42" t="s">
        <v>1241</v>
      </c>
      <c r="AA19" s="42"/>
      <c r="AB19" s="42" t="s">
        <v>1241</v>
      </c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</row>
    <row r="20" spans="1:52" ht="20.100000000000001" customHeight="1" x14ac:dyDescent="0.25">
      <c r="A20" s="39">
        <v>19</v>
      </c>
      <c r="B20" s="48" t="s">
        <v>1079</v>
      </c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6"/>
      <c r="R20" s="56"/>
      <c r="S20" s="56"/>
      <c r="T20" s="58"/>
      <c r="U20" s="58"/>
      <c r="V20" s="58"/>
      <c r="W20" s="58"/>
      <c r="X20" s="58"/>
      <c r="Y20" s="58"/>
      <c r="Z20" s="42" t="s">
        <v>1242</v>
      </c>
      <c r="AA20" s="42"/>
      <c r="AB20" s="42" t="s">
        <v>1242</v>
      </c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</row>
    <row r="21" spans="1:52" ht="20.100000000000001" customHeight="1" x14ac:dyDescent="0.25">
      <c r="A21" s="39">
        <v>20</v>
      </c>
      <c r="B21" s="48" t="s">
        <v>1222</v>
      </c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56"/>
      <c r="R21" s="56"/>
      <c r="S21" s="56"/>
      <c r="T21" s="58"/>
      <c r="U21" s="58"/>
      <c r="V21" s="58"/>
      <c r="W21" s="58"/>
      <c r="X21" s="58"/>
      <c r="Y21" s="58"/>
      <c r="Z21" s="42" t="s">
        <v>1243</v>
      </c>
      <c r="AA21" s="42"/>
      <c r="AB21" s="42" t="s">
        <v>1243</v>
      </c>
      <c r="AC21" s="42"/>
      <c r="AD21" s="42" t="s">
        <v>1243</v>
      </c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</row>
    <row r="22" spans="1:52" ht="20.100000000000001" customHeight="1" x14ac:dyDescent="0.25">
      <c r="A22" s="39">
        <v>21</v>
      </c>
      <c r="B22" s="48" t="s">
        <v>1223</v>
      </c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56"/>
      <c r="R22" s="56"/>
      <c r="S22" s="56"/>
      <c r="T22" s="58"/>
      <c r="U22" s="58"/>
      <c r="V22" s="58"/>
      <c r="W22" s="58"/>
      <c r="X22" s="58"/>
      <c r="Y22" s="58"/>
      <c r="Z22" s="42" t="s">
        <v>1243</v>
      </c>
      <c r="AA22" s="42"/>
      <c r="AB22" s="42" t="s">
        <v>1243</v>
      </c>
      <c r="AC22" s="42"/>
      <c r="AD22" s="42" t="s">
        <v>1243</v>
      </c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spans="1:52" ht="20.100000000000001" customHeight="1" x14ac:dyDescent="0.25">
      <c r="A23" s="39">
        <v>22</v>
      </c>
      <c r="B23" s="48" t="s">
        <v>1244</v>
      </c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56"/>
      <c r="R23" s="56"/>
      <c r="S23" s="56"/>
      <c r="T23" s="58"/>
      <c r="U23" s="58"/>
      <c r="V23" s="58"/>
      <c r="W23" s="58"/>
      <c r="X23" s="58"/>
      <c r="Y23" s="58"/>
      <c r="Z23" s="42" t="s">
        <v>1252</v>
      </c>
      <c r="AA23" s="42"/>
      <c r="AB23" s="42" t="s">
        <v>1252</v>
      </c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</row>
    <row r="24" spans="1:52" ht="20.100000000000001" customHeight="1" x14ac:dyDescent="0.25">
      <c r="A24" s="39">
        <v>23</v>
      </c>
      <c r="B24" s="48" t="s">
        <v>1245</v>
      </c>
      <c r="C24" s="16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56"/>
      <c r="R24" s="56"/>
      <c r="S24" s="56"/>
      <c r="T24" s="58"/>
      <c r="U24" s="58"/>
      <c r="V24" s="58"/>
      <c r="W24" s="58"/>
      <c r="X24" s="58"/>
      <c r="Y24" s="58"/>
      <c r="Z24" s="42" t="s">
        <v>1253</v>
      </c>
      <c r="AA24" s="42"/>
      <c r="AB24" s="42" t="s">
        <v>1253</v>
      </c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</row>
    <row r="25" spans="1:52" ht="20.100000000000001" customHeight="1" x14ac:dyDescent="0.25">
      <c r="A25" s="39">
        <v>24</v>
      </c>
      <c r="B25" s="48" t="s">
        <v>1246</v>
      </c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56"/>
      <c r="R25" s="56"/>
      <c r="S25" s="56"/>
      <c r="T25" s="58"/>
      <c r="U25" s="58"/>
      <c r="V25" s="58"/>
      <c r="W25" s="58"/>
      <c r="X25" s="58"/>
      <c r="Y25" s="58"/>
      <c r="Z25" s="42" t="s">
        <v>1254</v>
      </c>
      <c r="AA25" s="42"/>
      <c r="AB25" s="42" t="s">
        <v>1254</v>
      </c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</row>
    <row r="26" spans="1:52" ht="20.100000000000001" customHeight="1" x14ac:dyDescent="0.25">
      <c r="A26" s="39">
        <v>25</v>
      </c>
      <c r="B26" s="48" t="s">
        <v>1247</v>
      </c>
      <c r="C26" s="16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56"/>
      <c r="R26" s="56"/>
      <c r="S26" s="56"/>
      <c r="T26" s="58"/>
      <c r="U26" s="58"/>
      <c r="V26" s="58"/>
      <c r="W26" s="58"/>
      <c r="X26" s="58"/>
      <c r="Y26" s="58"/>
      <c r="Z26" s="42" t="s">
        <v>1255</v>
      </c>
      <c r="AA26" s="42"/>
      <c r="AB26" s="42" t="s">
        <v>1255</v>
      </c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spans="1:52" ht="20.100000000000001" customHeight="1" x14ac:dyDescent="0.25">
      <c r="A27" s="39">
        <v>26</v>
      </c>
      <c r="B27" s="48" t="s">
        <v>1248</v>
      </c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6"/>
      <c r="R27" s="56"/>
      <c r="S27" s="56"/>
      <c r="T27" s="58"/>
      <c r="U27" s="58"/>
      <c r="V27" s="58"/>
      <c r="W27" s="58"/>
      <c r="X27" s="58"/>
      <c r="Y27" s="58"/>
      <c r="Z27" s="42" t="s">
        <v>1256</v>
      </c>
      <c r="AA27" s="42"/>
      <c r="AB27" s="42" t="s">
        <v>1256</v>
      </c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</row>
    <row r="28" spans="1:52" ht="20.100000000000001" customHeight="1" x14ac:dyDescent="0.25">
      <c r="A28" s="39">
        <v>27</v>
      </c>
      <c r="B28" s="48" t="s">
        <v>1249</v>
      </c>
      <c r="C28" s="16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56"/>
      <c r="R28" s="56"/>
      <c r="S28" s="56"/>
      <c r="T28" s="58"/>
      <c r="U28" s="58"/>
      <c r="V28" s="58"/>
      <c r="W28" s="58"/>
      <c r="X28" s="58"/>
      <c r="Y28" s="58"/>
      <c r="Z28" s="42" t="s">
        <v>1257</v>
      </c>
      <c r="AA28" s="42"/>
      <c r="AB28" s="42" t="s">
        <v>1257</v>
      </c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</row>
    <row r="29" spans="1:52" ht="20.100000000000001" customHeight="1" x14ac:dyDescent="0.25">
      <c r="A29" s="39">
        <v>28</v>
      </c>
      <c r="B29" s="48" t="s">
        <v>636</v>
      </c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6"/>
      <c r="R29" s="56"/>
      <c r="S29" s="56"/>
      <c r="T29" s="58"/>
      <c r="U29" s="58"/>
      <c r="V29" s="58"/>
      <c r="W29" s="58"/>
      <c r="X29" s="58"/>
      <c r="Y29" s="58"/>
      <c r="Z29" s="42" t="s">
        <v>1258</v>
      </c>
      <c r="AA29" s="42"/>
      <c r="AB29" s="42" t="s">
        <v>1258</v>
      </c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</row>
    <row r="30" spans="1:52" ht="20.100000000000001" customHeight="1" x14ac:dyDescent="0.25">
      <c r="A30" s="39">
        <v>29</v>
      </c>
      <c r="B30" s="48" t="s">
        <v>1250</v>
      </c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6"/>
      <c r="R30" s="56"/>
      <c r="S30" s="56"/>
      <c r="T30" s="58"/>
      <c r="U30" s="58"/>
      <c r="V30" s="58"/>
      <c r="W30" s="58"/>
      <c r="X30" s="58"/>
      <c r="Y30" s="58"/>
      <c r="Z30" s="42" t="s">
        <v>1259</v>
      </c>
      <c r="AA30" s="42" t="s">
        <v>1259</v>
      </c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</row>
    <row r="31" spans="1:52" ht="20.100000000000001" customHeight="1" x14ac:dyDescent="0.25">
      <c r="A31" s="39">
        <v>30</v>
      </c>
      <c r="B31" s="48" t="s">
        <v>246</v>
      </c>
      <c r="C31" s="16"/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6"/>
      <c r="R31" s="56"/>
      <c r="S31" s="56"/>
      <c r="T31" s="58"/>
      <c r="U31" s="58"/>
      <c r="V31" s="58"/>
      <c r="W31" s="58"/>
      <c r="X31" s="58"/>
      <c r="Y31" s="58"/>
      <c r="Z31" s="42" t="s">
        <v>1260</v>
      </c>
      <c r="AA31" s="42" t="s">
        <v>1260</v>
      </c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</row>
    <row r="32" spans="1:52" ht="20.100000000000001" customHeight="1" x14ac:dyDescent="0.25">
      <c r="A32" s="39">
        <v>31</v>
      </c>
      <c r="B32" s="48" t="s">
        <v>260</v>
      </c>
      <c r="C32" s="16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6"/>
      <c r="R32" s="56"/>
      <c r="S32" s="56"/>
      <c r="T32" s="58"/>
      <c r="U32" s="58"/>
      <c r="V32" s="58"/>
      <c r="W32" s="58"/>
      <c r="X32" s="58"/>
      <c r="Y32" s="58"/>
      <c r="Z32" s="42" t="s">
        <v>1261</v>
      </c>
      <c r="AA32" s="42" t="s">
        <v>1261</v>
      </c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</row>
    <row r="33" spans="1:52" ht="20.100000000000001" customHeight="1" x14ac:dyDescent="0.25">
      <c r="A33" s="39">
        <v>32</v>
      </c>
      <c r="B33" s="48" t="s">
        <v>250</v>
      </c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56"/>
      <c r="R33" s="56"/>
      <c r="S33" s="56"/>
      <c r="T33" s="58"/>
      <c r="U33" s="58"/>
      <c r="V33" s="58"/>
      <c r="W33" s="58"/>
      <c r="X33" s="58"/>
      <c r="Y33" s="58"/>
      <c r="Z33" s="42" t="s">
        <v>1261</v>
      </c>
      <c r="AA33" s="42" t="s">
        <v>1261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</row>
    <row r="34" spans="1:52" ht="20.100000000000001" customHeight="1" x14ac:dyDescent="0.25">
      <c r="A34" s="39">
        <v>33</v>
      </c>
      <c r="B34" s="48" t="s">
        <v>1251</v>
      </c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6"/>
      <c r="R34" s="56"/>
      <c r="S34" s="56"/>
      <c r="T34" s="58"/>
      <c r="U34" s="58"/>
      <c r="V34" s="58"/>
      <c r="W34" s="58"/>
      <c r="X34" s="58"/>
      <c r="Y34" s="58"/>
      <c r="Z34" s="42" t="s">
        <v>1262</v>
      </c>
      <c r="AA34" s="42" t="s">
        <v>1262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</row>
    <row r="35" spans="1:52" ht="20.100000000000001" customHeight="1" x14ac:dyDescent="0.25">
      <c r="A35" s="39">
        <v>34</v>
      </c>
      <c r="B35" s="48" t="s">
        <v>1263</v>
      </c>
      <c r="C35" s="16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56"/>
      <c r="R35" s="56"/>
      <c r="S35" s="56"/>
      <c r="T35" s="58"/>
      <c r="U35" s="58"/>
      <c r="V35" s="58"/>
      <c r="W35" s="58"/>
      <c r="X35" s="58"/>
      <c r="Y35" s="58"/>
      <c r="Z35" s="42"/>
      <c r="AA35" s="42"/>
      <c r="AB35" s="42"/>
      <c r="AC35" s="42" t="s">
        <v>1224</v>
      </c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</row>
    <row r="36" spans="1:52" ht="20.100000000000001" customHeight="1" x14ac:dyDescent="0.25">
      <c r="A36" s="39">
        <v>35</v>
      </c>
      <c r="B36" s="48" t="s">
        <v>1264</v>
      </c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6"/>
      <c r="R36" s="56"/>
      <c r="S36" s="56"/>
      <c r="T36" s="58"/>
      <c r="U36" s="58"/>
      <c r="V36" s="58"/>
      <c r="W36" s="58"/>
      <c r="X36" s="58"/>
      <c r="Y36" s="58"/>
      <c r="Z36" s="42"/>
      <c r="AA36" s="42"/>
      <c r="AB36" s="42"/>
      <c r="AC36" s="42" t="s">
        <v>1225</v>
      </c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</row>
    <row r="37" spans="1:52" ht="20.100000000000001" customHeight="1" x14ac:dyDescent="0.25">
      <c r="A37" s="39">
        <v>36</v>
      </c>
      <c r="B37" s="48" t="s">
        <v>1206</v>
      </c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56"/>
      <c r="R37" s="56"/>
      <c r="S37" s="56"/>
      <c r="T37" s="58"/>
      <c r="U37" s="58"/>
      <c r="V37" s="58"/>
      <c r="W37" s="58"/>
      <c r="X37" s="58"/>
      <c r="Y37" s="58"/>
      <c r="Z37" s="42"/>
      <c r="AA37" s="42"/>
      <c r="AB37" s="42"/>
      <c r="AC37" s="42" t="s">
        <v>1226</v>
      </c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</row>
    <row r="38" spans="1:52" ht="20.100000000000001" customHeight="1" x14ac:dyDescent="0.25">
      <c r="A38" s="39">
        <v>37</v>
      </c>
      <c r="B38" s="48" t="s">
        <v>1265</v>
      </c>
      <c r="C38" s="16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56"/>
      <c r="R38" s="56"/>
      <c r="S38" s="56"/>
      <c r="T38" s="58"/>
      <c r="U38" s="58"/>
      <c r="V38" s="58"/>
      <c r="W38" s="58"/>
      <c r="X38" s="58"/>
      <c r="Y38" s="58"/>
      <c r="Z38" s="42"/>
      <c r="AA38" s="42"/>
      <c r="AB38" s="42"/>
      <c r="AC38" s="42" t="s">
        <v>1227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</row>
    <row r="39" spans="1:52" ht="20.100000000000001" customHeight="1" x14ac:dyDescent="0.25">
      <c r="A39" s="39">
        <v>38</v>
      </c>
      <c r="B39" s="48" t="s">
        <v>1077</v>
      </c>
      <c r="C39" s="16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56"/>
      <c r="R39" s="56"/>
      <c r="S39" s="56"/>
      <c r="T39" s="58"/>
      <c r="U39" s="58"/>
      <c r="V39" s="58"/>
      <c r="W39" s="58"/>
      <c r="X39" s="58"/>
      <c r="Y39" s="58"/>
      <c r="Z39" s="42"/>
      <c r="AA39" s="42"/>
      <c r="AB39" s="42"/>
      <c r="AC39" s="42" t="s">
        <v>1228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</row>
    <row r="40" spans="1:52" ht="20.100000000000001" customHeight="1" x14ac:dyDescent="0.25">
      <c r="A40" s="39">
        <v>39</v>
      </c>
      <c r="B40" s="48" t="s">
        <v>1209</v>
      </c>
      <c r="C40" s="16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56"/>
      <c r="R40" s="56"/>
      <c r="S40" s="56"/>
      <c r="T40" s="58"/>
      <c r="U40" s="58"/>
      <c r="V40" s="58"/>
      <c r="W40" s="58"/>
      <c r="X40" s="58"/>
      <c r="Y40" s="58"/>
      <c r="Z40" s="42"/>
      <c r="AA40" s="42"/>
      <c r="AB40" s="42"/>
      <c r="AC40" s="42" t="s">
        <v>1269</v>
      </c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</row>
    <row r="41" spans="1:52" ht="20.100000000000001" customHeight="1" x14ac:dyDescent="0.25">
      <c r="A41" s="39">
        <v>40</v>
      </c>
      <c r="B41" s="48" t="s">
        <v>1210</v>
      </c>
      <c r="C41" s="16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56"/>
      <c r="R41" s="56"/>
      <c r="S41" s="56"/>
      <c r="T41" s="58"/>
      <c r="U41" s="58"/>
      <c r="V41" s="58"/>
      <c r="W41" s="58"/>
      <c r="X41" s="58"/>
      <c r="Y41" s="58"/>
      <c r="Z41" s="42"/>
      <c r="AA41" s="42"/>
      <c r="AB41" s="42"/>
      <c r="AC41" s="42" t="s">
        <v>1230</v>
      </c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</row>
    <row r="42" spans="1:52" ht="20.100000000000001" customHeight="1" x14ac:dyDescent="0.25">
      <c r="A42" s="39">
        <v>41</v>
      </c>
      <c r="B42" s="48" t="s">
        <v>1266</v>
      </c>
      <c r="C42" s="16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56"/>
      <c r="R42" s="56"/>
      <c r="S42" s="56"/>
      <c r="T42" s="58"/>
      <c r="U42" s="58"/>
      <c r="V42" s="58"/>
      <c r="W42" s="58"/>
      <c r="X42" s="58"/>
      <c r="Y42" s="58"/>
      <c r="Z42" s="42"/>
      <c r="AA42" s="42"/>
      <c r="AB42" s="42"/>
      <c r="AC42" s="42" t="s">
        <v>1231</v>
      </c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</row>
    <row r="43" spans="1:52" ht="20.100000000000001" customHeight="1" x14ac:dyDescent="0.25">
      <c r="A43" s="39">
        <v>42</v>
      </c>
      <c r="B43" s="48" t="s">
        <v>1212</v>
      </c>
      <c r="C43" s="16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56"/>
      <c r="R43" s="56"/>
      <c r="S43" s="56"/>
      <c r="T43" s="58"/>
      <c r="U43" s="58"/>
      <c r="V43" s="58"/>
      <c r="W43" s="58"/>
      <c r="X43" s="58"/>
      <c r="Y43" s="58"/>
      <c r="Z43" s="42"/>
      <c r="AA43" s="42"/>
      <c r="AB43" s="42"/>
      <c r="AC43" s="42" t="s">
        <v>1270</v>
      </c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</row>
    <row r="44" spans="1:52" ht="20.100000000000001" customHeight="1" x14ac:dyDescent="0.25">
      <c r="A44" s="39">
        <v>43</v>
      </c>
      <c r="B44" s="48" t="s">
        <v>1213</v>
      </c>
      <c r="C44" s="16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56"/>
      <c r="R44" s="56"/>
      <c r="S44" s="56"/>
      <c r="T44" s="58"/>
      <c r="U44" s="58"/>
      <c r="V44" s="58"/>
      <c r="W44" s="58"/>
      <c r="X44" s="58"/>
      <c r="Y44" s="58"/>
      <c r="Z44" s="42"/>
      <c r="AA44" s="42"/>
      <c r="AB44" s="42" t="s">
        <v>1271</v>
      </c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</row>
    <row r="45" spans="1:52" ht="20.100000000000001" customHeight="1" x14ac:dyDescent="0.25">
      <c r="A45" s="39">
        <v>44</v>
      </c>
      <c r="B45" s="48" t="s">
        <v>1267</v>
      </c>
      <c r="C45" s="16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56"/>
      <c r="R45" s="56"/>
      <c r="S45" s="56"/>
      <c r="T45" s="58"/>
      <c r="U45" s="58"/>
      <c r="V45" s="58"/>
      <c r="W45" s="58"/>
      <c r="X45" s="58"/>
      <c r="Y45" s="58"/>
      <c r="Z45" s="42"/>
      <c r="AA45" s="42"/>
      <c r="AB45" s="42" t="s">
        <v>1272</v>
      </c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</row>
    <row r="46" spans="1:52" ht="20.100000000000001" customHeight="1" x14ac:dyDescent="0.25">
      <c r="A46" s="39">
        <v>45</v>
      </c>
      <c r="B46" s="48" t="s">
        <v>1215</v>
      </c>
      <c r="C46" s="16"/>
      <c r="D46" s="17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56"/>
      <c r="R46" s="56"/>
      <c r="S46" s="56"/>
      <c r="T46" s="58"/>
      <c r="U46" s="58"/>
      <c r="V46" s="58"/>
      <c r="W46" s="58"/>
      <c r="X46" s="58"/>
      <c r="Y46" s="58"/>
      <c r="Z46" s="42"/>
      <c r="AA46" s="42"/>
      <c r="AB46" s="42" t="s">
        <v>1235</v>
      </c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</row>
    <row r="47" spans="1:52" ht="20.100000000000001" customHeight="1" x14ac:dyDescent="0.25">
      <c r="A47" s="39">
        <v>46</v>
      </c>
      <c r="B47" s="48" t="s">
        <v>1268</v>
      </c>
      <c r="C47" s="16"/>
      <c r="D47" s="17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56"/>
      <c r="R47" s="56"/>
      <c r="S47" s="56"/>
      <c r="T47" s="58"/>
      <c r="U47" s="58"/>
      <c r="V47" s="58"/>
      <c r="W47" s="58"/>
      <c r="X47" s="58"/>
      <c r="Y47" s="58"/>
      <c r="Z47" s="42"/>
      <c r="AA47" s="42"/>
      <c r="AB47" s="42"/>
      <c r="AC47" s="42"/>
      <c r="AD47" s="42"/>
      <c r="AE47" s="42"/>
      <c r="AF47" s="42"/>
      <c r="AG47" s="42" t="s">
        <v>1273</v>
      </c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</row>
    <row r="48" spans="1:52" ht="20.100000000000001" customHeight="1" x14ac:dyDescent="0.25">
      <c r="A48" s="39">
        <v>47</v>
      </c>
      <c r="B48" s="48" t="s">
        <v>1274</v>
      </c>
      <c r="C48" s="16"/>
      <c r="D48" s="17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56"/>
      <c r="R48" s="56"/>
      <c r="S48" s="56"/>
      <c r="T48" s="58"/>
      <c r="U48" s="58"/>
      <c r="V48" s="58"/>
      <c r="W48" s="58"/>
      <c r="X48" s="58"/>
      <c r="Y48" s="58"/>
      <c r="Z48" s="42"/>
      <c r="AA48" s="42"/>
      <c r="AB48" s="37" t="s">
        <v>1291</v>
      </c>
      <c r="AC48" s="42"/>
      <c r="AD48" s="42"/>
      <c r="AE48" s="42"/>
      <c r="AF48" s="42"/>
      <c r="AG48" s="42" t="s">
        <v>1291</v>
      </c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</row>
    <row r="49" spans="1:52" ht="20.100000000000001" customHeight="1" x14ac:dyDescent="0.25">
      <c r="A49" s="39">
        <v>48</v>
      </c>
      <c r="B49" s="48" t="s">
        <v>1275</v>
      </c>
      <c r="C49" s="16"/>
      <c r="D49" s="17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56"/>
      <c r="R49" s="56"/>
      <c r="S49" s="56"/>
      <c r="T49" s="58"/>
      <c r="U49" s="58"/>
      <c r="V49" s="58"/>
      <c r="W49" s="58"/>
      <c r="X49" s="58"/>
      <c r="Y49" s="58"/>
      <c r="Z49" s="42"/>
      <c r="AA49" s="42"/>
      <c r="AB49" s="42" t="s">
        <v>1236</v>
      </c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</row>
    <row r="50" spans="1:52" ht="20.100000000000001" customHeight="1" x14ac:dyDescent="0.25">
      <c r="A50" s="39">
        <v>49</v>
      </c>
      <c r="B50" s="48" t="s">
        <v>1276</v>
      </c>
      <c r="C50" s="16"/>
      <c r="D50" s="17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56"/>
      <c r="R50" s="56"/>
      <c r="S50" s="56"/>
      <c r="T50" s="58"/>
      <c r="U50" s="58"/>
      <c r="V50" s="58"/>
      <c r="W50" s="58"/>
      <c r="X50" s="58"/>
      <c r="Y50" s="58"/>
      <c r="Z50" s="42"/>
      <c r="AA50" s="42"/>
      <c r="AB50" s="42" t="s">
        <v>1237</v>
      </c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</row>
    <row r="51" spans="1:52" ht="20.100000000000001" customHeight="1" x14ac:dyDescent="0.25">
      <c r="A51" s="39">
        <v>50</v>
      </c>
      <c r="B51" s="48" t="s">
        <v>1277</v>
      </c>
      <c r="C51" s="16"/>
      <c r="D51" s="17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56"/>
      <c r="R51" s="56"/>
      <c r="S51" s="56"/>
      <c r="T51" s="58"/>
      <c r="U51" s="58"/>
      <c r="V51" s="58"/>
      <c r="W51" s="58"/>
      <c r="X51" s="58"/>
      <c r="Y51" s="58"/>
      <c r="Z51" s="42"/>
      <c r="AA51" s="42"/>
      <c r="AB51" s="42" t="s">
        <v>1292</v>
      </c>
      <c r="AC51" s="42"/>
      <c r="AD51" s="42" t="s">
        <v>1292</v>
      </c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</row>
    <row r="52" spans="1:52" ht="20.100000000000001" customHeight="1" x14ac:dyDescent="0.25">
      <c r="A52" s="39">
        <v>51</v>
      </c>
      <c r="B52" s="48" t="s">
        <v>1278</v>
      </c>
      <c r="C52" s="16"/>
      <c r="D52" s="17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56"/>
      <c r="R52" s="56"/>
      <c r="S52" s="56"/>
      <c r="T52" s="58"/>
      <c r="U52" s="58"/>
      <c r="V52" s="58"/>
      <c r="W52" s="58"/>
      <c r="X52" s="58"/>
      <c r="Y52" s="58"/>
      <c r="Z52" s="42"/>
      <c r="AA52" s="42"/>
      <c r="AB52" s="42" t="s">
        <v>1293</v>
      </c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</row>
    <row r="53" spans="1:52" ht="20.100000000000001" customHeight="1" x14ac:dyDescent="0.25">
      <c r="A53" s="39">
        <v>52</v>
      </c>
      <c r="B53" s="48" t="s">
        <v>1279</v>
      </c>
      <c r="C53" s="16"/>
      <c r="D53" s="17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6"/>
      <c r="R53" s="56"/>
      <c r="S53" s="56"/>
      <c r="T53" s="58"/>
      <c r="U53" s="58"/>
      <c r="V53" s="58"/>
      <c r="W53" s="58"/>
      <c r="X53" s="58"/>
      <c r="Y53" s="58"/>
      <c r="Z53" s="42"/>
      <c r="AA53" s="42"/>
      <c r="AB53" s="42" t="s">
        <v>1239</v>
      </c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</row>
    <row r="54" spans="1:52" ht="20.100000000000001" customHeight="1" x14ac:dyDescent="0.25">
      <c r="A54" s="39">
        <v>53</v>
      </c>
      <c r="B54" s="48" t="s">
        <v>1280</v>
      </c>
      <c r="C54" s="16"/>
      <c r="D54" s="17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56"/>
      <c r="R54" s="56"/>
      <c r="S54" s="56"/>
      <c r="T54" s="58"/>
      <c r="U54" s="58"/>
      <c r="V54" s="58"/>
      <c r="W54" s="58"/>
      <c r="X54" s="58"/>
      <c r="Y54" s="58"/>
      <c r="Z54" s="42"/>
      <c r="AA54" s="42"/>
      <c r="AB54" s="42" t="s">
        <v>1240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</row>
    <row r="55" spans="1:52" ht="20.100000000000001" customHeight="1" x14ac:dyDescent="0.25">
      <c r="A55" s="39">
        <v>54</v>
      </c>
      <c r="B55" s="48" t="s">
        <v>1281</v>
      </c>
      <c r="C55" s="16"/>
      <c r="D55" s="17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56"/>
      <c r="R55" s="56"/>
      <c r="S55" s="56"/>
      <c r="T55" s="58"/>
      <c r="U55" s="58"/>
      <c r="V55" s="58"/>
      <c r="W55" s="58"/>
      <c r="X55" s="58"/>
      <c r="Y55" s="58"/>
      <c r="Z55" s="42"/>
      <c r="AA55" s="42"/>
      <c r="AB55" s="42" t="s">
        <v>1241</v>
      </c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</row>
    <row r="56" spans="1:52" ht="20.100000000000001" customHeight="1" x14ac:dyDescent="0.25">
      <c r="A56" s="39">
        <v>55</v>
      </c>
      <c r="B56" s="48" t="s">
        <v>1282</v>
      </c>
      <c r="C56" s="16"/>
      <c r="D56" s="17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56"/>
      <c r="R56" s="56"/>
      <c r="S56" s="56"/>
      <c r="T56" s="58"/>
      <c r="U56" s="58"/>
      <c r="V56" s="58"/>
      <c r="W56" s="58"/>
      <c r="X56" s="58"/>
      <c r="Y56" s="58"/>
      <c r="Z56" s="42"/>
      <c r="AA56" s="42"/>
      <c r="AB56" s="42" t="s">
        <v>1294</v>
      </c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</row>
    <row r="57" spans="1:52" ht="20.100000000000001" customHeight="1" x14ac:dyDescent="0.25">
      <c r="A57" s="39">
        <v>56</v>
      </c>
      <c r="B57" s="48" t="s">
        <v>1078</v>
      </c>
      <c r="C57" s="16"/>
      <c r="D57" s="17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56"/>
      <c r="R57" s="56"/>
      <c r="S57" s="56"/>
      <c r="T57" s="58"/>
      <c r="U57" s="58"/>
      <c r="V57" s="58"/>
      <c r="W57" s="58"/>
      <c r="X57" s="58"/>
      <c r="Y57" s="58"/>
      <c r="Z57" s="42"/>
      <c r="AA57" s="42"/>
      <c r="AB57" s="42" t="s">
        <v>1295</v>
      </c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</row>
    <row r="58" spans="1:52" ht="20.100000000000001" customHeight="1" x14ac:dyDescent="0.25">
      <c r="A58" s="39">
        <v>57</v>
      </c>
      <c r="B58" s="48" t="s">
        <v>1283</v>
      </c>
      <c r="C58" s="16"/>
      <c r="D58" s="17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56"/>
      <c r="R58" s="56"/>
      <c r="S58" s="56"/>
      <c r="T58" s="58"/>
      <c r="U58" s="58"/>
      <c r="V58" s="58"/>
      <c r="W58" s="58"/>
      <c r="X58" s="58"/>
      <c r="Y58" s="58"/>
      <c r="Z58" s="42"/>
      <c r="AA58" s="42"/>
      <c r="AB58" s="42" t="s">
        <v>1296</v>
      </c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</row>
    <row r="59" spans="1:52" ht="20.100000000000001" customHeight="1" x14ac:dyDescent="0.25">
      <c r="A59" s="39">
        <v>58</v>
      </c>
      <c r="B59" s="48" t="s">
        <v>1284</v>
      </c>
      <c r="C59" s="16"/>
      <c r="D59" s="17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6"/>
      <c r="R59" s="56"/>
      <c r="S59" s="56"/>
      <c r="T59" s="58"/>
      <c r="U59" s="58"/>
      <c r="V59" s="58"/>
      <c r="W59" s="58"/>
      <c r="X59" s="58"/>
      <c r="Y59" s="58"/>
      <c r="Z59" s="42"/>
      <c r="AA59" s="42"/>
      <c r="AB59" s="42" t="s">
        <v>1297</v>
      </c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</row>
    <row r="60" spans="1:52" ht="20.100000000000001" customHeight="1" x14ac:dyDescent="0.25">
      <c r="A60" s="39">
        <v>59</v>
      </c>
      <c r="B60" s="40" t="s">
        <v>1079</v>
      </c>
      <c r="C60" s="16"/>
      <c r="D60" s="17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56"/>
      <c r="R60" s="56"/>
      <c r="S60" s="56"/>
      <c r="T60" s="58"/>
      <c r="U60" s="58"/>
      <c r="V60" s="58"/>
      <c r="W60" s="58"/>
      <c r="X60" s="58"/>
      <c r="Y60" s="58"/>
      <c r="Z60" s="42"/>
      <c r="AA60" s="42"/>
      <c r="AB60" s="42" t="s">
        <v>1242</v>
      </c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</row>
    <row r="61" spans="1:52" ht="20.100000000000001" customHeight="1" x14ac:dyDescent="0.25">
      <c r="A61" s="39">
        <v>60</v>
      </c>
      <c r="B61" s="40" t="s">
        <v>1285</v>
      </c>
      <c r="C61" s="16"/>
      <c r="D61" s="17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56"/>
      <c r="R61" s="56"/>
      <c r="S61" s="56"/>
      <c r="T61" s="58"/>
      <c r="U61" s="58"/>
      <c r="V61" s="58"/>
      <c r="W61" s="58"/>
      <c r="X61" s="58"/>
      <c r="Y61" s="58"/>
      <c r="Z61" s="42"/>
      <c r="AA61" s="42"/>
      <c r="AB61" s="42" t="s">
        <v>1298</v>
      </c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</row>
    <row r="62" spans="1:52" ht="20.100000000000001" customHeight="1" x14ac:dyDescent="0.25">
      <c r="A62" s="39">
        <v>61</v>
      </c>
      <c r="B62" s="40" t="s">
        <v>1286</v>
      </c>
      <c r="C62" s="16"/>
      <c r="D62" s="17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56"/>
      <c r="R62" s="56"/>
      <c r="S62" s="56"/>
      <c r="T62" s="58"/>
      <c r="U62" s="58"/>
      <c r="V62" s="58"/>
      <c r="W62" s="58"/>
      <c r="X62" s="58"/>
      <c r="Y62" s="58"/>
      <c r="Z62" s="42"/>
      <c r="AA62" s="42"/>
      <c r="AB62" s="42" t="s">
        <v>1299</v>
      </c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</row>
    <row r="63" spans="1:52" ht="20.100000000000001" customHeight="1" x14ac:dyDescent="0.25">
      <c r="A63" s="39">
        <v>62</v>
      </c>
      <c r="B63" s="40" t="s">
        <v>1080</v>
      </c>
      <c r="C63" s="16"/>
      <c r="D63" s="17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56"/>
      <c r="R63" s="56"/>
      <c r="S63" s="56"/>
      <c r="T63" s="58"/>
      <c r="U63" s="58"/>
      <c r="V63" s="58"/>
      <c r="W63" s="58"/>
      <c r="X63" s="58"/>
      <c r="Y63" s="58"/>
      <c r="Z63" s="42"/>
      <c r="AA63" s="42"/>
      <c r="AB63" s="42" t="s">
        <v>1301</v>
      </c>
      <c r="AC63" s="42"/>
      <c r="AD63" s="42" t="s">
        <v>1301</v>
      </c>
      <c r="AE63" s="42"/>
      <c r="AF63" s="42"/>
      <c r="AG63" s="42" t="s">
        <v>1300</v>
      </c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</row>
    <row r="64" spans="1:52" ht="20.100000000000001" customHeight="1" x14ac:dyDescent="0.25">
      <c r="A64" s="39">
        <v>63</v>
      </c>
      <c r="B64" s="40" t="s">
        <v>1287</v>
      </c>
      <c r="C64" s="16"/>
      <c r="D64" s="17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56"/>
      <c r="R64" s="56"/>
      <c r="S64" s="56"/>
      <c r="T64" s="58"/>
      <c r="U64" s="58"/>
      <c r="V64" s="58"/>
      <c r="W64" s="58"/>
      <c r="X64" s="58"/>
      <c r="Y64" s="58"/>
      <c r="Z64" s="42"/>
      <c r="AA64" s="42"/>
      <c r="AB64" s="42" t="s">
        <v>1243</v>
      </c>
      <c r="AC64" s="42"/>
      <c r="AD64" s="42" t="s">
        <v>1243</v>
      </c>
      <c r="AE64" s="42"/>
      <c r="AF64" s="42"/>
      <c r="AG64" s="42" t="s">
        <v>1243</v>
      </c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</row>
    <row r="65" spans="1:52" ht="20.100000000000001" customHeight="1" x14ac:dyDescent="0.25">
      <c r="A65" s="39">
        <v>64</v>
      </c>
      <c r="B65" s="40" t="s">
        <v>1288</v>
      </c>
      <c r="C65" s="16"/>
      <c r="D65" s="17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56"/>
      <c r="R65" s="56"/>
      <c r="S65" s="56"/>
      <c r="T65" s="58"/>
      <c r="U65" s="58"/>
      <c r="V65" s="58"/>
      <c r="W65" s="58"/>
      <c r="X65" s="58"/>
      <c r="Y65" s="58"/>
      <c r="Z65" s="42"/>
      <c r="AA65" s="42"/>
      <c r="AB65" s="42" t="s">
        <v>1243</v>
      </c>
      <c r="AC65" s="42"/>
      <c r="AD65" s="42" t="s">
        <v>1243</v>
      </c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</row>
    <row r="66" spans="1:52" ht="20.100000000000001" customHeight="1" x14ac:dyDescent="0.25">
      <c r="A66" s="39">
        <v>65</v>
      </c>
      <c r="B66" s="40" t="s">
        <v>1289</v>
      </c>
      <c r="C66" s="16"/>
      <c r="D66" s="17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56"/>
      <c r="R66" s="56"/>
      <c r="S66" s="56"/>
      <c r="T66" s="58"/>
      <c r="U66" s="58"/>
      <c r="V66" s="58"/>
      <c r="W66" s="58"/>
      <c r="X66" s="58"/>
      <c r="Y66" s="58"/>
      <c r="Z66" s="42"/>
      <c r="AA66" s="42"/>
      <c r="AB66" s="42" t="s">
        <v>1302</v>
      </c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</row>
    <row r="67" spans="1:52" ht="20.100000000000001" customHeight="1" x14ac:dyDescent="0.25">
      <c r="A67" s="39">
        <v>66</v>
      </c>
      <c r="B67" s="40" t="s">
        <v>1290</v>
      </c>
      <c r="C67" s="16"/>
      <c r="D67" s="17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56"/>
      <c r="R67" s="56"/>
      <c r="S67" s="56"/>
      <c r="T67" s="58"/>
      <c r="U67" s="58"/>
      <c r="V67" s="58"/>
      <c r="W67" s="58"/>
      <c r="X67" s="58"/>
      <c r="Y67" s="58"/>
      <c r="Z67" s="42"/>
      <c r="AA67" s="42"/>
      <c r="AB67" s="42" t="s">
        <v>1303</v>
      </c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</row>
    <row r="68" spans="1:52" ht="20.100000000000001" customHeight="1" x14ac:dyDescent="0.25">
      <c r="A68" s="39">
        <v>68</v>
      </c>
      <c r="B68" s="40" t="s">
        <v>1304</v>
      </c>
      <c r="C68" s="16"/>
      <c r="D68" s="17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56"/>
      <c r="R68" s="56"/>
      <c r="S68" s="56"/>
      <c r="T68" s="58"/>
      <c r="U68" s="58"/>
      <c r="V68" s="58"/>
      <c r="W68" s="58"/>
      <c r="X68" s="58"/>
      <c r="Y68" s="58"/>
      <c r="Z68" s="42"/>
      <c r="AA68" s="42"/>
      <c r="AB68" s="42" t="s">
        <v>1316</v>
      </c>
      <c r="AC68" s="42"/>
      <c r="AD68" s="42"/>
      <c r="AE68" s="42"/>
      <c r="AF68" s="42"/>
      <c r="AG68" s="42" t="s">
        <v>1317</v>
      </c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</row>
    <row r="69" spans="1:52" ht="20.100000000000001" customHeight="1" x14ac:dyDescent="0.25">
      <c r="A69" s="39">
        <v>69</v>
      </c>
      <c r="B69" s="40" t="s">
        <v>1305</v>
      </c>
      <c r="C69" s="16"/>
      <c r="D69" s="17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56"/>
      <c r="R69" s="56"/>
      <c r="S69" s="56"/>
      <c r="T69" s="58"/>
      <c r="U69" s="58"/>
      <c r="V69" s="58"/>
      <c r="W69" s="58"/>
      <c r="X69" s="58"/>
      <c r="Y69" s="58"/>
      <c r="Z69" s="42"/>
      <c r="AA69" s="42"/>
      <c r="AB69" s="42" t="s">
        <v>1318</v>
      </c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</row>
    <row r="70" spans="1:52" ht="20.100000000000001" customHeight="1" x14ac:dyDescent="0.25">
      <c r="A70" s="39">
        <v>70</v>
      </c>
      <c r="B70" s="40" t="s">
        <v>1244</v>
      </c>
      <c r="C70" s="16"/>
      <c r="D70" s="17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56"/>
      <c r="R70" s="56"/>
      <c r="S70" s="56"/>
      <c r="T70" s="58"/>
      <c r="U70" s="58"/>
      <c r="V70" s="58"/>
      <c r="W70" s="58"/>
      <c r="X70" s="58"/>
      <c r="Y70" s="58"/>
      <c r="Z70" s="42"/>
      <c r="AA70" s="42"/>
      <c r="AB70" s="42" t="s">
        <v>1252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</row>
    <row r="71" spans="1:52" ht="20.100000000000001" customHeight="1" x14ac:dyDescent="0.25">
      <c r="A71" s="39">
        <v>71</v>
      </c>
      <c r="B71" s="40" t="s">
        <v>1306</v>
      </c>
      <c r="C71" s="16"/>
      <c r="D71" s="17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56"/>
      <c r="R71" s="56"/>
      <c r="S71" s="56"/>
      <c r="T71" s="58"/>
      <c r="U71" s="58"/>
      <c r="V71" s="58"/>
      <c r="W71" s="58"/>
      <c r="X71" s="58"/>
      <c r="Y71" s="58"/>
      <c r="Z71" s="42"/>
      <c r="AA71" s="42"/>
      <c r="AB71" s="62" t="s">
        <v>1319</v>
      </c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</row>
    <row r="72" spans="1:52" ht="20.100000000000001" customHeight="1" x14ac:dyDescent="0.25">
      <c r="A72" s="39">
        <v>72</v>
      </c>
      <c r="B72" s="40" t="s">
        <v>1307</v>
      </c>
      <c r="C72" s="16"/>
      <c r="D72" s="17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56"/>
      <c r="R72" s="56"/>
      <c r="S72" s="56"/>
      <c r="T72" s="58"/>
      <c r="U72" s="58"/>
      <c r="V72" s="58"/>
      <c r="W72" s="58"/>
      <c r="X72" s="58"/>
      <c r="Y72" s="58"/>
      <c r="Z72" s="42"/>
      <c r="AA72" s="42"/>
      <c r="AB72" s="62" t="s">
        <v>1319</v>
      </c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</row>
    <row r="73" spans="1:52" ht="20.100000000000001" customHeight="1" x14ac:dyDescent="0.25">
      <c r="A73" s="39">
        <v>73</v>
      </c>
      <c r="B73" s="40" t="s">
        <v>1308</v>
      </c>
      <c r="C73" s="16"/>
      <c r="D73" s="17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56"/>
      <c r="R73" s="56"/>
      <c r="S73" s="56"/>
      <c r="T73" s="58"/>
      <c r="U73" s="58"/>
      <c r="V73" s="58"/>
      <c r="W73" s="58"/>
      <c r="X73" s="58"/>
      <c r="Y73" s="58"/>
      <c r="Z73" s="42"/>
      <c r="AA73" s="42"/>
      <c r="AB73" s="42" t="s">
        <v>1253</v>
      </c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</row>
    <row r="74" spans="1:52" ht="20.100000000000001" customHeight="1" x14ac:dyDescent="0.25">
      <c r="A74" s="39">
        <v>74</v>
      </c>
      <c r="B74" s="40" t="s">
        <v>1309</v>
      </c>
      <c r="C74" s="16"/>
      <c r="D74" s="17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56"/>
      <c r="R74" s="56"/>
      <c r="S74" s="56"/>
      <c r="T74" s="58"/>
      <c r="U74" s="58"/>
      <c r="V74" s="58"/>
      <c r="W74" s="58"/>
      <c r="X74" s="58"/>
      <c r="Y74" s="58"/>
      <c r="Z74" s="42"/>
      <c r="AA74" s="42"/>
      <c r="AB74" s="42" t="s">
        <v>1254</v>
      </c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</row>
    <row r="75" spans="1:52" ht="20.100000000000001" customHeight="1" x14ac:dyDescent="0.25">
      <c r="A75" s="39">
        <v>75</v>
      </c>
      <c r="B75" s="40" t="s">
        <v>1310</v>
      </c>
      <c r="C75" s="16"/>
      <c r="D75" s="17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56"/>
      <c r="R75" s="56"/>
      <c r="S75" s="56"/>
      <c r="T75" s="58"/>
      <c r="U75" s="58"/>
      <c r="V75" s="58"/>
      <c r="W75" s="58"/>
      <c r="X75" s="58"/>
      <c r="Y75" s="58"/>
      <c r="Z75" s="42"/>
      <c r="AA75" s="42"/>
      <c r="AB75" s="42" t="s">
        <v>1320</v>
      </c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</row>
    <row r="76" spans="1:52" ht="20.100000000000001" customHeight="1" x14ac:dyDescent="0.25">
      <c r="A76" s="39">
        <v>76</v>
      </c>
      <c r="B76" s="40" t="s">
        <v>1311</v>
      </c>
      <c r="C76" s="16"/>
      <c r="D76" s="17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56"/>
      <c r="R76" s="56"/>
      <c r="S76" s="56"/>
      <c r="T76" s="58"/>
      <c r="U76" s="58"/>
      <c r="V76" s="58"/>
      <c r="W76" s="58"/>
      <c r="X76" s="58"/>
      <c r="Y76" s="58"/>
      <c r="Z76" s="42"/>
      <c r="AA76" s="42"/>
      <c r="AB76" s="42" t="s">
        <v>1321</v>
      </c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</row>
    <row r="77" spans="1:52" ht="20.100000000000001" customHeight="1" x14ac:dyDescent="0.25">
      <c r="A77" s="39">
        <v>77</v>
      </c>
      <c r="B77" s="40" t="s">
        <v>1312</v>
      </c>
      <c r="C77" s="16"/>
      <c r="D77" s="17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56"/>
      <c r="R77" s="56"/>
      <c r="S77" s="56"/>
      <c r="T77" s="58"/>
      <c r="U77" s="58"/>
      <c r="V77" s="58"/>
      <c r="W77" s="58"/>
      <c r="X77" s="58"/>
      <c r="Y77" s="58"/>
      <c r="Z77" s="42"/>
      <c r="AA77" s="42"/>
      <c r="AB77" s="42" t="s">
        <v>1256</v>
      </c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</row>
    <row r="78" spans="1:52" ht="20.100000000000001" customHeight="1" x14ac:dyDescent="0.25">
      <c r="A78" s="39">
        <v>78</v>
      </c>
      <c r="B78" s="40" t="s">
        <v>1249</v>
      </c>
      <c r="C78" s="16"/>
      <c r="D78" s="17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56"/>
      <c r="R78" s="56"/>
      <c r="S78" s="56"/>
      <c r="T78" s="58"/>
      <c r="U78" s="58"/>
      <c r="V78" s="58"/>
      <c r="W78" s="58"/>
      <c r="X78" s="58"/>
      <c r="Y78" s="58"/>
      <c r="Z78" s="42"/>
      <c r="AA78" s="42"/>
      <c r="AB78" s="42" t="s">
        <v>1257</v>
      </c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</row>
    <row r="79" spans="1:52" ht="20.100000000000001" customHeight="1" x14ac:dyDescent="0.25">
      <c r="A79" s="39">
        <v>79</v>
      </c>
      <c r="B79" s="40" t="s">
        <v>636</v>
      </c>
      <c r="C79" s="16"/>
      <c r="D79" s="17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56"/>
      <c r="R79" s="56"/>
      <c r="S79" s="56"/>
      <c r="T79" s="58"/>
      <c r="U79" s="58"/>
      <c r="V79" s="58"/>
      <c r="W79" s="58"/>
      <c r="X79" s="58"/>
      <c r="Y79" s="58"/>
      <c r="Z79" s="42"/>
      <c r="AA79" s="42"/>
      <c r="AB79" s="42" t="s">
        <v>1258</v>
      </c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</row>
    <row r="80" spans="1:52" ht="20.100000000000001" customHeight="1" x14ac:dyDescent="0.25">
      <c r="A80" s="39">
        <v>80</v>
      </c>
      <c r="B80" s="40" t="s">
        <v>1313</v>
      </c>
      <c r="C80" s="16"/>
      <c r="D80" s="17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56"/>
      <c r="R80" s="56"/>
      <c r="S80" s="56"/>
      <c r="T80" s="58"/>
      <c r="U80" s="58"/>
      <c r="V80" s="58"/>
      <c r="W80" s="58"/>
      <c r="X80" s="58"/>
      <c r="Y80" s="58"/>
      <c r="Z80" s="42"/>
      <c r="AA80" s="42"/>
      <c r="AB80" s="42" t="s">
        <v>1322</v>
      </c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</row>
    <row r="81" spans="1:52" ht="20.100000000000001" customHeight="1" x14ac:dyDescent="0.25">
      <c r="A81" s="39">
        <v>81</v>
      </c>
      <c r="B81" s="40" t="s">
        <v>1314</v>
      </c>
      <c r="C81" s="16"/>
      <c r="D81" s="17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56"/>
      <c r="R81" s="56"/>
      <c r="S81" s="56"/>
      <c r="T81" s="58"/>
      <c r="U81" s="58"/>
      <c r="V81" s="58"/>
      <c r="W81" s="58"/>
      <c r="X81" s="58"/>
      <c r="Y81" s="58"/>
      <c r="Z81" s="42"/>
      <c r="AA81" s="42"/>
      <c r="AB81" s="42" t="s">
        <v>1260</v>
      </c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</row>
    <row r="82" spans="1:52" ht="20.100000000000001" customHeight="1" x14ac:dyDescent="0.25">
      <c r="A82" s="39">
        <v>82</v>
      </c>
      <c r="B82" s="40" t="s">
        <v>1315</v>
      </c>
      <c r="C82" s="16"/>
      <c r="D82" s="17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56"/>
      <c r="R82" s="56"/>
      <c r="S82" s="56"/>
      <c r="T82" s="58"/>
      <c r="U82" s="58"/>
      <c r="V82" s="58"/>
      <c r="W82" s="58"/>
      <c r="X82" s="58"/>
      <c r="Y82" s="58"/>
      <c r="Z82" s="42"/>
      <c r="AA82" s="42"/>
      <c r="AB82" s="42"/>
      <c r="AC82" s="42"/>
      <c r="AD82" s="42" t="s">
        <v>1323</v>
      </c>
      <c r="AE82" s="42"/>
      <c r="AF82" s="42"/>
      <c r="AG82" s="42" t="s">
        <v>1323</v>
      </c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</row>
    <row r="83" spans="1:52" ht="20.100000000000001" customHeight="1" x14ac:dyDescent="0.25">
      <c r="A83" s="39">
        <v>83</v>
      </c>
      <c r="B83" s="40" t="s">
        <v>1324</v>
      </c>
      <c r="C83" s="16"/>
      <c r="D83" s="17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56"/>
      <c r="R83" s="56"/>
      <c r="S83" s="56"/>
      <c r="T83" s="58"/>
      <c r="U83" s="58"/>
      <c r="V83" s="58"/>
      <c r="W83" s="58"/>
      <c r="X83" s="58"/>
      <c r="Y83" s="58"/>
      <c r="Z83" s="42"/>
      <c r="AA83" s="42"/>
      <c r="AB83" s="42"/>
      <c r="AC83" s="42"/>
      <c r="AD83" s="42" t="s">
        <v>1328</v>
      </c>
      <c r="AE83" s="42"/>
      <c r="AF83" s="42"/>
      <c r="AG83" s="42" t="s">
        <v>1328</v>
      </c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</row>
    <row r="84" spans="1:52" ht="20.100000000000001" customHeight="1" x14ac:dyDescent="0.25">
      <c r="A84" s="39">
        <v>84</v>
      </c>
      <c r="B84" s="40" t="s">
        <v>1325</v>
      </c>
      <c r="C84" s="16"/>
      <c r="D84" s="17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56"/>
      <c r="R84" s="56"/>
      <c r="S84" s="56"/>
      <c r="T84" s="58"/>
      <c r="U84" s="58"/>
      <c r="V84" s="58"/>
      <c r="W84" s="58"/>
      <c r="X84" s="58"/>
      <c r="Y84" s="58"/>
      <c r="Z84" s="42"/>
      <c r="AA84" s="42"/>
      <c r="AB84" s="42"/>
      <c r="AC84" s="42"/>
      <c r="AD84" s="42" t="s">
        <v>1329</v>
      </c>
      <c r="AE84" s="42"/>
      <c r="AF84" s="42"/>
      <c r="AG84" s="42" t="s">
        <v>1330</v>
      </c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</row>
    <row r="85" spans="1:52" ht="20.100000000000001" customHeight="1" x14ac:dyDescent="0.25">
      <c r="A85" s="39">
        <v>85</v>
      </c>
      <c r="B85" s="40" t="s">
        <v>1326</v>
      </c>
      <c r="C85" s="16"/>
      <c r="D85" s="17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56"/>
      <c r="R85" s="56"/>
      <c r="S85" s="56"/>
      <c r="T85" s="58"/>
      <c r="U85" s="58"/>
      <c r="V85" s="58"/>
      <c r="W85" s="58"/>
      <c r="X85" s="58"/>
      <c r="Y85" s="58"/>
      <c r="Z85" s="42"/>
      <c r="AA85" s="42"/>
      <c r="AB85" s="42"/>
      <c r="AC85" s="42"/>
      <c r="AD85" s="42" t="s">
        <v>1329</v>
      </c>
      <c r="AE85" s="42"/>
      <c r="AF85" s="42"/>
      <c r="AG85" s="42" t="s">
        <v>1330</v>
      </c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</row>
    <row r="86" spans="1:52" ht="20.100000000000001" customHeight="1" x14ac:dyDescent="0.25">
      <c r="A86" s="39">
        <v>86</v>
      </c>
      <c r="B86" s="40" t="s">
        <v>266</v>
      </c>
      <c r="C86" s="16"/>
      <c r="D86" s="17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56"/>
      <c r="R86" s="56"/>
      <c r="S86" s="56"/>
      <c r="T86" s="58"/>
      <c r="U86" s="58"/>
      <c r="V86" s="58"/>
      <c r="W86" s="58"/>
      <c r="X86" s="58"/>
      <c r="Y86" s="58"/>
      <c r="Z86" s="42"/>
      <c r="AA86" s="42"/>
      <c r="AB86" s="42"/>
      <c r="AC86" s="42"/>
      <c r="AD86" s="42" t="s">
        <v>1329</v>
      </c>
      <c r="AE86" s="42"/>
      <c r="AF86" s="42"/>
      <c r="AG86" s="42" t="s">
        <v>1330</v>
      </c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</row>
    <row r="87" spans="1:52" ht="20.100000000000001" customHeight="1" x14ac:dyDescent="0.25">
      <c r="A87" s="39">
        <v>87</v>
      </c>
      <c r="B87" s="40" t="s">
        <v>1327</v>
      </c>
      <c r="C87" s="16"/>
      <c r="D87" s="17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56"/>
      <c r="R87" s="56"/>
      <c r="S87" s="56"/>
      <c r="T87" s="58"/>
      <c r="U87" s="58"/>
      <c r="V87" s="58"/>
      <c r="W87" s="58"/>
      <c r="X87" s="58"/>
      <c r="Y87" s="58"/>
      <c r="Z87" s="42"/>
      <c r="AA87" s="42" t="s">
        <v>1331</v>
      </c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</row>
    <row r="88" spans="1:52" ht="20.100000000000001" customHeight="1" x14ac:dyDescent="0.25">
      <c r="A88" s="39">
        <v>88</v>
      </c>
      <c r="B88" s="40" t="s">
        <v>246</v>
      </c>
      <c r="C88" s="16"/>
      <c r="D88" s="17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56"/>
      <c r="R88" s="56"/>
      <c r="S88" s="56"/>
      <c r="T88" s="58"/>
      <c r="U88" s="58"/>
      <c r="V88" s="58"/>
      <c r="W88" s="58"/>
      <c r="X88" s="58"/>
      <c r="Y88" s="58"/>
      <c r="Z88" s="42"/>
      <c r="AA88" s="42" t="s">
        <v>1332</v>
      </c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</row>
    <row r="89" spans="1:52" ht="20.100000000000001" customHeight="1" x14ac:dyDescent="0.25">
      <c r="A89" s="39">
        <v>89</v>
      </c>
      <c r="B89" s="40" t="s">
        <v>260</v>
      </c>
      <c r="C89" s="16"/>
      <c r="D89" s="17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56"/>
      <c r="R89" s="56"/>
      <c r="S89" s="56"/>
      <c r="T89" s="58"/>
      <c r="U89" s="58"/>
      <c r="V89" s="58"/>
      <c r="W89" s="58"/>
      <c r="X89" s="58"/>
      <c r="Y89" s="58"/>
      <c r="Z89" s="42"/>
      <c r="AA89" s="42" t="s">
        <v>1333</v>
      </c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</row>
    <row r="90" spans="1:52" ht="20.100000000000001" customHeight="1" x14ac:dyDescent="0.25">
      <c r="A90" s="39">
        <v>90</v>
      </c>
      <c r="B90" s="40" t="s">
        <v>250</v>
      </c>
      <c r="C90" s="16"/>
      <c r="D90" s="17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56"/>
      <c r="R90" s="56"/>
      <c r="S90" s="56"/>
      <c r="T90" s="58"/>
      <c r="U90" s="58"/>
      <c r="V90" s="58"/>
      <c r="W90" s="58"/>
      <c r="X90" s="58"/>
      <c r="Y90" s="58"/>
      <c r="Z90" s="42"/>
      <c r="AA90" s="42" t="s">
        <v>1333</v>
      </c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</row>
    <row r="91" spans="1:52" ht="20.100000000000001" customHeight="1" x14ac:dyDescent="0.25">
      <c r="A91" s="39">
        <v>91</v>
      </c>
      <c r="B91" s="40" t="s">
        <v>534</v>
      </c>
      <c r="C91" s="16"/>
      <c r="D91" s="17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56"/>
      <c r="R91" s="56"/>
      <c r="S91" s="56"/>
      <c r="T91" s="58"/>
      <c r="U91" s="58"/>
      <c r="V91" s="58"/>
      <c r="W91" s="58"/>
      <c r="X91" s="58"/>
      <c r="Y91" s="58"/>
      <c r="Z91" s="42"/>
      <c r="AA91" s="42" t="s">
        <v>1333</v>
      </c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</row>
    <row r="92" spans="1:52" ht="20.100000000000001" customHeight="1" x14ac:dyDescent="0.25">
      <c r="A92" s="39">
        <v>92</v>
      </c>
      <c r="B92" s="40" t="s">
        <v>236</v>
      </c>
      <c r="C92" s="16"/>
      <c r="D92" s="17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56"/>
      <c r="R92" s="56"/>
      <c r="S92" s="56"/>
      <c r="T92" s="58"/>
      <c r="U92" s="58"/>
      <c r="V92" s="58"/>
      <c r="W92" s="58"/>
      <c r="X92" s="58"/>
      <c r="Y92" s="58"/>
      <c r="Z92" s="42"/>
      <c r="AA92" s="42" t="s">
        <v>1333</v>
      </c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</row>
    <row r="93" spans="1:52" ht="20.100000000000001" customHeight="1" x14ac:dyDescent="0.25">
      <c r="A93" s="39">
        <v>93</v>
      </c>
      <c r="B93" s="40" t="s">
        <v>1334</v>
      </c>
      <c r="C93" s="16"/>
      <c r="D93" s="17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56"/>
      <c r="R93" s="56"/>
      <c r="S93" s="56"/>
      <c r="T93" s="58"/>
      <c r="U93" s="58"/>
      <c r="V93" s="58"/>
      <c r="W93" s="58"/>
      <c r="X93" s="58"/>
      <c r="Y93" s="58"/>
      <c r="Z93" s="42"/>
      <c r="AA93" s="42"/>
      <c r="AB93" s="42"/>
      <c r="AC93" s="42"/>
      <c r="AD93" s="42"/>
      <c r="AE93" s="42"/>
      <c r="AF93" s="42"/>
      <c r="AG93" s="42"/>
      <c r="AH93" s="42" t="s">
        <v>1337</v>
      </c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</row>
    <row r="94" spans="1:52" ht="20.100000000000001" customHeight="1" x14ac:dyDescent="0.25">
      <c r="A94" s="39">
        <v>94</v>
      </c>
      <c r="B94" s="40" t="s">
        <v>1335</v>
      </c>
      <c r="C94" s="16"/>
      <c r="D94" s="17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56"/>
      <c r="R94" s="56"/>
      <c r="S94" s="56"/>
      <c r="T94" s="58"/>
      <c r="U94" s="58"/>
      <c r="V94" s="58"/>
      <c r="W94" s="58"/>
      <c r="X94" s="58"/>
      <c r="Y94" s="58"/>
      <c r="Z94" s="42"/>
      <c r="AA94" s="42"/>
      <c r="AB94" s="42"/>
      <c r="AC94" s="42"/>
      <c r="AD94" s="42"/>
      <c r="AE94" s="42"/>
      <c r="AF94" s="42"/>
      <c r="AG94" s="42"/>
      <c r="AH94" s="42"/>
      <c r="AI94" s="42" t="s">
        <v>1338</v>
      </c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</row>
    <row r="95" spans="1:52" ht="20.100000000000001" customHeight="1" x14ac:dyDescent="0.25">
      <c r="A95" s="39">
        <v>95</v>
      </c>
      <c r="B95" s="40" t="s">
        <v>1336</v>
      </c>
      <c r="C95" s="16"/>
      <c r="D95" s="17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56"/>
      <c r="R95" s="56"/>
      <c r="S95" s="56"/>
      <c r="T95" s="58"/>
      <c r="U95" s="58"/>
      <c r="V95" s="58"/>
      <c r="W95" s="58"/>
      <c r="X95" s="58"/>
      <c r="Y95" s="58"/>
      <c r="Z95" s="42"/>
      <c r="AA95" s="42"/>
      <c r="AB95" s="42"/>
      <c r="AC95" s="42"/>
      <c r="AD95" s="42"/>
      <c r="AE95" s="42"/>
      <c r="AF95" s="42"/>
      <c r="AG95" s="42"/>
      <c r="AH95" s="42"/>
      <c r="AI95" s="42" t="s">
        <v>1339</v>
      </c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</row>
    <row r="96" spans="1:52" ht="20.100000000000001" customHeight="1" x14ac:dyDescent="0.25">
      <c r="A96" s="39">
        <v>96</v>
      </c>
      <c r="B96" s="40" t="s">
        <v>1076</v>
      </c>
      <c r="C96" s="16"/>
      <c r="D96" s="17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56"/>
      <c r="R96" s="56"/>
      <c r="S96" s="56"/>
      <c r="T96" s="58"/>
      <c r="U96" s="58"/>
      <c r="V96" s="58"/>
      <c r="W96" s="58"/>
      <c r="X96" s="58"/>
      <c r="Y96" s="58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 t="s">
        <v>1388</v>
      </c>
      <c r="AK96" s="42" t="s">
        <v>1388</v>
      </c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</row>
    <row r="97" spans="1:52" ht="20.100000000000001" customHeight="1" x14ac:dyDescent="0.25">
      <c r="A97" s="39">
        <v>97</v>
      </c>
      <c r="B97" s="40" t="s">
        <v>1340</v>
      </c>
      <c r="C97" s="16"/>
      <c r="D97" s="17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56"/>
      <c r="R97" s="56"/>
      <c r="S97" s="56"/>
      <c r="T97" s="58"/>
      <c r="U97" s="58"/>
      <c r="V97" s="58"/>
      <c r="W97" s="58"/>
      <c r="X97" s="58"/>
      <c r="Y97" s="58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 t="s">
        <v>1389</v>
      </c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</row>
    <row r="98" spans="1:52" ht="20.100000000000001" customHeight="1" x14ac:dyDescent="0.25">
      <c r="A98" s="39">
        <v>98</v>
      </c>
      <c r="B98" s="40" t="s">
        <v>1341</v>
      </c>
      <c r="C98" s="16"/>
      <c r="D98" s="17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56"/>
      <c r="R98" s="56"/>
      <c r="S98" s="56"/>
      <c r="T98" s="58"/>
      <c r="U98" s="58"/>
      <c r="V98" s="58"/>
      <c r="W98" s="58"/>
      <c r="X98" s="58"/>
      <c r="Y98" s="58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 t="s">
        <v>1391</v>
      </c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</row>
    <row r="99" spans="1:52" ht="20.100000000000001" customHeight="1" x14ac:dyDescent="0.25">
      <c r="A99" s="39">
        <v>99</v>
      </c>
      <c r="B99" s="40" t="s">
        <v>1342</v>
      </c>
      <c r="C99" s="16"/>
      <c r="D99" s="17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56"/>
      <c r="R99" s="56"/>
      <c r="S99" s="56"/>
      <c r="T99" s="58"/>
      <c r="U99" s="58"/>
      <c r="V99" s="58"/>
      <c r="W99" s="58"/>
      <c r="X99" s="58"/>
      <c r="Y99" s="58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 t="s">
        <v>1392</v>
      </c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</row>
    <row r="100" spans="1:52" ht="20.100000000000001" customHeight="1" x14ac:dyDescent="0.25">
      <c r="A100" s="39">
        <v>100</v>
      </c>
      <c r="B100" s="40" t="s">
        <v>1343</v>
      </c>
      <c r="C100" s="16"/>
      <c r="D100" s="17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56"/>
      <c r="R100" s="56"/>
      <c r="S100" s="56"/>
      <c r="T100" s="58"/>
      <c r="U100" s="58"/>
      <c r="V100" s="58"/>
      <c r="W100" s="58"/>
      <c r="X100" s="58"/>
      <c r="Y100" s="58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 t="s">
        <v>1393</v>
      </c>
      <c r="AK100" s="42" t="s">
        <v>1393</v>
      </c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</row>
    <row r="101" spans="1:52" ht="20.100000000000001" customHeight="1" x14ac:dyDescent="0.25">
      <c r="A101" s="39">
        <v>101</v>
      </c>
      <c r="B101" s="40" t="s">
        <v>1344</v>
      </c>
      <c r="C101" s="16"/>
      <c r="D101" s="17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56"/>
      <c r="R101" s="56"/>
      <c r="S101" s="56"/>
      <c r="T101" s="58"/>
      <c r="U101" s="58"/>
      <c r="V101" s="58"/>
      <c r="W101" s="58"/>
      <c r="X101" s="58"/>
      <c r="Y101" s="58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 t="s">
        <v>1394</v>
      </c>
      <c r="AK101" s="42" t="s">
        <v>1395</v>
      </c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</row>
    <row r="102" spans="1:52" ht="20.100000000000001" customHeight="1" x14ac:dyDescent="0.25">
      <c r="A102" s="39">
        <v>102</v>
      </c>
      <c r="B102" s="40" t="s">
        <v>1345</v>
      </c>
      <c r="C102" s="16"/>
      <c r="D102" s="17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56"/>
      <c r="R102" s="56"/>
      <c r="S102" s="56"/>
      <c r="T102" s="58"/>
      <c r="U102" s="58"/>
      <c r="V102" s="58"/>
      <c r="W102" s="58"/>
      <c r="X102" s="58"/>
      <c r="Y102" s="58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 t="s">
        <v>1396</v>
      </c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</row>
    <row r="103" spans="1:52" ht="20.100000000000001" customHeight="1" x14ac:dyDescent="0.25">
      <c r="A103" s="39">
        <v>103</v>
      </c>
      <c r="B103" s="40" t="s">
        <v>1346</v>
      </c>
      <c r="C103" s="16"/>
      <c r="D103" s="17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56"/>
      <c r="R103" s="56"/>
      <c r="S103" s="56"/>
      <c r="T103" s="58"/>
      <c r="U103" s="58"/>
      <c r="V103" s="58"/>
      <c r="W103" s="58"/>
      <c r="X103" s="58"/>
      <c r="Y103" s="58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</row>
    <row r="104" spans="1:52" ht="20.100000000000001" customHeight="1" x14ac:dyDescent="0.25">
      <c r="A104" s="39">
        <v>104</v>
      </c>
      <c r="B104" s="40" t="s">
        <v>1347</v>
      </c>
      <c r="C104" s="16"/>
      <c r="D104" s="17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56"/>
      <c r="R104" s="56"/>
      <c r="S104" s="56"/>
      <c r="T104" s="58"/>
      <c r="U104" s="58"/>
      <c r="V104" s="58"/>
      <c r="W104" s="58"/>
      <c r="X104" s="58"/>
      <c r="Y104" s="58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 t="s">
        <v>1397</v>
      </c>
      <c r="AK104" s="42" t="s">
        <v>1398</v>
      </c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</row>
    <row r="105" spans="1:52" ht="20.100000000000001" customHeight="1" x14ac:dyDescent="0.25">
      <c r="A105" s="39">
        <v>105</v>
      </c>
      <c r="B105" s="40" t="s">
        <v>1348</v>
      </c>
      <c r="C105" s="16"/>
      <c r="D105" s="17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56"/>
      <c r="R105" s="56"/>
      <c r="S105" s="56"/>
      <c r="T105" s="58"/>
      <c r="U105" s="58"/>
      <c r="V105" s="58"/>
      <c r="W105" s="58"/>
      <c r="X105" s="58"/>
      <c r="Y105" s="58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 t="s">
        <v>1399</v>
      </c>
      <c r="AK105" s="42" t="s">
        <v>1294</v>
      </c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</row>
    <row r="106" spans="1:52" ht="20.100000000000001" customHeight="1" x14ac:dyDescent="0.25">
      <c r="A106" s="39">
        <v>106</v>
      </c>
      <c r="B106" s="40" t="s">
        <v>1349</v>
      </c>
      <c r="C106" s="16"/>
      <c r="D106" s="17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56"/>
      <c r="R106" s="56"/>
      <c r="S106" s="56"/>
      <c r="T106" s="58"/>
      <c r="U106" s="58"/>
      <c r="V106" s="58"/>
      <c r="W106" s="58"/>
      <c r="X106" s="58"/>
      <c r="Y106" s="58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 t="s">
        <v>1400</v>
      </c>
      <c r="AK106" s="42" t="s">
        <v>1401</v>
      </c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</row>
    <row r="107" spans="1:52" ht="20.100000000000001" customHeight="1" x14ac:dyDescent="0.25">
      <c r="A107" s="39">
        <v>107</v>
      </c>
      <c r="B107" s="40" t="s">
        <v>1350</v>
      </c>
      <c r="C107" s="16"/>
      <c r="D107" s="17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56"/>
      <c r="R107" s="56"/>
      <c r="S107" s="56"/>
      <c r="T107" s="58"/>
      <c r="U107" s="58"/>
      <c r="V107" s="58"/>
      <c r="W107" s="58"/>
      <c r="X107" s="58"/>
      <c r="Y107" s="58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</row>
    <row r="108" spans="1:52" ht="20.100000000000001" customHeight="1" x14ac:dyDescent="0.25">
      <c r="A108" s="39">
        <v>108</v>
      </c>
      <c r="B108" s="40" t="s">
        <v>1351</v>
      </c>
      <c r="C108" s="16"/>
      <c r="D108" s="17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56"/>
      <c r="R108" s="56"/>
      <c r="S108" s="56"/>
      <c r="T108" s="58"/>
      <c r="U108" s="58"/>
      <c r="V108" s="58"/>
      <c r="W108" s="58"/>
      <c r="X108" s="58"/>
      <c r="Y108" s="58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 t="s">
        <v>1402</v>
      </c>
      <c r="AK108" s="42" t="s">
        <v>1403</v>
      </c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</row>
    <row r="109" spans="1:52" ht="20.100000000000001" customHeight="1" x14ac:dyDescent="0.25">
      <c r="A109" s="39">
        <v>109</v>
      </c>
      <c r="B109" s="40" t="s">
        <v>1352</v>
      </c>
      <c r="C109" s="16"/>
      <c r="D109" s="17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56"/>
      <c r="R109" s="56"/>
      <c r="S109" s="56"/>
      <c r="T109" s="58"/>
      <c r="U109" s="58"/>
      <c r="V109" s="58"/>
      <c r="W109" s="58"/>
      <c r="X109" s="58"/>
      <c r="Y109" s="58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 t="s">
        <v>1404</v>
      </c>
      <c r="AK109" s="42" t="s">
        <v>1405</v>
      </c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</row>
    <row r="110" spans="1:52" ht="20.100000000000001" customHeight="1" x14ac:dyDescent="0.25">
      <c r="A110" s="39">
        <v>110</v>
      </c>
      <c r="B110" s="40" t="s">
        <v>1353</v>
      </c>
      <c r="C110" s="16"/>
      <c r="D110" s="17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56"/>
      <c r="R110" s="56"/>
      <c r="S110" s="56"/>
      <c r="T110" s="58"/>
      <c r="U110" s="58"/>
      <c r="V110" s="58"/>
      <c r="W110" s="58"/>
      <c r="X110" s="58"/>
      <c r="Y110" s="58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 t="s">
        <v>1406</v>
      </c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</row>
    <row r="111" spans="1:52" ht="20.100000000000001" customHeight="1" x14ac:dyDescent="0.25">
      <c r="A111" s="39">
        <v>111</v>
      </c>
      <c r="B111" s="40" t="s">
        <v>1354</v>
      </c>
      <c r="C111" s="16"/>
      <c r="D111" s="17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56"/>
      <c r="R111" s="56"/>
      <c r="S111" s="56"/>
      <c r="T111" s="58"/>
      <c r="U111" s="58"/>
      <c r="V111" s="58"/>
      <c r="W111" s="58"/>
      <c r="X111" s="58"/>
      <c r="Y111" s="58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 t="s">
        <v>1407</v>
      </c>
      <c r="AK111" s="42" t="s">
        <v>1408</v>
      </c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</row>
    <row r="112" spans="1:52" ht="20.100000000000001" customHeight="1" x14ac:dyDescent="0.25">
      <c r="A112" s="39">
        <v>112</v>
      </c>
      <c r="B112" s="40" t="s">
        <v>1355</v>
      </c>
      <c r="C112" s="16"/>
      <c r="D112" s="17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56"/>
      <c r="R112" s="56"/>
      <c r="S112" s="56"/>
      <c r="T112" s="58"/>
      <c r="U112" s="58"/>
      <c r="V112" s="58"/>
      <c r="W112" s="58"/>
      <c r="X112" s="58"/>
      <c r="Y112" s="58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 t="s">
        <v>1409</v>
      </c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</row>
    <row r="113" spans="1:52" ht="20.100000000000001" customHeight="1" x14ac:dyDescent="0.25">
      <c r="A113" s="39">
        <v>113</v>
      </c>
      <c r="B113" s="40" t="s">
        <v>1356</v>
      </c>
      <c r="C113" s="16"/>
      <c r="D113" s="17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56"/>
      <c r="R113" s="56"/>
      <c r="S113" s="56"/>
      <c r="T113" s="58"/>
      <c r="U113" s="58"/>
      <c r="V113" s="58"/>
      <c r="W113" s="58"/>
      <c r="X113" s="58"/>
      <c r="Y113" s="58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 t="s">
        <v>1410</v>
      </c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</row>
    <row r="114" spans="1:52" ht="20.100000000000001" customHeight="1" x14ac:dyDescent="0.25">
      <c r="A114" s="39">
        <v>114</v>
      </c>
      <c r="B114" s="40" t="s">
        <v>1357</v>
      </c>
      <c r="C114" s="16"/>
      <c r="D114" s="17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56"/>
      <c r="R114" s="56"/>
      <c r="S114" s="56"/>
      <c r="T114" s="58"/>
      <c r="U114" s="58"/>
      <c r="V114" s="58"/>
      <c r="W114" s="58"/>
      <c r="X114" s="58"/>
      <c r="Y114" s="58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 t="s">
        <v>1411</v>
      </c>
      <c r="AK114" s="42" t="s">
        <v>1412</v>
      </c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</row>
    <row r="115" spans="1:52" ht="20.100000000000001" customHeight="1" x14ac:dyDescent="0.25">
      <c r="A115" s="39">
        <v>115</v>
      </c>
      <c r="B115" s="40" t="s">
        <v>1358</v>
      </c>
      <c r="C115" s="16"/>
      <c r="D115" s="17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56"/>
      <c r="R115" s="56"/>
      <c r="S115" s="56"/>
      <c r="T115" s="58"/>
      <c r="U115" s="58"/>
      <c r="V115" s="58"/>
      <c r="W115" s="58"/>
      <c r="X115" s="58"/>
      <c r="Y115" s="58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 t="s">
        <v>1413</v>
      </c>
      <c r="AK115" s="42" t="s">
        <v>1414</v>
      </c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</row>
    <row r="116" spans="1:52" ht="20.100000000000001" customHeight="1" x14ac:dyDescent="0.25">
      <c r="A116" s="39">
        <v>116</v>
      </c>
      <c r="B116" s="40" t="s">
        <v>1359</v>
      </c>
      <c r="C116" s="16"/>
      <c r="D116" s="17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56"/>
      <c r="R116" s="56"/>
      <c r="S116" s="56"/>
      <c r="T116" s="58"/>
      <c r="U116" s="58"/>
      <c r="V116" s="58"/>
      <c r="W116" s="58"/>
      <c r="X116" s="58"/>
      <c r="Y116" s="58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 t="s">
        <v>1415</v>
      </c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</row>
    <row r="117" spans="1:52" ht="20.100000000000001" customHeight="1" x14ac:dyDescent="0.25">
      <c r="A117" s="39">
        <v>117</v>
      </c>
      <c r="B117" s="40" t="s">
        <v>1360</v>
      </c>
      <c r="C117" s="16"/>
      <c r="D117" s="17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56"/>
      <c r="R117" s="56"/>
      <c r="S117" s="56"/>
      <c r="T117" s="58"/>
      <c r="U117" s="58"/>
      <c r="V117" s="58"/>
      <c r="W117" s="58"/>
      <c r="X117" s="58"/>
      <c r="Y117" s="58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 t="s">
        <v>1416</v>
      </c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</row>
    <row r="118" spans="1:52" ht="20.100000000000001" customHeight="1" x14ac:dyDescent="0.25">
      <c r="A118" s="39">
        <v>118</v>
      </c>
      <c r="B118" s="40" t="s">
        <v>1361</v>
      </c>
      <c r="C118" s="16"/>
      <c r="D118" s="17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56"/>
      <c r="R118" s="56"/>
      <c r="S118" s="56"/>
      <c r="T118" s="58"/>
      <c r="U118" s="58"/>
      <c r="V118" s="58"/>
      <c r="W118" s="58"/>
      <c r="X118" s="58"/>
      <c r="Y118" s="58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 t="s">
        <v>1417</v>
      </c>
      <c r="AK118" s="42" t="s">
        <v>1418</v>
      </c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</row>
    <row r="119" spans="1:52" ht="20.100000000000001" customHeight="1" x14ac:dyDescent="0.25">
      <c r="A119" s="39">
        <v>119</v>
      </c>
      <c r="B119" s="40" t="s">
        <v>1362</v>
      </c>
      <c r="C119" s="16"/>
      <c r="D119" s="17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56"/>
      <c r="R119" s="56"/>
      <c r="S119" s="56"/>
      <c r="T119" s="58"/>
      <c r="U119" s="58"/>
      <c r="V119" s="58"/>
      <c r="W119" s="58"/>
      <c r="X119" s="58"/>
      <c r="Y119" s="58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 t="s">
        <v>1419</v>
      </c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</row>
    <row r="120" spans="1:52" ht="20.100000000000001" customHeight="1" x14ac:dyDescent="0.25">
      <c r="A120" s="39">
        <v>120</v>
      </c>
      <c r="B120" s="40" t="s">
        <v>1363</v>
      </c>
      <c r="C120" s="16"/>
      <c r="D120" s="17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56"/>
      <c r="R120" s="56"/>
      <c r="S120" s="56"/>
      <c r="T120" s="58"/>
      <c r="U120" s="58"/>
      <c r="V120" s="58"/>
      <c r="W120" s="58"/>
      <c r="X120" s="58"/>
      <c r="Y120" s="58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 t="s">
        <v>1420</v>
      </c>
      <c r="AK120" s="42" t="s">
        <v>1421</v>
      </c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</row>
    <row r="121" spans="1:52" ht="20.100000000000001" customHeight="1" x14ac:dyDescent="0.25">
      <c r="A121" s="39">
        <v>121</v>
      </c>
      <c r="B121" s="40" t="s">
        <v>1364</v>
      </c>
      <c r="C121" s="16"/>
      <c r="D121" s="17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56"/>
      <c r="R121" s="56"/>
      <c r="S121" s="56"/>
      <c r="T121" s="58"/>
      <c r="U121" s="58"/>
      <c r="V121" s="58"/>
      <c r="W121" s="58"/>
      <c r="X121" s="58"/>
      <c r="Y121" s="58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 t="s">
        <v>1422</v>
      </c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</row>
    <row r="122" spans="1:52" ht="20.100000000000001" customHeight="1" x14ac:dyDescent="0.25">
      <c r="A122" s="39">
        <v>122</v>
      </c>
      <c r="B122" s="63" t="s">
        <v>1365</v>
      </c>
      <c r="C122" s="16"/>
      <c r="D122" s="17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56"/>
      <c r="R122" s="56"/>
      <c r="S122" s="56"/>
      <c r="T122" s="58"/>
      <c r="U122" s="58"/>
      <c r="V122" s="58"/>
      <c r="W122" s="58"/>
      <c r="X122" s="58"/>
      <c r="Y122" s="58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 t="s">
        <v>1423</v>
      </c>
      <c r="AK122" s="42" t="s">
        <v>1424</v>
      </c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</row>
    <row r="123" spans="1:52" ht="20.100000000000001" customHeight="1" x14ac:dyDescent="0.25">
      <c r="A123" s="39">
        <v>123</v>
      </c>
      <c r="B123" s="63" t="s">
        <v>1366</v>
      </c>
      <c r="C123" s="16"/>
      <c r="D123" s="17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56"/>
      <c r="R123" s="56"/>
      <c r="S123" s="56"/>
      <c r="T123" s="58"/>
      <c r="U123" s="58"/>
      <c r="V123" s="58"/>
      <c r="W123" s="58"/>
      <c r="X123" s="58"/>
      <c r="Y123" s="58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 t="s">
        <v>1425</v>
      </c>
      <c r="AK123" s="42" t="s">
        <v>1426</v>
      </c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</row>
    <row r="124" spans="1:52" ht="20.100000000000001" customHeight="1" x14ac:dyDescent="0.25">
      <c r="A124" s="39">
        <v>124</v>
      </c>
      <c r="B124" s="40" t="s">
        <v>1367</v>
      </c>
      <c r="C124" s="16"/>
      <c r="D124" s="17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56"/>
      <c r="R124" s="56"/>
      <c r="S124" s="56"/>
      <c r="T124" s="58"/>
      <c r="U124" s="58"/>
      <c r="V124" s="58"/>
      <c r="W124" s="58"/>
      <c r="X124" s="58"/>
      <c r="Y124" s="58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 t="s">
        <v>1427</v>
      </c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</row>
    <row r="125" spans="1:52" ht="20.100000000000001" customHeight="1" x14ac:dyDescent="0.25">
      <c r="A125" s="39">
        <v>125</v>
      </c>
      <c r="B125" s="63" t="s">
        <v>1368</v>
      </c>
      <c r="C125" s="16"/>
      <c r="D125" s="17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56"/>
      <c r="R125" s="56"/>
      <c r="S125" s="56"/>
      <c r="T125" s="58"/>
      <c r="U125" s="58"/>
      <c r="V125" s="58"/>
      <c r="W125" s="58"/>
      <c r="X125" s="58"/>
      <c r="Y125" s="58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 t="s">
        <v>1428</v>
      </c>
      <c r="AK125" s="42" t="s">
        <v>1429</v>
      </c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</row>
    <row r="126" spans="1:52" ht="20.100000000000001" customHeight="1" x14ac:dyDescent="0.25">
      <c r="A126" s="39">
        <v>126</v>
      </c>
      <c r="B126" s="40" t="s">
        <v>1369</v>
      </c>
      <c r="C126" s="16"/>
      <c r="D126" s="17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56"/>
      <c r="R126" s="56"/>
      <c r="S126" s="56"/>
      <c r="T126" s="58"/>
      <c r="U126" s="58"/>
      <c r="V126" s="58"/>
      <c r="W126" s="58"/>
      <c r="X126" s="58"/>
      <c r="Y126" s="58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 t="s">
        <v>1074</v>
      </c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</row>
    <row r="127" spans="1:52" ht="20.100000000000001" customHeight="1" x14ac:dyDescent="0.25">
      <c r="A127" s="39">
        <v>127</v>
      </c>
      <c r="B127" s="63" t="s">
        <v>1370</v>
      </c>
      <c r="C127" s="16"/>
      <c r="D127" s="17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56"/>
      <c r="R127" s="56"/>
      <c r="S127" s="56"/>
      <c r="T127" s="58"/>
      <c r="U127" s="58"/>
      <c r="V127" s="58"/>
      <c r="W127" s="58"/>
      <c r="X127" s="58"/>
      <c r="Y127" s="58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 t="s">
        <v>1430</v>
      </c>
      <c r="AK127" s="42" t="s">
        <v>1431</v>
      </c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</row>
    <row r="128" spans="1:52" ht="20.100000000000001" customHeight="1" x14ac:dyDescent="0.25">
      <c r="A128" s="39">
        <v>128</v>
      </c>
      <c r="B128" s="63" t="s">
        <v>1371</v>
      </c>
      <c r="C128" s="16"/>
      <c r="D128" s="17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56"/>
      <c r="R128" s="56"/>
      <c r="S128" s="56"/>
      <c r="T128" s="58"/>
      <c r="U128" s="58"/>
      <c r="V128" s="58"/>
      <c r="W128" s="58"/>
      <c r="X128" s="58"/>
      <c r="Y128" s="58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 t="s">
        <v>1432</v>
      </c>
      <c r="AK128" s="42" t="s">
        <v>1433</v>
      </c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</row>
    <row r="129" spans="1:52" ht="20.100000000000001" customHeight="1" x14ac:dyDescent="0.25">
      <c r="A129" s="39">
        <v>129</v>
      </c>
      <c r="B129" s="40" t="s">
        <v>1372</v>
      </c>
      <c r="C129" s="16"/>
      <c r="D129" s="17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56"/>
      <c r="R129" s="56"/>
      <c r="S129" s="56"/>
      <c r="T129" s="58"/>
      <c r="U129" s="58"/>
      <c r="V129" s="58"/>
      <c r="W129" s="58"/>
      <c r="X129" s="58"/>
      <c r="Y129" s="58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 t="s">
        <v>1434</v>
      </c>
      <c r="AK129" s="42" t="s">
        <v>1435</v>
      </c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</row>
    <row r="130" spans="1:52" ht="20.100000000000001" customHeight="1" x14ac:dyDescent="0.25">
      <c r="A130" s="39">
        <v>130</v>
      </c>
      <c r="B130" s="40" t="s">
        <v>1373</v>
      </c>
      <c r="C130" s="16"/>
      <c r="D130" s="17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56"/>
      <c r="R130" s="56"/>
      <c r="S130" s="56"/>
      <c r="T130" s="58"/>
      <c r="U130" s="58"/>
      <c r="V130" s="58"/>
      <c r="W130" s="58"/>
      <c r="X130" s="58"/>
      <c r="Y130" s="58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 t="s">
        <v>1436</v>
      </c>
      <c r="AK130" s="42" t="s">
        <v>1436</v>
      </c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</row>
    <row r="131" spans="1:52" ht="20.100000000000001" customHeight="1" x14ac:dyDescent="0.25">
      <c r="A131" s="39">
        <v>131</v>
      </c>
      <c r="B131" s="40" t="s">
        <v>1374</v>
      </c>
      <c r="C131" s="16"/>
      <c r="D131" s="17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56"/>
      <c r="R131" s="56"/>
      <c r="S131" s="56"/>
      <c r="T131" s="58"/>
      <c r="U131" s="58"/>
      <c r="V131" s="58"/>
      <c r="W131" s="58"/>
      <c r="X131" s="58"/>
      <c r="Y131" s="58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 t="s">
        <v>1437</v>
      </c>
      <c r="AK131" s="42" t="s">
        <v>1438</v>
      </c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</row>
    <row r="132" spans="1:52" ht="20.100000000000001" customHeight="1" x14ac:dyDescent="0.25">
      <c r="A132" s="39">
        <v>132</v>
      </c>
      <c r="B132" s="40" t="s">
        <v>1375</v>
      </c>
      <c r="C132" s="16"/>
      <c r="D132" s="17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56"/>
      <c r="R132" s="56"/>
      <c r="S132" s="56"/>
      <c r="T132" s="58"/>
      <c r="U132" s="58"/>
      <c r="V132" s="58"/>
      <c r="W132" s="58"/>
      <c r="X132" s="58"/>
      <c r="Y132" s="58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 t="s">
        <v>1439</v>
      </c>
      <c r="AK132" s="42" t="s">
        <v>1440</v>
      </c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</row>
    <row r="133" spans="1:52" ht="20.100000000000001" customHeight="1" x14ac:dyDescent="0.25">
      <c r="A133" s="39">
        <v>133</v>
      </c>
      <c r="B133" s="40" t="s">
        <v>1376</v>
      </c>
      <c r="C133" s="16"/>
      <c r="D133" s="17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56"/>
      <c r="R133" s="56"/>
      <c r="S133" s="56"/>
      <c r="T133" s="58"/>
      <c r="U133" s="58"/>
      <c r="V133" s="58"/>
      <c r="W133" s="58"/>
      <c r="X133" s="58"/>
      <c r="Y133" s="58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 t="s">
        <v>1441</v>
      </c>
      <c r="AK133" s="42" t="s">
        <v>1442</v>
      </c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</row>
    <row r="134" spans="1:52" ht="20.100000000000001" customHeight="1" x14ac:dyDescent="0.25">
      <c r="A134" s="39">
        <v>134</v>
      </c>
      <c r="B134" s="40" t="s">
        <v>1377</v>
      </c>
      <c r="C134" s="16"/>
      <c r="D134" s="17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56"/>
      <c r="R134" s="56"/>
      <c r="S134" s="56"/>
      <c r="T134" s="58"/>
      <c r="U134" s="58"/>
      <c r="V134" s="58"/>
      <c r="W134" s="58"/>
      <c r="X134" s="58"/>
      <c r="Y134" s="58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 t="s">
        <v>1443</v>
      </c>
      <c r="AK134" s="42" t="s">
        <v>1444</v>
      </c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</row>
    <row r="135" spans="1:52" ht="20.100000000000001" customHeight="1" x14ac:dyDescent="0.25">
      <c r="A135" s="39">
        <v>135</v>
      </c>
      <c r="B135" s="40" t="s">
        <v>1378</v>
      </c>
      <c r="C135" s="16"/>
      <c r="D135" s="17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56"/>
      <c r="R135" s="56"/>
      <c r="S135" s="56"/>
      <c r="T135" s="58"/>
      <c r="U135" s="58"/>
      <c r="V135" s="58"/>
      <c r="W135" s="58"/>
      <c r="X135" s="58"/>
      <c r="Y135" s="58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 t="s">
        <v>1445</v>
      </c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</row>
    <row r="136" spans="1:52" ht="20.100000000000001" customHeight="1" x14ac:dyDescent="0.25">
      <c r="A136" s="39">
        <v>136</v>
      </c>
      <c r="B136" s="40" t="s">
        <v>1379</v>
      </c>
      <c r="C136" s="16"/>
      <c r="D136" s="17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56"/>
      <c r="R136" s="56"/>
      <c r="S136" s="56"/>
      <c r="T136" s="58"/>
      <c r="U136" s="58"/>
      <c r="V136" s="58"/>
      <c r="W136" s="58"/>
      <c r="X136" s="58"/>
      <c r="Y136" s="58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 t="s">
        <v>1446</v>
      </c>
      <c r="AK136" s="42" t="s">
        <v>1447</v>
      </c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</row>
    <row r="137" spans="1:52" ht="20.100000000000001" customHeight="1" x14ac:dyDescent="0.25">
      <c r="A137" s="39">
        <v>137</v>
      </c>
      <c r="B137" s="40" t="s">
        <v>1380</v>
      </c>
      <c r="C137" s="16"/>
      <c r="D137" s="17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56"/>
      <c r="R137" s="56"/>
      <c r="S137" s="56"/>
      <c r="T137" s="58"/>
      <c r="U137" s="58"/>
      <c r="V137" s="58"/>
      <c r="W137" s="58"/>
      <c r="X137" s="58"/>
      <c r="Y137" s="58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 t="s">
        <v>1448</v>
      </c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</row>
    <row r="138" spans="1:52" ht="20.100000000000001" customHeight="1" x14ac:dyDescent="0.25">
      <c r="A138" s="39">
        <v>138</v>
      </c>
      <c r="B138" s="40" t="s">
        <v>1381</v>
      </c>
      <c r="C138" s="16"/>
      <c r="D138" s="17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56"/>
      <c r="R138" s="56"/>
      <c r="S138" s="56"/>
      <c r="T138" s="58"/>
      <c r="U138" s="58"/>
      <c r="V138" s="58"/>
      <c r="W138" s="58"/>
      <c r="X138" s="58"/>
      <c r="Y138" s="58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 t="s">
        <v>1449</v>
      </c>
      <c r="AK138" s="42" t="s">
        <v>1450</v>
      </c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</row>
    <row r="139" spans="1:52" ht="20.100000000000001" customHeight="1" x14ac:dyDescent="0.25">
      <c r="A139" s="39">
        <v>139</v>
      </c>
      <c r="B139" s="40" t="s">
        <v>1382</v>
      </c>
      <c r="C139" s="16"/>
      <c r="D139" s="17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56"/>
      <c r="R139" s="56"/>
      <c r="S139" s="56"/>
      <c r="T139" s="58"/>
      <c r="U139" s="58"/>
      <c r="V139" s="58"/>
      <c r="W139" s="58"/>
      <c r="X139" s="58"/>
      <c r="Y139" s="58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 t="s">
        <v>1451</v>
      </c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</row>
    <row r="140" spans="1:52" ht="20.100000000000001" customHeight="1" x14ac:dyDescent="0.25">
      <c r="A140" s="39">
        <v>140</v>
      </c>
      <c r="B140" s="40" t="s">
        <v>1383</v>
      </c>
      <c r="C140" s="16"/>
      <c r="D140" s="17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56"/>
      <c r="R140" s="56"/>
      <c r="S140" s="56"/>
      <c r="T140" s="58"/>
      <c r="U140" s="58"/>
      <c r="V140" s="58"/>
      <c r="W140" s="58"/>
      <c r="X140" s="58"/>
      <c r="Y140" s="58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 t="s">
        <v>1451</v>
      </c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</row>
    <row r="141" spans="1:52" ht="20.100000000000001" customHeight="1" x14ac:dyDescent="0.25">
      <c r="A141" s="39">
        <v>141</v>
      </c>
      <c r="B141" s="40" t="s">
        <v>1384</v>
      </c>
      <c r="C141" s="16"/>
      <c r="D141" s="17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56"/>
      <c r="R141" s="56"/>
      <c r="S141" s="56"/>
      <c r="T141" s="58"/>
      <c r="U141" s="58"/>
      <c r="V141" s="58"/>
      <c r="W141" s="58"/>
      <c r="X141" s="58"/>
      <c r="Y141" s="58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>
        <v>575</v>
      </c>
      <c r="AK141" s="42">
        <v>576</v>
      </c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</row>
    <row r="142" spans="1:52" ht="20.100000000000001" customHeight="1" x14ac:dyDescent="0.25">
      <c r="A142" s="39">
        <v>142</v>
      </c>
      <c r="B142" s="40" t="s">
        <v>255</v>
      </c>
      <c r="C142" s="16"/>
      <c r="D142" s="17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56"/>
      <c r="R142" s="56"/>
      <c r="S142" s="56"/>
      <c r="T142" s="58"/>
      <c r="U142" s="58"/>
      <c r="V142" s="58"/>
      <c r="W142" s="58"/>
      <c r="X142" s="58"/>
      <c r="Y142" s="58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>
        <v>575</v>
      </c>
      <c r="AK142" s="42">
        <v>576</v>
      </c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</row>
    <row r="143" spans="1:52" ht="20.100000000000001" customHeight="1" x14ac:dyDescent="0.25">
      <c r="A143" s="39">
        <v>143</v>
      </c>
      <c r="B143" s="40" t="s">
        <v>1385</v>
      </c>
      <c r="C143" s="16"/>
      <c r="D143" s="17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56"/>
      <c r="R143" s="56"/>
      <c r="S143" s="56"/>
      <c r="T143" s="58"/>
      <c r="U143" s="58"/>
      <c r="V143" s="58"/>
      <c r="W143" s="58"/>
      <c r="X143" s="58"/>
      <c r="Y143" s="58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>
        <v>575</v>
      </c>
      <c r="AK143" s="42">
        <v>576</v>
      </c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</row>
    <row r="144" spans="1:52" ht="20.100000000000001" customHeight="1" x14ac:dyDescent="0.25">
      <c r="A144" s="39">
        <v>144</v>
      </c>
      <c r="B144" s="40" t="s">
        <v>1386</v>
      </c>
      <c r="C144" s="16"/>
      <c r="D144" s="17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56"/>
      <c r="R144" s="56"/>
      <c r="S144" s="56"/>
      <c r="T144" s="58"/>
      <c r="U144" s="58"/>
      <c r="V144" s="58"/>
      <c r="W144" s="58"/>
      <c r="X144" s="58"/>
      <c r="Y144" s="58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>
        <v>575</v>
      </c>
      <c r="AK144" s="42">
        <v>576</v>
      </c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</row>
    <row r="145" spans="1:52" ht="20.100000000000001" customHeight="1" x14ac:dyDescent="0.25">
      <c r="A145" s="39">
        <v>145</v>
      </c>
      <c r="B145" s="40" t="s">
        <v>1387</v>
      </c>
      <c r="C145" s="16"/>
      <c r="D145" s="17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56"/>
      <c r="R145" s="56"/>
      <c r="S145" s="56"/>
      <c r="T145" s="58"/>
      <c r="U145" s="58"/>
      <c r="V145" s="58"/>
      <c r="W145" s="58"/>
      <c r="X145" s="58"/>
      <c r="Y145" s="58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>
        <v>575</v>
      </c>
      <c r="AK145" s="42">
        <v>576</v>
      </c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</row>
    <row r="146" spans="1:52" ht="20.100000000000001" customHeight="1" x14ac:dyDescent="0.25">
      <c r="A146" s="39">
        <v>146</v>
      </c>
      <c r="B146" s="40" t="s">
        <v>1452</v>
      </c>
      <c r="C146" s="16"/>
      <c r="D146" s="17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56"/>
      <c r="R146" s="56"/>
      <c r="S146" s="56"/>
      <c r="T146" s="58"/>
      <c r="U146" s="58"/>
      <c r="V146" s="58"/>
      <c r="W146" s="58"/>
      <c r="X146" s="58"/>
      <c r="Y146" s="58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 t="s">
        <v>1461</v>
      </c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</row>
    <row r="147" spans="1:52" ht="20.100000000000001" customHeight="1" x14ac:dyDescent="0.25">
      <c r="A147" s="39">
        <v>147</v>
      </c>
      <c r="B147" s="40" t="s">
        <v>1453</v>
      </c>
      <c r="C147" s="16"/>
      <c r="D147" s="17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56"/>
      <c r="R147" s="56"/>
      <c r="S147" s="56"/>
      <c r="T147" s="58"/>
      <c r="U147" s="58"/>
      <c r="V147" s="58"/>
      <c r="W147" s="58"/>
      <c r="X147" s="58"/>
      <c r="Y147" s="58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 t="s">
        <v>1462</v>
      </c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</row>
    <row r="148" spans="1:52" ht="20.100000000000001" customHeight="1" x14ac:dyDescent="0.25">
      <c r="A148" s="39">
        <v>148</v>
      </c>
      <c r="B148" s="40" t="s">
        <v>1454</v>
      </c>
      <c r="C148" s="16"/>
      <c r="D148" s="17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56"/>
      <c r="R148" s="56"/>
      <c r="S148" s="56"/>
      <c r="T148" s="58"/>
      <c r="U148" s="58"/>
      <c r="V148" s="58"/>
      <c r="W148" s="58"/>
      <c r="X148" s="58"/>
      <c r="Y148" s="58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 t="s">
        <v>1463</v>
      </c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</row>
    <row r="149" spans="1:52" ht="20.100000000000001" customHeight="1" x14ac:dyDescent="0.25">
      <c r="A149" s="39">
        <v>149</v>
      </c>
      <c r="B149" s="40" t="s">
        <v>1455</v>
      </c>
      <c r="C149" s="16"/>
      <c r="D149" s="17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56"/>
      <c r="R149" s="56"/>
      <c r="S149" s="56"/>
      <c r="T149" s="58"/>
      <c r="U149" s="58"/>
      <c r="V149" s="58"/>
      <c r="W149" s="58"/>
      <c r="X149" s="58"/>
      <c r="Y149" s="58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 t="s">
        <v>1464</v>
      </c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</row>
    <row r="150" spans="1:52" ht="20.100000000000001" customHeight="1" x14ac:dyDescent="0.25">
      <c r="A150" s="39">
        <v>150</v>
      </c>
      <c r="B150" s="40" t="s">
        <v>1456</v>
      </c>
      <c r="C150" s="16"/>
      <c r="D150" s="17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56"/>
      <c r="R150" s="56"/>
      <c r="S150" s="56"/>
      <c r="T150" s="58"/>
      <c r="U150" s="58"/>
      <c r="V150" s="58"/>
      <c r="W150" s="58"/>
      <c r="X150" s="58"/>
      <c r="Y150" s="58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 t="s">
        <v>1465</v>
      </c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</row>
    <row r="151" spans="1:52" ht="20.100000000000001" customHeight="1" x14ac:dyDescent="0.25">
      <c r="A151" s="39">
        <v>151</v>
      </c>
      <c r="B151" s="40" t="s">
        <v>1457</v>
      </c>
      <c r="C151" s="16"/>
      <c r="D151" s="17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56"/>
      <c r="R151" s="56"/>
      <c r="S151" s="56"/>
      <c r="T151" s="58"/>
      <c r="U151" s="58"/>
      <c r="V151" s="58"/>
      <c r="W151" s="58"/>
      <c r="X151" s="58"/>
      <c r="Y151" s="58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 t="s">
        <v>1466</v>
      </c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</row>
    <row r="152" spans="1:52" ht="20.100000000000001" customHeight="1" x14ac:dyDescent="0.25">
      <c r="A152" s="39">
        <v>152</v>
      </c>
      <c r="B152" s="40" t="s">
        <v>1458</v>
      </c>
      <c r="C152" s="16"/>
      <c r="D152" s="17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56"/>
      <c r="R152" s="56"/>
      <c r="S152" s="56"/>
      <c r="T152" s="58"/>
      <c r="U152" s="58"/>
      <c r="V152" s="58"/>
      <c r="W152" s="58"/>
      <c r="X152" s="58"/>
      <c r="Y152" s="58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 t="s">
        <v>1467</v>
      </c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</row>
    <row r="153" spans="1:52" ht="20.100000000000001" customHeight="1" x14ac:dyDescent="0.25">
      <c r="A153" s="39">
        <v>153</v>
      </c>
      <c r="B153" s="40" t="s">
        <v>1459</v>
      </c>
      <c r="C153" s="16"/>
      <c r="D153" s="17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56"/>
      <c r="R153" s="56"/>
      <c r="S153" s="56"/>
      <c r="T153" s="58"/>
      <c r="U153" s="58"/>
      <c r="V153" s="58"/>
      <c r="W153" s="58"/>
      <c r="X153" s="58"/>
      <c r="Y153" s="58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 t="s">
        <v>1468</v>
      </c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</row>
    <row r="154" spans="1:52" ht="20.100000000000001" customHeight="1" x14ac:dyDescent="0.25">
      <c r="A154" s="39">
        <v>154</v>
      </c>
      <c r="B154" s="40" t="s">
        <v>1460</v>
      </c>
      <c r="C154" s="16"/>
      <c r="D154" s="17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56"/>
      <c r="R154" s="56"/>
      <c r="S154" s="56"/>
      <c r="T154" s="58"/>
      <c r="U154" s="58"/>
      <c r="V154" s="58"/>
      <c r="W154" s="58"/>
      <c r="X154" s="58"/>
      <c r="Y154" s="58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 t="s">
        <v>1469</v>
      </c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</row>
    <row r="155" spans="1:52" ht="20.100000000000001" customHeight="1" x14ac:dyDescent="0.25">
      <c r="A155" s="39">
        <v>155</v>
      </c>
      <c r="B155" s="40" t="s">
        <v>1470</v>
      </c>
      <c r="C155" s="16"/>
      <c r="D155" s="17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56"/>
      <c r="R155" s="56"/>
      <c r="S155" s="56"/>
      <c r="T155" s="58"/>
      <c r="U155" s="58"/>
      <c r="V155" s="58"/>
      <c r="W155" s="58"/>
      <c r="X155" s="58"/>
      <c r="Y155" s="58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 t="s">
        <v>1472</v>
      </c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</row>
    <row r="156" spans="1:52" ht="20.100000000000001" customHeight="1" x14ac:dyDescent="0.25">
      <c r="A156" s="39">
        <v>156</v>
      </c>
      <c r="B156" s="40" t="s">
        <v>1471</v>
      </c>
      <c r="C156" s="16"/>
      <c r="D156" s="17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56"/>
      <c r="R156" s="56"/>
      <c r="S156" s="56"/>
      <c r="T156" s="58"/>
      <c r="U156" s="58"/>
      <c r="V156" s="58"/>
      <c r="W156" s="58"/>
      <c r="X156" s="58"/>
      <c r="Y156" s="58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 t="s">
        <v>1473</v>
      </c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</row>
    <row r="157" spans="1:52" ht="20.100000000000001" customHeight="1" x14ac:dyDescent="0.25">
      <c r="A157" s="39">
        <v>157</v>
      </c>
      <c r="B157" s="40" t="s">
        <v>1474</v>
      </c>
      <c r="C157" s="16"/>
      <c r="D157" s="17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56"/>
      <c r="R157" s="56"/>
      <c r="S157" s="56"/>
      <c r="T157" s="58"/>
      <c r="U157" s="58"/>
      <c r="V157" s="58"/>
      <c r="W157" s="58"/>
      <c r="X157" s="58"/>
      <c r="Y157" s="58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 t="s">
        <v>1484</v>
      </c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</row>
    <row r="158" spans="1:52" ht="20.100000000000001" customHeight="1" x14ac:dyDescent="0.25">
      <c r="A158" s="39">
        <v>158</v>
      </c>
      <c r="B158" s="40" t="s">
        <v>1475</v>
      </c>
      <c r="C158" s="16"/>
      <c r="D158" s="17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56"/>
      <c r="R158" s="56"/>
      <c r="S158" s="56"/>
      <c r="T158" s="58"/>
      <c r="U158" s="58"/>
      <c r="V158" s="58"/>
      <c r="W158" s="58"/>
      <c r="X158" s="58"/>
      <c r="Y158" s="58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 t="s">
        <v>1485</v>
      </c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</row>
    <row r="159" spans="1:52" ht="20.100000000000001" customHeight="1" x14ac:dyDescent="0.25">
      <c r="A159" s="39">
        <v>159</v>
      </c>
      <c r="B159" s="40" t="s">
        <v>1476</v>
      </c>
      <c r="C159" s="16"/>
      <c r="D159" s="17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56"/>
      <c r="R159" s="56"/>
      <c r="S159" s="56"/>
      <c r="T159" s="58"/>
      <c r="U159" s="58"/>
      <c r="V159" s="58"/>
      <c r="W159" s="58"/>
      <c r="X159" s="58"/>
      <c r="Y159" s="58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 t="s">
        <v>1486</v>
      </c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</row>
    <row r="160" spans="1:52" ht="20.100000000000001" customHeight="1" x14ac:dyDescent="0.25">
      <c r="A160" s="39">
        <v>160</v>
      </c>
      <c r="B160" s="40" t="s">
        <v>1477</v>
      </c>
      <c r="C160" s="16"/>
      <c r="D160" s="17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56"/>
      <c r="R160" s="56"/>
      <c r="S160" s="56"/>
      <c r="T160" s="58"/>
      <c r="U160" s="58"/>
      <c r="V160" s="58"/>
      <c r="W160" s="58"/>
      <c r="X160" s="58"/>
      <c r="Y160" s="58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 t="s">
        <v>1487</v>
      </c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</row>
    <row r="161" spans="1:52" ht="20.100000000000001" customHeight="1" x14ac:dyDescent="0.25">
      <c r="A161" s="39">
        <v>161</v>
      </c>
      <c r="B161" s="40" t="s">
        <v>1478</v>
      </c>
      <c r="C161" s="16"/>
      <c r="D161" s="17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56"/>
      <c r="R161" s="56"/>
      <c r="S161" s="56"/>
      <c r="T161" s="58"/>
      <c r="U161" s="58"/>
      <c r="V161" s="58"/>
      <c r="W161" s="58"/>
      <c r="X161" s="58"/>
      <c r="Y161" s="58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 t="s">
        <v>1488</v>
      </c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</row>
    <row r="162" spans="1:52" ht="20.100000000000001" customHeight="1" x14ac:dyDescent="0.25">
      <c r="A162" s="39">
        <v>162</v>
      </c>
      <c r="B162" s="40" t="s">
        <v>1479</v>
      </c>
      <c r="C162" s="16"/>
      <c r="D162" s="17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56"/>
      <c r="R162" s="56"/>
      <c r="S162" s="56"/>
      <c r="T162" s="58"/>
      <c r="U162" s="58"/>
      <c r="V162" s="58"/>
      <c r="W162" s="58"/>
      <c r="X162" s="58"/>
      <c r="Y162" s="58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 t="s">
        <v>1489</v>
      </c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</row>
    <row r="163" spans="1:52" ht="20.100000000000001" customHeight="1" x14ac:dyDescent="0.25">
      <c r="A163" s="39">
        <v>163</v>
      </c>
      <c r="B163" s="40" t="s">
        <v>1480</v>
      </c>
      <c r="C163" s="16"/>
      <c r="D163" s="17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56"/>
      <c r="R163" s="56"/>
      <c r="S163" s="56"/>
      <c r="T163" s="58"/>
      <c r="U163" s="58"/>
      <c r="V163" s="58"/>
      <c r="W163" s="58"/>
      <c r="X163" s="58"/>
      <c r="Y163" s="58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 t="s">
        <v>1490</v>
      </c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</row>
    <row r="164" spans="1:52" ht="20.100000000000001" customHeight="1" x14ac:dyDescent="0.25">
      <c r="A164" s="39">
        <v>164</v>
      </c>
      <c r="B164" s="40" t="s">
        <v>1481</v>
      </c>
      <c r="C164" s="16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56"/>
      <c r="R164" s="56"/>
      <c r="S164" s="56"/>
      <c r="T164" s="58"/>
      <c r="U164" s="58"/>
      <c r="V164" s="58"/>
      <c r="W164" s="58"/>
      <c r="X164" s="58"/>
      <c r="Y164" s="58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 t="s">
        <v>1491</v>
      </c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</row>
    <row r="165" spans="1:52" ht="20.100000000000001" customHeight="1" x14ac:dyDescent="0.25">
      <c r="A165" s="39">
        <v>165</v>
      </c>
      <c r="B165" s="40" t="s">
        <v>1482</v>
      </c>
      <c r="C165" s="16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56"/>
      <c r="R165" s="56"/>
      <c r="S165" s="56"/>
      <c r="T165" s="58"/>
      <c r="U165" s="58"/>
      <c r="V165" s="58"/>
      <c r="W165" s="58"/>
      <c r="X165" s="58"/>
      <c r="Y165" s="58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 t="s">
        <v>1492</v>
      </c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</row>
    <row r="166" spans="1:52" ht="20.100000000000001" customHeight="1" x14ac:dyDescent="0.25">
      <c r="A166" s="39">
        <v>166</v>
      </c>
      <c r="B166" s="40" t="s">
        <v>1483</v>
      </c>
      <c r="C166" s="16"/>
      <c r="D166" s="17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56"/>
      <c r="R166" s="56"/>
      <c r="S166" s="56"/>
      <c r="T166" s="58"/>
      <c r="U166" s="58"/>
      <c r="V166" s="58"/>
      <c r="W166" s="58"/>
      <c r="X166" s="58"/>
      <c r="Y166" s="58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 t="s">
        <v>1493</v>
      </c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</row>
    <row r="167" spans="1:52" ht="20.100000000000001" customHeight="1" x14ac:dyDescent="0.25">
      <c r="A167" s="39">
        <v>167</v>
      </c>
      <c r="B167" s="40" t="s">
        <v>1494</v>
      </c>
      <c r="C167" s="16"/>
      <c r="D167" s="17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56"/>
      <c r="R167" s="56"/>
      <c r="S167" s="56"/>
      <c r="T167" s="58"/>
      <c r="U167" s="58"/>
      <c r="V167" s="58"/>
      <c r="W167" s="58"/>
      <c r="X167" s="58"/>
      <c r="Y167" s="58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 t="s">
        <v>1498</v>
      </c>
      <c r="AO167" s="42" t="s">
        <v>1586</v>
      </c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</row>
    <row r="168" spans="1:52" ht="20.100000000000001" customHeight="1" x14ac:dyDescent="0.25">
      <c r="A168" s="39">
        <v>168</v>
      </c>
      <c r="B168" s="40" t="s">
        <v>1495</v>
      </c>
      <c r="C168" s="16"/>
      <c r="D168" s="17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56"/>
      <c r="R168" s="56"/>
      <c r="S168" s="56"/>
      <c r="T168" s="58"/>
      <c r="U168" s="58"/>
      <c r="V168" s="58"/>
      <c r="W168" s="58"/>
      <c r="X168" s="58"/>
      <c r="Y168" s="58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 t="s">
        <v>1499</v>
      </c>
      <c r="AO168" s="42" t="s">
        <v>1587</v>
      </c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</row>
    <row r="169" spans="1:52" ht="20.100000000000001" customHeight="1" x14ac:dyDescent="0.25">
      <c r="A169" s="39">
        <v>169</v>
      </c>
      <c r="B169" s="40" t="s">
        <v>1496</v>
      </c>
      <c r="C169" s="16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56"/>
      <c r="R169" s="56"/>
      <c r="S169" s="56"/>
      <c r="T169" s="58"/>
      <c r="U169" s="58"/>
      <c r="V169" s="58"/>
      <c r="W169" s="58"/>
      <c r="X169" s="58"/>
      <c r="Y169" s="58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 t="s">
        <v>1500</v>
      </c>
      <c r="AO169" s="42" t="s">
        <v>1588</v>
      </c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</row>
    <row r="170" spans="1:52" ht="20.100000000000001" customHeight="1" x14ac:dyDescent="0.25">
      <c r="A170" s="39">
        <v>170</v>
      </c>
      <c r="B170" s="48" t="s">
        <v>1497</v>
      </c>
      <c r="C170" s="16"/>
      <c r="D170" s="17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56"/>
      <c r="R170" s="56"/>
      <c r="S170" s="56"/>
      <c r="T170" s="58"/>
      <c r="U170" s="58"/>
      <c r="V170" s="58"/>
      <c r="W170" s="58"/>
      <c r="X170" s="58"/>
      <c r="Y170" s="58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 t="s">
        <v>1501</v>
      </c>
      <c r="AO170" s="42" t="s">
        <v>1589</v>
      </c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</row>
    <row r="171" spans="1:52" ht="20.100000000000001" customHeight="1" x14ac:dyDescent="0.25">
      <c r="A171" s="39">
        <v>171</v>
      </c>
      <c r="B171" s="40" t="s">
        <v>1502</v>
      </c>
      <c r="C171" s="16"/>
      <c r="D171" s="17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56"/>
      <c r="R171" s="56"/>
      <c r="S171" s="56"/>
      <c r="T171" s="58"/>
      <c r="U171" s="58"/>
      <c r="V171" s="58"/>
      <c r="W171" s="58"/>
      <c r="X171" s="58"/>
      <c r="Y171" s="58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 t="s">
        <v>1504</v>
      </c>
      <c r="AO171" s="42" t="s">
        <v>1590</v>
      </c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</row>
    <row r="172" spans="1:52" ht="20.100000000000001" customHeight="1" x14ac:dyDescent="0.25">
      <c r="A172" s="39">
        <v>172</v>
      </c>
      <c r="B172" s="48" t="s">
        <v>1503</v>
      </c>
      <c r="C172" s="16"/>
      <c r="D172" s="17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56"/>
      <c r="R172" s="56"/>
      <c r="S172" s="56"/>
      <c r="T172" s="58"/>
      <c r="U172" s="58"/>
      <c r="V172" s="58"/>
      <c r="W172" s="58"/>
      <c r="X172" s="58"/>
      <c r="Y172" s="58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 t="s">
        <v>1505</v>
      </c>
      <c r="AO172" s="42" t="s">
        <v>1591</v>
      </c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</row>
    <row r="173" spans="1:52" ht="20.100000000000001" customHeight="1" x14ac:dyDescent="0.25">
      <c r="A173" s="39">
        <v>173</v>
      </c>
      <c r="B173" s="40" t="s">
        <v>1506</v>
      </c>
      <c r="C173" s="16"/>
      <c r="D173" s="17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56"/>
      <c r="R173" s="56"/>
      <c r="S173" s="56"/>
      <c r="T173" s="58"/>
      <c r="U173" s="58"/>
      <c r="V173" s="58"/>
      <c r="W173" s="58"/>
      <c r="X173" s="58"/>
      <c r="Y173" s="58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 t="s">
        <v>1520</v>
      </c>
      <c r="AO173" s="42" t="s">
        <v>1592</v>
      </c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</row>
    <row r="174" spans="1:52" ht="20.100000000000001" customHeight="1" x14ac:dyDescent="0.25">
      <c r="A174" s="39">
        <v>174</v>
      </c>
      <c r="B174" s="40" t="s">
        <v>1507</v>
      </c>
      <c r="C174" s="16"/>
      <c r="D174" s="17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56"/>
      <c r="R174" s="56"/>
      <c r="S174" s="56"/>
      <c r="T174" s="58"/>
      <c r="U174" s="58"/>
      <c r="V174" s="58"/>
      <c r="W174" s="58"/>
      <c r="X174" s="58"/>
      <c r="Y174" s="58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 t="s">
        <v>1521</v>
      </c>
      <c r="AO174" s="42" t="s">
        <v>1593</v>
      </c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</row>
    <row r="175" spans="1:52" ht="20.100000000000001" customHeight="1" x14ac:dyDescent="0.25">
      <c r="A175" s="39">
        <v>175</v>
      </c>
      <c r="B175" s="40" t="s">
        <v>1508</v>
      </c>
      <c r="C175" s="16"/>
      <c r="D175" s="17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56"/>
      <c r="R175" s="56"/>
      <c r="S175" s="56"/>
      <c r="T175" s="58"/>
      <c r="U175" s="58"/>
      <c r="V175" s="58"/>
      <c r="W175" s="58"/>
      <c r="X175" s="58"/>
      <c r="Y175" s="58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 t="s">
        <v>1522</v>
      </c>
      <c r="AO175" s="42" t="s">
        <v>1594</v>
      </c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</row>
    <row r="176" spans="1:52" ht="20.100000000000001" customHeight="1" x14ac:dyDescent="0.25">
      <c r="A176" s="39">
        <v>176</v>
      </c>
      <c r="B176" s="40" t="s">
        <v>1509</v>
      </c>
      <c r="C176" s="16"/>
      <c r="D176" s="17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56"/>
      <c r="R176" s="56"/>
      <c r="S176" s="56"/>
      <c r="T176" s="58"/>
      <c r="U176" s="58"/>
      <c r="V176" s="58"/>
      <c r="W176" s="58"/>
      <c r="X176" s="58"/>
      <c r="Y176" s="58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 t="s">
        <v>1523</v>
      </c>
      <c r="AO176" s="42" t="s">
        <v>1595</v>
      </c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</row>
    <row r="177" spans="1:52" ht="20.100000000000001" customHeight="1" x14ac:dyDescent="0.25">
      <c r="A177" s="39">
        <v>177</v>
      </c>
      <c r="B177" s="40" t="s">
        <v>1510</v>
      </c>
      <c r="C177" s="16"/>
      <c r="D177" s="17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56"/>
      <c r="R177" s="56"/>
      <c r="S177" s="56"/>
      <c r="T177" s="58"/>
      <c r="U177" s="58"/>
      <c r="V177" s="58"/>
      <c r="W177" s="58"/>
      <c r="X177" s="58"/>
      <c r="Y177" s="58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 t="s">
        <v>1407</v>
      </c>
      <c r="AO177" s="42" t="s">
        <v>1596</v>
      </c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</row>
    <row r="178" spans="1:52" ht="20.100000000000001" customHeight="1" x14ac:dyDescent="0.25">
      <c r="A178" s="39">
        <v>178</v>
      </c>
      <c r="B178" s="40" t="s">
        <v>1511</v>
      </c>
      <c r="C178" s="16"/>
      <c r="D178" s="17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56"/>
      <c r="R178" s="56"/>
      <c r="S178" s="56"/>
      <c r="T178" s="58"/>
      <c r="U178" s="58"/>
      <c r="V178" s="58"/>
      <c r="W178" s="58"/>
      <c r="X178" s="58"/>
      <c r="Y178" s="58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 t="s">
        <v>1524</v>
      </c>
      <c r="AO178" s="42" t="s">
        <v>1597</v>
      </c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</row>
    <row r="179" spans="1:52" ht="20.100000000000001" customHeight="1" x14ac:dyDescent="0.25">
      <c r="A179" s="39">
        <v>179</v>
      </c>
      <c r="B179" s="40" t="s">
        <v>1512</v>
      </c>
      <c r="C179" s="16"/>
      <c r="D179" s="17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56"/>
      <c r="R179" s="56"/>
      <c r="S179" s="56"/>
      <c r="T179" s="58"/>
      <c r="U179" s="58"/>
      <c r="V179" s="58"/>
      <c r="W179" s="58"/>
      <c r="X179" s="58"/>
      <c r="Y179" s="58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 t="s">
        <v>1525</v>
      </c>
      <c r="AO179" s="42" t="s">
        <v>1598</v>
      </c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</row>
    <row r="180" spans="1:52" ht="20.100000000000001" customHeight="1" x14ac:dyDescent="0.25">
      <c r="A180" s="39">
        <v>180</v>
      </c>
      <c r="B180" s="40" t="s">
        <v>1513</v>
      </c>
      <c r="C180" s="16"/>
      <c r="D180" s="17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56"/>
      <c r="R180" s="56"/>
      <c r="S180" s="56"/>
      <c r="T180" s="58"/>
      <c r="U180" s="58"/>
      <c r="V180" s="58"/>
      <c r="W180" s="58"/>
      <c r="X180" s="58"/>
      <c r="Y180" s="58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 t="s">
        <v>1526</v>
      </c>
      <c r="AO180" s="42" t="s">
        <v>1599</v>
      </c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</row>
    <row r="181" spans="1:52" ht="20.100000000000001" customHeight="1" x14ac:dyDescent="0.25">
      <c r="A181" s="39">
        <v>181</v>
      </c>
      <c r="B181" s="40" t="s">
        <v>1514</v>
      </c>
      <c r="C181" s="16"/>
      <c r="D181" s="17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56"/>
      <c r="R181" s="56"/>
      <c r="S181" s="56"/>
      <c r="T181" s="58"/>
      <c r="U181" s="58"/>
      <c r="V181" s="58"/>
      <c r="W181" s="58"/>
      <c r="X181" s="58"/>
      <c r="Y181" s="58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 t="s">
        <v>1527</v>
      </c>
      <c r="AO181" s="42" t="s">
        <v>1600</v>
      </c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</row>
    <row r="182" spans="1:52" ht="20.100000000000001" customHeight="1" x14ac:dyDescent="0.25">
      <c r="A182" s="39">
        <v>182</v>
      </c>
      <c r="B182" s="40" t="s">
        <v>1534</v>
      </c>
      <c r="C182" s="16"/>
      <c r="D182" s="17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56"/>
      <c r="R182" s="56"/>
      <c r="S182" s="56"/>
      <c r="T182" s="58"/>
      <c r="U182" s="58"/>
      <c r="V182" s="58"/>
      <c r="W182" s="58"/>
      <c r="X182" s="58"/>
      <c r="Y182" s="58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 t="s">
        <v>1528</v>
      </c>
      <c r="AO182" s="42" t="s">
        <v>1601</v>
      </c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</row>
    <row r="183" spans="1:52" ht="20.100000000000001" customHeight="1" x14ac:dyDescent="0.25">
      <c r="A183" s="39">
        <v>183</v>
      </c>
      <c r="B183" s="40" t="s">
        <v>1515</v>
      </c>
      <c r="C183" s="16"/>
      <c r="D183" s="17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56"/>
      <c r="R183" s="56"/>
      <c r="S183" s="56"/>
      <c r="T183" s="58"/>
      <c r="U183" s="58"/>
      <c r="V183" s="58"/>
      <c r="W183" s="58"/>
      <c r="X183" s="58"/>
      <c r="Y183" s="58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 t="s">
        <v>1529</v>
      </c>
      <c r="AO183" s="42" t="s">
        <v>1602</v>
      </c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</row>
    <row r="184" spans="1:52" ht="20.100000000000001" customHeight="1" x14ac:dyDescent="0.25">
      <c r="A184" s="39">
        <v>184</v>
      </c>
      <c r="B184" s="40" t="s">
        <v>1516</v>
      </c>
      <c r="C184" s="16"/>
      <c r="D184" s="17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56"/>
      <c r="R184" s="56"/>
      <c r="S184" s="56"/>
      <c r="T184" s="58"/>
      <c r="U184" s="58"/>
      <c r="V184" s="58"/>
      <c r="W184" s="58"/>
      <c r="X184" s="58"/>
      <c r="Y184" s="58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 t="s">
        <v>1530</v>
      </c>
      <c r="AO184" s="42" t="s">
        <v>1603</v>
      </c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</row>
    <row r="185" spans="1:52" ht="20.100000000000001" customHeight="1" x14ac:dyDescent="0.25">
      <c r="A185" s="39">
        <v>185</v>
      </c>
      <c r="B185" s="40" t="s">
        <v>1517</v>
      </c>
      <c r="C185" s="16"/>
      <c r="D185" s="17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56"/>
      <c r="R185" s="56"/>
      <c r="S185" s="56"/>
      <c r="T185" s="58"/>
      <c r="U185" s="58"/>
      <c r="V185" s="58"/>
      <c r="W185" s="58"/>
      <c r="X185" s="58"/>
      <c r="Y185" s="58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 t="s">
        <v>1531</v>
      </c>
      <c r="AO185" s="42" t="s">
        <v>1604</v>
      </c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</row>
    <row r="186" spans="1:52" ht="20.100000000000001" customHeight="1" x14ac:dyDescent="0.25">
      <c r="A186" s="39">
        <v>186</v>
      </c>
      <c r="B186" s="40" t="s">
        <v>1518</v>
      </c>
      <c r="C186" s="16"/>
      <c r="D186" s="17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56"/>
      <c r="R186" s="56"/>
      <c r="S186" s="56"/>
      <c r="T186" s="58"/>
      <c r="U186" s="58"/>
      <c r="V186" s="58"/>
      <c r="W186" s="58"/>
      <c r="X186" s="58"/>
      <c r="Y186" s="58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 t="s">
        <v>1532</v>
      </c>
      <c r="AO186" s="42" t="s">
        <v>1605</v>
      </c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</row>
    <row r="187" spans="1:52" ht="20.100000000000001" customHeight="1" x14ac:dyDescent="0.25">
      <c r="A187" s="39">
        <v>187</v>
      </c>
      <c r="B187" s="40" t="s">
        <v>1519</v>
      </c>
      <c r="C187" s="16"/>
      <c r="D187" s="1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56"/>
      <c r="R187" s="56"/>
      <c r="S187" s="56"/>
      <c r="T187" s="58"/>
      <c r="U187" s="58"/>
      <c r="V187" s="58"/>
      <c r="W187" s="58"/>
      <c r="X187" s="58"/>
      <c r="Y187" s="58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 t="s">
        <v>1533</v>
      </c>
      <c r="AO187" s="42">
        <v>207</v>
      </c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</row>
    <row r="188" spans="1:52" ht="20.100000000000001" customHeight="1" x14ac:dyDescent="0.25">
      <c r="A188" s="39">
        <v>188</v>
      </c>
      <c r="B188" s="40" t="s">
        <v>1535</v>
      </c>
      <c r="C188" s="16"/>
      <c r="D188" s="1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56"/>
      <c r="R188" s="56"/>
      <c r="S188" s="56"/>
      <c r="T188" s="58"/>
      <c r="U188" s="58"/>
      <c r="V188" s="58"/>
      <c r="W188" s="58"/>
      <c r="X188" s="58"/>
      <c r="Y188" s="58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 t="s">
        <v>1548</v>
      </c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</row>
    <row r="189" spans="1:52" ht="20.100000000000001" customHeight="1" x14ac:dyDescent="0.25">
      <c r="A189" s="39">
        <v>189</v>
      </c>
      <c r="B189" s="40" t="s">
        <v>1536</v>
      </c>
      <c r="C189" s="16"/>
      <c r="D189" s="17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56"/>
      <c r="R189" s="56"/>
      <c r="S189" s="56"/>
      <c r="T189" s="58"/>
      <c r="U189" s="58"/>
      <c r="V189" s="58"/>
      <c r="W189" s="58"/>
      <c r="X189" s="58"/>
      <c r="Y189" s="58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 t="s">
        <v>1549</v>
      </c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</row>
    <row r="190" spans="1:52" ht="20.100000000000001" customHeight="1" x14ac:dyDescent="0.25">
      <c r="A190" s="39">
        <v>190</v>
      </c>
      <c r="B190" s="40" t="s">
        <v>1559</v>
      </c>
      <c r="C190" s="16"/>
      <c r="D190" s="1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56"/>
      <c r="R190" s="56"/>
      <c r="S190" s="56"/>
      <c r="T190" s="58"/>
      <c r="U190" s="58"/>
      <c r="V190" s="58"/>
      <c r="W190" s="58"/>
      <c r="X190" s="58"/>
      <c r="Y190" s="58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 t="s">
        <v>1550</v>
      </c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</row>
    <row r="191" spans="1:52" ht="20.100000000000001" customHeight="1" x14ac:dyDescent="0.25">
      <c r="A191" s="39">
        <v>191</v>
      </c>
      <c r="B191" s="40" t="s">
        <v>1537</v>
      </c>
      <c r="C191" s="16"/>
      <c r="D191" s="1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56"/>
      <c r="R191" s="56"/>
      <c r="S191" s="56"/>
      <c r="T191" s="58"/>
      <c r="U191" s="58"/>
      <c r="V191" s="58"/>
      <c r="W191" s="58"/>
      <c r="X191" s="58"/>
      <c r="Y191" s="58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 t="s">
        <v>1551</v>
      </c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</row>
    <row r="192" spans="1:52" ht="20.100000000000001" customHeight="1" x14ac:dyDescent="0.25">
      <c r="A192" s="39">
        <v>192</v>
      </c>
      <c r="B192" s="40" t="s">
        <v>1538</v>
      </c>
      <c r="C192" s="16"/>
      <c r="D192" s="1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56"/>
      <c r="R192" s="56"/>
      <c r="S192" s="56"/>
      <c r="T192" s="58"/>
      <c r="U192" s="58"/>
      <c r="V192" s="58"/>
      <c r="W192" s="58"/>
      <c r="X192" s="58"/>
      <c r="Y192" s="58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 t="s">
        <v>1552</v>
      </c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</row>
    <row r="193" spans="1:52" ht="20.100000000000001" customHeight="1" x14ac:dyDescent="0.25">
      <c r="A193" s="39">
        <v>193</v>
      </c>
      <c r="B193" s="40" t="s">
        <v>1539</v>
      </c>
      <c r="C193" s="16"/>
      <c r="D193" s="17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56"/>
      <c r="R193" s="56"/>
      <c r="S193" s="56"/>
      <c r="T193" s="58"/>
      <c r="U193" s="58"/>
      <c r="V193" s="58"/>
      <c r="W193" s="58"/>
      <c r="X193" s="58"/>
      <c r="Y193" s="58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 t="s">
        <v>1553</v>
      </c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</row>
    <row r="194" spans="1:52" ht="20.100000000000001" customHeight="1" x14ac:dyDescent="0.25">
      <c r="A194" s="39">
        <v>194</v>
      </c>
      <c r="B194" s="40" t="s">
        <v>1540</v>
      </c>
      <c r="C194" s="16"/>
      <c r="D194" s="1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56"/>
      <c r="R194" s="56"/>
      <c r="S194" s="56"/>
      <c r="T194" s="58"/>
      <c r="U194" s="58"/>
      <c r="V194" s="58"/>
      <c r="W194" s="58"/>
      <c r="X194" s="58"/>
      <c r="Y194" s="58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 t="s">
        <v>1554</v>
      </c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</row>
    <row r="195" spans="1:52" ht="20.100000000000001" customHeight="1" x14ac:dyDescent="0.25">
      <c r="A195" s="39">
        <v>195</v>
      </c>
      <c r="B195" s="40" t="s">
        <v>1541</v>
      </c>
      <c r="C195" s="16"/>
      <c r="D195" s="1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56"/>
      <c r="R195" s="56"/>
      <c r="S195" s="56"/>
      <c r="T195" s="58"/>
      <c r="U195" s="58"/>
      <c r="V195" s="58"/>
      <c r="W195" s="58"/>
      <c r="X195" s="58"/>
      <c r="Y195" s="58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 t="s">
        <v>1555</v>
      </c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</row>
    <row r="196" spans="1:52" ht="20.100000000000001" customHeight="1" x14ac:dyDescent="0.25">
      <c r="A196" s="39">
        <v>196</v>
      </c>
      <c r="B196" s="40" t="s">
        <v>1542</v>
      </c>
      <c r="C196" s="16"/>
      <c r="D196" s="17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56"/>
      <c r="R196" s="56"/>
      <c r="S196" s="56"/>
      <c r="T196" s="58"/>
      <c r="U196" s="58"/>
      <c r="V196" s="58"/>
      <c r="W196" s="58"/>
      <c r="X196" s="58"/>
      <c r="Y196" s="58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 t="s">
        <v>1556</v>
      </c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</row>
    <row r="197" spans="1:52" ht="20.100000000000001" customHeight="1" x14ac:dyDescent="0.25">
      <c r="A197" s="39">
        <v>197</v>
      </c>
      <c r="B197" s="40" t="s">
        <v>1543</v>
      </c>
      <c r="C197" s="16"/>
      <c r="D197" s="17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56"/>
      <c r="R197" s="56"/>
      <c r="S197" s="56"/>
      <c r="T197" s="58"/>
      <c r="U197" s="58"/>
      <c r="V197" s="58"/>
      <c r="W197" s="58"/>
      <c r="X197" s="58"/>
      <c r="Y197" s="58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 t="s">
        <v>1547</v>
      </c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</row>
    <row r="198" spans="1:52" ht="20.100000000000001" customHeight="1" x14ac:dyDescent="0.25">
      <c r="A198" s="39">
        <v>198</v>
      </c>
      <c r="B198" s="40" t="s">
        <v>1544</v>
      </c>
      <c r="C198" s="16"/>
      <c r="D198" s="17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56"/>
      <c r="R198" s="56"/>
      <c r="S198" s="56"/>
      <c r="T198" s="58"/>
      <c r="U198" s="58"/>
      <c r="V198" s="58"/>
      <c r="W198" s="58"/>
      <c r="X198" s="58"/>
      <c r="Y198" s="58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 t="s">
        <v>1557</v>
      </c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</row>
    <row r="199" spans="1:52" ht="20.100000000000001" customHeight="1" x14ac:dyDescent="0.25">
      <c r="A199" s="39">
        <v>199</v>
      </c>
      <c r="B199" s="40" t="s">
        <v>1545</v>
      </c>
      <c r="C199" s="16"/>
      <c r="D199" s="17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56"/>
      <c r="R199" s="56"/>
      <c r="S199" s="56"/>
      <c r="T199" s="58"/>
      <c r="U199" s="58"/>
      <c r="V199" s="58"/>
      <c r="W199" s="58"/>
      <c r="X199" s="58"/>
      <c r="Y199" s="58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 t="s">
        <v>1558</v>
      </c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</row>
    <row r="200" spans="1:52" ht="20.100000000000001" customHeight="1" x14ac:dyDescent="0.25">
      <c r="A200" s="39">
        <v>200</v>
      </c>
      <c r="B200" s="40" t="s">
        <v>1546</v>
      </c>
      <c r="C200" s="16"/>
      <c r="D200" s="17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56"/>
      <c r="R200" s="56"/>
      <c r="S200" s="56"/>
      <c r="T200" s="58"/>
      <c r="U200" s="58"/>
      <c r="V200" s="58"/>
      <c r="W200" s="58"/>
      <c r="X200" s="58"/>
      <c r="Y200" s="58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 t="s">
        <v>1560</v>
      </c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</row>
    <row r="201" spans="1:52" ht="20.100000000000001" customHeight="1" x14ac:dyDescent="0.25">
      <c r="A201" s="39">
        <v>201</v>
      </c>
      <c r="B201" s="2" t="s">
        <v>1561</v>
      </c>
      <c r="C201" s="16"/>
      <c r="D201" s="17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56"/>
      <c r="R201" s="56"/>
      <c r="S201" s="56"/>
      <c r="T201" s="58"/>
      <c r="U201" s="58"/>
      <c r="V201" s="58"/>
      <c r="W201" s="58"/>
      <c r="X201" s="58"/>
      <c r="Y201" s="58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 t="s">
        <v>1573</v>
      </c>
      <c r="AS201" s="42"/>
      <c r="AT201" s="42"/>
      <c r="AU201" s="42"/>
      <c r="AV201" s="42"/>
      <c r="AW201" s="42"/>
      <c r="AX201" s="42"/>
      <c r="AY201" s="42"/>
      <c r="AZ201" s="42"/>
    </row>
    <row r="202" spans="1:52" ht="20.100000000000001" customHeight="1" x14ac:dyDescent="0.25">
      <c r="A202" s="39">
        <v>202</v>
      </c>
      <c r="B202" s="40" t="s">
        <v>1562</v>
      </c>
      <c r="C202" s="16"/>
      <c r="D202" s="17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56"/>
      <c r="R202" s="56"/>
      <c r="S202" s="56"/>
      <c r="T202" s="58"/>
      <c r="U202" s="58"/>
      <c r="V202" s="58"/>
      <c r="W202" s="58"/>
      <c r="X202" s="58"/>
      <c r="Y202" s="58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 t="s">
        <v>1390</v>
      </c>
      <c r="AS202" s="42" t="s">
        <v>1574</v>
      </c>
      <c r="AT202" s="42"/>
      <c r="AU202" s="42"/>
      <c r="AV202" s="42"/>
      <c r="AW202" s="42"/>
      <c r="AX202" s="42"/>
      <c r="AY202" s="42"/>
      <c r="AZ202" s="42"/>
    </row>
    <row r="203" spans="1:52" ht="20.100000000000001" customHeight="1" x14ac:dyDescent="0.25">
      <c r="A203" s="39">
        <v>203</v>
      </c>
      <c r="B203" s="40" t="s">
        <v>1563</v>
      </c>
      <c r="C203" s="16"/>
      <c r="D203" s="17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56"/>
      <c r="R203" s="56"/>
      <c r="S203" s="56"/>
      <c r="T203" s="58"/>
      <c r="U203" s="58"/>
      <c r="V203" s="58"/>
      <c r="W203" s="58"/>
      <c r="X203" s="58"/>
      <c r="Y203" s="58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 t="s">
        <v>1575</v>
      </c>
      <c r="AS203" s="42" t="s">
        <v>1576</v>
      </c>
      <c r="AT203" s="42"/>
      <c r="AU203" s="42"/>
      <c r="AV203" s="42"/>
      <c r="AW203" s="42"/>
      <c r="AX203" s="42"/>
      <c r="AY203" s="42"/>
      <c r="AZ203" s="42"/>
    </row>
    <row r="204" spans="1:52" ht="20.100000000000001" customHeight="1" x14ac:dyDescent="0.25">
      <c r="A204" s="39">
        <v>204</v>
      </c>
      <c r="B204" s="40" t="s">
        <v>1564</v>
      </c>
      <c r="C204" s="16"/>
      <c r="D204" s="17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56"/>
      <c r="R204" s="56"/>
      <c r="S204" s="56"/>
      <c r="T204" s="58"/>
      <c r="U204" s="58"/>
      <c r="V204" s="58"/>
      <c r="W204" s="58"/>
      <c r="X204" s="58"/>
      <c r="Y204" s="58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 t="s">
        <v>1575</v>
      </c>
      <c r="AS204" s="42" t="s">
        <v>1576</v>
      </c>
      <c r="AT204" s="42"/>
      <c r="AU204" s="42"/>
      <c r="AV204" s="42"/>
      <c r="AW204" s="42"/>
      <c r="AX204" s="42"/>
      <c r="AY204" s="42"/>
      <c r="AZ204" s="42"/>
    </row>
    <row r="205" spans="1:52" ht="20.100000000000001" customHeight="1" x14ac:dyDescent="0.25">
      <c r="A205" s="39">
        <v>205</v>
      </c>
      <c r="B205" s="40" t="s">
        <v>1565</v>
      </c>
      <c r="C205" s="16"/>
      <c r="D205" s="17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56"/>
      <c r="R205" s="56"/>
      <c r="S205" s="56"/>
      <c r="T205" s="58"/>
      <c r="U205" s="58"/>
      <c r="V205" s="58"/>
      <c r="W205" s="58"/>
      <c r="X205" s="58"/>
      <c r="Y205" s="58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 t="s">
        <v>1577</v>
      </c>
      <c r="AS205" s="42"/>
      <c r="AT205" s="42" t="s">
        <v>1578</v>
      </c>
      <c r="AU205" s="42"/>
      <c r="AV205" s="42"/>
      <c r="AW205" s="42"/>
      <c r="AX205" s="42"/>
      <c r="AY205" s="42"/>
      <c r="AZ205" s="42"/>
    </row>
    <row r="206" spans="1:52" ht="20.100000000000001" customHeight="1" x14ac:dyDescent="0.25">
      <c r="A206" s="39">
        <v>206</v>
      </c>
      <c r="B206" s="40" t="s">
        <v>1566</v>
      </c>
      <c r="C206" s="16"/>
      <c r="D206" s="17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56"/>
      <c r="R206" s="56"/>
      <c r="S206" s="56"/>
      <c r="T206" s="58"/>
      <c r="U206" s="58"/>
      <c r="V206" s="58"/>
      <c r="W206" s="58"/>
      <c r="X206" s="58"/>
      <c r="Y206" s="58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 t="s">
        <v>1577</v>
      </c>
      <c r="AS206" s="42"/>
      <c r="AT206" s="42" t="s">
        <v>1578</v>
      </c>
      <c r="AU206" s="42"/>
      <c r="AV206" s="42"/>
      <c r="AW206" s="42"/>
      <c r="AX206" s="42"/>
      <c r="AY206" s="42"/>
      <c r="AZ206" s="42"/>
    </row>
    <row r="207" spans="1:52" ht="20.100000000000001" customHeight="1" x14ac:dyDescent="0.25">
      <c r="A207" s="39">
        <v>207</v>
      </c>
      <c r="B207" s="40" t="s">
        <v>1567</v>
      </c>
      <c r="C207" s="16"/>
      <c r="D207" s="17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56"/>
      <c r="R207" s="56"/>
      <c r="S207" s="56"/>
      <c r="T207" s="58"/>
      <c r="U207" s="58"/>
      <c r="V207" s="58"/>
      <c r="W207" s="58"/>
      <c r="X207" s="58"/>
      <c r="Y207" s="58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 t="s">
        <v>1520</v>
      </c>
      <c r="AS207" s="42"/>
      <c r="AT207" s="42"/>
      <c r="AU207" s="42"/>
      <c r="AV207" s="42"/>
      <c r="AW207" s="42"/>
      <c r="AX207" s="42"/>
      <c r="AY207" s="42"/>
      <c r="AZ207" s="42"/>
    </row>
    <row r="208" spans="1:52" ht="20.100000000000001" customHeight="1" x14ac:dyDescent="0.25">
      <c r="A208" s="39">
        <v>208</v>
      </c>
      <c r="B208" s="40" t="s">
        <v>1568</v>
      </c>
      <c r="C208" s="16"/>
      <c r="D208" s="17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56"/>
      <c r="R208" s="56"/>
      <c r="S208" s="56"/>
      <c r="T208" s="58"/>
      <c r="U208" s="58"/>
      <c r="V208" s="58"/>
      <c r="W208" s="58"/>
      <c r="X208" s="58"/>
      <c r="Y208" s="58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 t="s">
        <v>1579</v>
      </c>
      <c r="AS208" s="42"/>
      <c r="AT208" s="42"/>
      <c r="AU208" s="42"/>
      <c r="AV208" s="42"/>
      <c r="AW208" s="42"/>
      <c r="AX208" s="42"/>
      <c r="AY208" s="42"/>
      <c r="AZ208" s="42"/>
    </row>
    <row r="209" spans="1:52" ht="20.100000000000001" customHeight="1" x14ac:dyDescent="0.25">
      <c r="A209" s="39">
        <v>209</v>
      </c>
      <c r="B209" s="40" t="s">
        <v>1569</v>
      </c>
      <c r="C209" s="16"/>
      <c r="D209" s="17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56"/>
      <c r="R209" s="56"/>
      <c r="S209" s="56"/>
      <c r="T209" s="58"/>
      <c r="U209" s="58"/>
      <c r="V209" s="58"/>
      <c r="W209" s="58"/>
      <c r="X209" s="58"/>
      <c r="Y209" s="58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 t="s">
        <v>1580</v>
      </c>
      <c r="AT209" s="42"/>
      <c r="AU209" s="42"/>
      <c r="AV209" s="42"/>
      <c r="AW209" s="42"/>
      <c r="AX209" s="42"/>
      <c r="AY209" s="42"/>
      <c r="AZ209" s="42"/>
    </row>
    <row r="210" spans="1:52" ht="20.100000000000001" customHeight="1" x14ac:dyDescent="0.25">
      <c r="A210" s="39">
        <v>210</v>
      </c>
      <c r="B210" s="40" t="s">
        <v>1570</v>
      </c>
      <c r="C210" s="16"/>
      <c r="D210" s="17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56"/>
      <c r="R210" s="56"/>
      <c r="S210" s="56"/>
      <c r="T210" s="58"/>
      <c r="U210" s="58"/>
      <c r="V210" s="58"/>
      <c r="W210" s="58"/>
      <c r="X210" s="58"/>
      <c r="Y210" s="58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 t="s">
        <v>1581</v>
      </c>
      <c r="AS210" s="42" t="s">
        <v>1582</v>
      </c>
      <c r="AT210" s="42" t="s">
        <v>1583</v>
      </c>
      <c r="AU210" s="42"/>
      <c r="AV210" s="42"/>
      <c r="AW210" s="42"/>
      <c r="AX210" s="42"/>
      <c r="AY210" s="42"/>
      <c r="AZ210" s="42"/>
    </row>
    <row r="211" spans="1:52" ht="20.100000000000001" customHeight="1" x14ac:dyDescent="0.25">
      <c r="A211" s="39">
        <v>211</v>
      </c>
      <c r="B211" s="40" t="s">
        <v>1571</v>
      </c>
      <c r="C211" s="16"/>
      <c r="D211" s="17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56"/>
      <c r="R211" s="56"/>
      <c r="S211" s="56"/>
      <c r="T211" s="58"/>
      <c r="U211" s="58"/>
      <c r="V211" s="58"/>
      <c r="W211" s="58"/>
      <c r="X211" s="58"/>
      <c r="Y211" s="58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 t="s">
        <v>1584</v>
      </c>
      <c r="AU211" s="42"/>
      <c r="AV211" s="42"/>
      <c r="AW211" s="42"/>
      <c r="AX211" s="42"/>
      <c r="AY211" s="42"/>
      <c r="AZ211" s="42"/>
    </row>
    <row r="212" spans="1:52" ht="20.100000000000001" customHeight="1" x14ac:dyDescent="0.25">
      <c r="A212" s="39">
        <v>212</v>
      </c>
      <c r="B212" s="40" t="s">
        <v>1572</v>
      </c>
      <c r="C212" s="16"/>
      <c r="D212" s="17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56"/>
      <c r="R212" s="56"/>
      <c r="S212" s="56"/>
      <c r="T212" s="58"/>
      <c r="U212" s="58"/>
      <c r="V212" s="58"/>
      <c r="W212" s="58"/>
      <c r="X212" s="58"/>
      <c r="Y212" s="58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 t="s">
        <v>1585</v>
      </c>
      <c r="AS212" s="42"/>
      <c r="AT212" s="42"/>
      <c r="AU212" s="42"/>
      <c r="AV212" s="42"/>
      <c r="AW212" s="42"/>
      <c r="AX212" s="42"/>
      <c r="AY212" s="42"/>
      <c r="AZ212" s="42"/>
    </row>
    <row r="213" spans="1:52" ht="20.100000000000001" customHeight="1" x14ac:dyDescent="0.25">
      <c r="A213" s="39">
        <v>213</v>
      </c>
      <c r="B213" s="40" t="s">
        <v>608</v>
      </c>
      <c r="C213" s="16"/>
      <c r="D213" s="17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56"/>
      <c r="R213" s="56"/>
      <c r="S213" s="56"/>
      <c r="T213" s="58"/>
      <c r="U213" s="58"/>
      <c r="V213" s="58"/>
      <c r="W213" s="58"/>
      <c r="X213" s="58"/>
      <c r="Y213" s="58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 t="s">
        <v>1630</v>
      </c>
      <c r="AV213" s="42" t="s">
        <v>1630</v>
      </c>
      <c r="AW213" s="42" t="s">
        <v>1630</v>
      </c>
      <c r="AX213" s="42"/>
      <c r="AY213" s="42"/>
      <c r="AZ213" s="42"/>
    </row>
    <row r="214" spans="1:52" ht="20.100000000000001" customHeight="1" x14ac:dyDescent="0.25">
      <c r="A214" s="39">
        <v>214</v>
      </c>
      <c r="B214" s="40" t="s">
        <v>1612</v>
      </c>
      <c r="C214" s="16"/>
      <c r="D214" s="17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56"/>
      <c r="R214" s="56"/>
      <c r="S214" s="56"/>
      <c r="T214" s="58"/>
      <c r="U214" s="58"/>
      <c r="V214" s="58"/>
      <c r="W214" s="58"/>
      <c r="X214" s="58"/>
      <c r="Y214" s="58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 t="s">
        <v>1631</v>
      </c>
      <c r="AV214" s="42" t="s">
        <v>1631</v>
      </c>
      <c r="AW214" s="42" t="s">
        <v>1631</v>
      </c>
      <c r="AX214" s="42"/>
      <c r="AY214" s="42"/>
      <c r="AZ214" s="42"/>
    </row>
    <row r="215" spans="1:52" ht="20.100000000000001" customHeight="1" x14ac:dyDescent="0.25">
      <c r="A215" s="39">
        <v>215</v>
      </c>
      <c r="B215" s="40" t="s">
        <v>1613</v>
      </c>
      <c r="C215" s="16"/>
      <c r="D215" s="17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56"/>
      <c r="R215" s="56"/>
      <c r="S215" s="56"/>
      <c r="T215" s="58"/>
      <c r="U215" s="58"/>
      <c r="V215" s="58"/>
      <c r="W215" s="58"/>
      <c r="X215" s="58"/>
      <c r="Y215" s="58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 t="s">
        <v>1632</v>
      </c>
      <c r="AV215" s="42" t="s">
        <v>1632</v>
      </c>
      <c r="AW215" s="42" t="s">
        <v>1632</v>
      </c>
      <c r="AX215" s="42"/>
      <c r="AY215" s="42"/>
      <c r="AZ215" s="42"/>
    </row>
    <row r="216" spans="1:52" ht="20.100000000000001" customHeight="1" x14ac:dyDescent="0.25">
      <c r="A216" s="39">
        <v>216</v>
      </c>
      <c r="B216" s="40" t="s">
        <v>1614</v>
      </c>
      <c r="C216" s="16"/>
      <c r="D216" s="17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56"/>
      <c r="R216" s="56"/>
      <c r="S216" s="56"/>
      <c r="T216" s="58"/>
      <c r="U216" s="58"/>
      <c r="V216" s="58"/>
      <c r="W216" s="58"/>
      <c r="X216" s="58"/>
      <c r="Y216" s="58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 t="s">
        <v>1632</v>
      </c>
      <c r="AV216" s="42" t="s">
        <v>1632</v>
      </c>
      <c r="AW216" s="42" t="s">
        <v>1632</v>
      </c>
      <c r="AX216" s="42"/>
      <c r="AY216" s="42"/>
      <c r="AZ216" s="42"/>
    </row>
    <row r="217" spans="1:52" ht="20.100000000000001" customHeight="1" x14ac:dyDescent="0.25">
      <c r="A217" s="39">
        <v>217</v>
      </c>
      <c r="B217" s="40" t="s">
        <v>1615</v>
      </c>
      <c r="C217" s="16"/>
      <c r="D217" s="17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56"/>
      <c r="R217" s="56"/>
      <c r="S217" s="56"/>
      <c r="T217" s="58"/>
      <c r="U217" s="58"/>
      <c r="V217" s="58"/>
      <c r="W217" s="58"/>
      <c r="X217" s="58"/>
      <c r="Y217" s="58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 t="s">
        <v>1633</v>
      </c>
      <c r="AV217" s="42" t="s">
        <v>1633</v>
      </c>
      <c r="AW217" s="42" t="s">
        <v>1633</v>
      </c>
      <c r="AX217" s="42"/>
      <c r="AY217" s="42"/>
      <c r="AZ217" s="42"/>
    </row>
    <row r="218" spans="1:52" ht="20.100000000000001" customHeight="1" x14ac:dyDescent="0.25">
      <c r="A218" s="39">
        <v>218</v>
      </c>
      <c r="B218" s="40" t="s">
        <v>1616</v>
      </c>
      <c r="C218" s="16"/>
      <c r="D218" s="17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56"/>
      <c r="R218" s="56"/>
      <c r="S218" s="56"/>
      <c r="T218" s="58"/>
      <c r="U218" s="58"/>
      <c r="V218" s="58"/>
      <c r="W218" s="58"/>
      <c r="X218" s="58"/>
      <c r="Y218" s="58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 t="s">
        <v>1633</v>
      </c>
      <c r="AV218" s="42" t="s">
        <v>1633</v>
      </c>
      <c r="AW218" s="42" t="s">
        <v>1633</v>
      </c>
      <c r="AX218" s="42"/>
      <c r="AY218" s="42"/>
      <c r="AZ218" s="42"/>
    </row>
    <row r="219" spans="1:52" ht="20.100000000000001" customHeight="1" x14ac:dyDescent="0.25">
      <c r="A219" s="39">
        <v>219</v>
      </c>
      <c r="B219" s="40" t="s">
        <v>1617</v>
      </c>
      <c r="C219" s="16"/>
      <c r="D219" s="17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56"/>
      <c r="R219" s="56"/>
      <c r="S219" s="56"/>
      <c r="T219" s="58"/>
      <c r="U219" s="58"/>
      <c r="V219" s="58"/>
      <c r="W219" s="58"/>
      <c r="X219" s="58"/>
      <c r="Y219" s="58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 t="s">
        <v>1633</v>
      </c>
      <c r="AV219" s="42" t="s">
        <v>1633</v>
      </c>
      <c r="AW219" s="42" t="s">
        <v>1633</v>
      </c>
      <c r="AX219" s="42"/>
      <c r="AY219" s="42"/>
      <c r="AZ219" s="42"/>
    </row>
    <row r="220" spans="1:52" ht="20.100000000000001" customHeight="1" x14ac:dyDescent="0.25">
      <c r="A220" s="39">
        <v>220</v>
      </c>
      <c r="B220" s="40" t="s">
        <v>1618</v>
      </c>
      <c r="C220" s="16"/>
      <c r="D220" s="17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56"/>
      <c r="R220" s="56"/>
      <c r="S220" s="56"/>
      <c r="T220" s="58"/>
      <c r="U220" s="58"/>
      <c r="V220" s="58"/>
      <c r="W220" s="58"/>
      <c r="X220" s="58"/>
      <c r="Y220" s="58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 t="s">
        <v>1634</v>
      </c>
      <c r="AV220" s="42" t="s">
        <v>1634</v>
      </c>
      <c r="AW220" s="42" t="s">
        <v>1634</v>
      </c>
      <c r="AX220" s="42"/>
      <c r="AY220" s="42"/>
      <c r="AZ220" s="42"/>
    </row>
    <row r="221" spans="1:52" ht="20.100000000000001" customHeight="1" x14ac:dyDescent="0.25">
      <c r="A221" s="39">
        <v>221</v>
      </c>
      <c r="B221" s="40" t="s">
        <v>1618</v>
      </c>
      <c r="C221" s="16"/>
      <c r="D221" s="17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56"/>
      <c r="R221" s="56"/>
      <c r="S221" s="56"/>
      <c r="T221" s="58"/>
      <c r="U221" s="58"/>
      <c r="V221" s="58"/>
      <c r="W221" s="58"/>
      <c r="X221" s="58"/>
      <c r="Y221" s="58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 t="s">
        <v>1635</v>
      </c>
      <c r="AV221" s="42" t="s">
        <v>1635</v>
      </c>
      <c r="AW221" s="42" t="s">
        <v>1635</v>
      </c>
      <c r="AX221" s="42"/>
      <c r="AY221" s="42"/>
      <c r="AZ221" s="42"/>
    </row>
    <row r="222" spans="1:52" ht="20.100000000000001" customHeight="1" x14ac:dyDescent="0.25">
      <c r="A222" s="39">
        <v>222</v>
      </c>
      <c r="B222" s="40" t="s">
        <v>1619</v>
      </c>
      <c r="C222" s="16"/>
      <c r="D222" s="17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56"/>
      <c r="R222" s="56"/>
      <c r="S222" s="56"/>
      <c r="T222" s="58"/>
      <c r="U222" s="58"/>
      <c r="V222" s="58"/>
      <c r="W222" s="58"/>
      <c r="X222" s="58"/>
      <c r="Y222" s="58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 t="s">
        <v>1636</v>
      </c>
      <c r="AV222" s="42" t="s">
        <v>1636</v>
      </c>
      <c r="AW222" s="42" t="s">
        <v>1636</v>
      </c>
      <c r="AX222" s="42"/>
      <c r="AY222" s="42"/>
      <c r="AZ222" s="42"/>
    </row>
    <row r="223" spans="1:52" ht="20.100000000000001" customHeight="1" x14ac:dyDescent="0.25">
      <c r="A223" s="39">
        <v>223</v>
      </c>
      <c r="B223" s="40" t="s">
        <v>1619</v>
      </c>
      <c r="C223" s="16"/>
      <c r="D223" s="17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56"/>
      <c r="R223" s="56"/>
      <c r="S223" s="56"/>
      <c r="T223" s="58"/>
      <c r="U223" s="58"/>
      <c r="V223" s="58"/>
      <c r="W223" s="58"/>
      <c r="X223" s="58"/>
      <c r="Y223" s="58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 t="s">
        <v>1637</v>
      </c>
      <c r="AV223" s="42" t="s">
        <v>1637</v>
      </c>
      <c r="AW223" s="42" t="s">
        <v>1637</v>
      </c>
      <c r="AX223" s="42"/>
      <c r="AY223" s="42"/>
      <c r="AZ223" s="42"/>
    </row>
    <row r="224" spans="1:52" ht="20.100000000000001" customHeight="1" x14ac:dyDescent="0.25">
      <c r="A224" s="39">
        <v>224</v>
      </c>
      <c r="B224" s="40" t="s">
        <v>1620</v>
      </c>
      <c r="C224" s="16"/>
      <c r="D224" s="17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56"/>
      <c r="R224" s="56"/>
      <c r="S224" s="56"/>
      <c r="T224" s="58"/>
      <c r="U224" s="58"/>
      <c r="V224" s="58"/>
      <c r="W224" s="58"/>
      <c r="X224" s="58"/>
      <c r="Y224" s="58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 t="s">
        <v>1638</v>
      </c>
      <c r="AV224" s="42" t="s">
        <v>1638</v>
      </c>
      <c r="AW224" s="42" t="s">
        <v>1638</v>
      </c>
      <c r="AX224" s="42"/>
      <c r="AY224" s="42"/>
      <c r="AZ224" s="42"/>
    </row>
    <row r="225" spans="1:52" ht="20.100000000000001" customHeight="1" x14ac:dyDescent="0.25">
      <c r="A225" s="39">
        <v>225</v>
      </c>
      <c r="B225" s="40" t="s">
        <v>1621</v>
      </c>
      <c r="C225" s="16"/>
      <c r="D225" s="17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56"/>
      <c r="R225" s="56"/>
      <c r="S225" s="56"/>
      <c r="T225" s="58"/>
      <c r="U225" s="58"/>
      <c r="V225" s="58"/>
      <c r="W225" s="58"/>
      <c r="X225" s="58"/>
      <c r="Y225" s="58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 t="s">
        <v>1639</v>
      </c>
      <c r="AV225" s="42" t="s">
        <v>1639</v>
      </c>
      <c r="AW225" s="42" t="s">
        <v>1639</v>
      </c>
      <c r="AX225" s="42"/>
      <c r="AY225" s="42"/>
      <c r="AZ225" s="42"/>
    </row>
    <row r="226" spans="1:52" ht="20.100000000000001" customHeight="1" x14ac:dyDescent="0.25">
      <c r="A226" s="39">
        <v>226</v>
      </c>
      <c r="B226" s="40" t="s">
        <v>1622</v>
      </c>
      <c r="C226" s="16"/>
      <c r="D226" s="17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56"/>
      <c r="R226" s="56"/>
      <c r="S226" s="56"/>
      <c r="T226" s="58"/>
      <c r="U226" s="58"/>
      <c r="V226" s="58"/>
      <c r="W226" s="58"/>
      <c r="X226" s="58"/>
      <c r="Y226" s="58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 t="s">
        <v>1640</v>
      </c>
      <c r="AV226" s="42" t="s">
        <v>1640</v>
      </c>
      <c r="AW226" s="42" t="s">
        <v>1640</v>
      </c>
      <c r="AX226" s="42"/>
      <c r="AY226" s="42"/>
      <c r="AZ226" s="42"/>
    </row>
    <row r="227" spans="1:52" ht="20.100000000000001" customHeight="1" x14ac:dyDescent="0.25">
      <c r="A227" s="39">
        <v>227</v>
      </c>
      <c r="B227" s="40" t="s">
        <v>1623</v>
      </c>
      <c r="C227" s="16"/>
      <c r="D227" s="17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56"/>
      <c r="R227" s="56"/>
      <c r="S227" s="56"/>
      <c r="T227" s="58"/>
      <c r="U227" s="58"/>
      <c r="V227" s="58"/>
      <c r="W227" s="58"/>
      <c r="X227" s="58"/>
      <c r="Y227" s="58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 t="s">
        <v>1641</v>
      </c>
      <c r="AV227" s="42" t="s">
        <v>1641</v>
      </c>
      <c r="AW227" s="42" t="s">
        <v>1641</v>
      </c>
      <c r="AX227" s="42"/>
      <c r="AY227" s="42"/>
      <c r="AZ227" s="42"/>
    </row>
    <row r="228" spans="1:52" ht="20.100000000000001" customHeight="1" x14ac:dyDescent="0.25">
      <c r="A228" s="39">
        <v>228</v>
      </c>
      <c r="B228" s="40" t="s">
        <v>1624</v>
      </c>
      <c r="C228" s="16"/>
      <c r="D228" s="17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56"/>
      <c r="R228" s="56"/>
      <c r="S228" s="56"/>
      <c r="T228" s="58"/>
      <c r="U228" s="58"/>
      <c r="V228" s="58"/>
      <c r="W228" s="58"/>
      <c r="X228" s="58"/>
      <c r="Y228" s="58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 t="s">
        <v>1642</v>
      </c>
      <c r="AV228" s="42" t="s">
        <v>1642</v>
      </c>
      <c r="AW228" s="42" t="s">
        <v>1642</v>
      </c>
      <c r="AX228" s="42"/>
      <c r="AY228" s="42"/>
      <c r="AZ228" s="42"/>
    </row>
    <row r="229" spans="1:52" ht="20.100000000000001" customHeight="1" x14ac:dyDescent="0.25">
      <c r="A229" s="39">
        <v>229</v>
      </c>
      <c r="B229" s="40" t="s">
        <v>1625</v>
      </c>
      <c r="C229" s="16"/>
      <c r="D229" s="17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56"/>
      <c r="R229" s="56"/>
      <c r="S229" s="56"/>
      <c r="T229" s="58"/>
      <c r="U229" s="58"/>
      <c r="V229" s="58"/>
      <c r="W229" s="58"/>
      <c r="X229" s="58"/>
      <c r="Y229" s="58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 t="s">
        <v>1643</v>
      </c>
      <c r="AV229" s="42" t="s">
        <v>1643</v>
      </c>
      <c r="AW229" s="42" t="s">
        <v>1643</v>
      </c>
      <c r="AX229" s="42"/>
      <c r="AY229" s="42"/>
      <c r="AZ229" s="42"/>
    </row>
    <row r="230" spans="1:52" ht="20.100000000000001" customHeight="1" x14ac:dyDescent="0.25">
      <c r="A230" s="39">
        <v>230</v>
      </c>
      <c r="B230" s="40" t="s">
        <v>1626</v>
      </c>
      <c r="C230" s="16"/>
      <c r="D230" s="17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56"/>
      <c r="R230" s="56"/>
      <c r="S230" s="56"/>
      <c r="T230" s="58"/>
      <c r="U230" s="58"/>
      <c r="V230" s="58"/>
      <c r="W230" s="58"/>
      <c r="X230" s="58"/>
      <c r="Y230" s="58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 t="s">
        <v>1644</v>
      </c>
      <c r="AV230" s="42" t="s">
        <v>1644</v>
      </c>
      <c r="AW230" s="42" t="s">
        <v>1644</v>
      </c>
      <c r="AX230" s="42"/>
      <c r="AY230" s="42"/>
      <c r="AZ230" s="42"/>
    </row>
    <row r="231" spans="1:52" ht="20.100000000000001" customHeight="1" x14ac:dyDescent="0.25">
      <c r="A231" s="39">
        <v>231</v>
      </c>
      <c r="B231" s="40" t="s">
        <v>1627</v>
      </c>
      <c r="C231" s="16"/>
      <c r="D231" s="17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56"/>
      <c r="R231" s="56"/>
      <c r="S231" s="56"/>
      <c r="T231" s="58"/>
      <c r="U231" s="58"/>
      <c r="V231" s="58"/>
      <c r="W231" s="58"/>
      <c r="X231" s="58"/>
      <c r="Y231" s="58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 t="s">
        <v>1645</v>
      </c>
      <c r="AV231" s="42" t="s">
        <v>1645</v>
      </c>
      <c r="AW231" s="42" t="s">
        <v>1645</v>
      </c>
      <c r="AX231" s="42"/>
      <c r="AY231" s="42"/>
      <c r="AZ231" s="42"/>
    </row>
    <row r="232" spans="1:52" ht="20.100000000000001" customHeight="1" x14ac:dyDescent="0.25">
      <c r="A232" s="39">
        <v>232</v>
      </c>
      <c r="B232" s="40" t="s">
        <v>1628</v>
      </c>
      <c r="C232" s="16"/>
      <c r="D232" s="17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56"/>
      <c r="R232" s="56"/>
      <c r="S232" s="56"/>
      <c r="T232" s="58"/>
      <c r="U232" s="58"/>
      <c r="V232" s="58"/>
      <c r="W232" s="58"/>
      <c r="X232" s="58"/>
      <c r="Y232" s="58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 t="s">
        <v>1646</v>
      </c>
      <c r="AV232" s="42" t="s">
        <v>1646</v>
      </c>
      <c r="AW232" s="42" t="s">
        <v>1646</v>
      </c>
      <c r="AX232" s="42"/>
      <c r="AY232" s="42"/>
      <c r="AZ232" s="42"/>
    </row>
    <row r="233" spans="1:52" ht="20.100000000000001" customHeight="1" x14ac:dyDescent="0.25">
      <c r="A233" s="39">
        <v>233</v>
      </c>
      <c r="B233" s="40" t="s">
        <v>1629</v>
      </c>
      <c r="C233" s="16"/>
      <c r="D233" s="17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56"/>
      <c r="R233" s="56"/>
      <c r="S233" s="56"/>
      <c r="T233" s="58"/>
      <c r="U233" s="58"/>
      <c r="V233" s="58"/>
      <c r="W233" s="58"/>
      <c r="X233" s="58"/>
      <c r="Y233" s="58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 t="s">
        <v>1647</v>
      </c>
      <c r="AV233" s="42" t="s">
        <v>1647</v>
      </c>
      <c r="AW233" s="42" t="s">
        <v>1647</v>
      </c>
      <c r="AX233" s="42"/>
      <c r="AY233" s="42"/>
      <c r="AZ233" s="42"/>
    </row>
    <row r="234" spans="1:52" ht="20.100000000000001" customHeight="1" x14ac:dyDescent="0.25">
      <c r="A234" s="39">
        <v>234</v>
      </c>
      <c r="B234" s="40" t="s">
        <v>1654</v>
      </c>
      <c r="C234" s="16"/>
      <c r="D234" s="17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56"/>
      <c r="R234" s="56"/>
      <c r="S234" s="56"/>
      <c r="T234" s="58"/>
      <c r="U234" s="58"/>
      <c r="V234" s="58"/>
      <c r="W234" s="58"/>
      <c r="X234" s="58"/>
      <c r="Y234" s="58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>
        <v>0</v>
      </c>
      <c r="AY234" s="42"/>
      <c r="AZ234" s="42"/>
    </row>
    <row r="235" spans="1:52" ht="20.100000000000001" customHeight="1" x14ac:dyDescent="0.25">
      <c r="A235" s="39">
        <v>235</v>
      </c>
      <c r="B235" s="40" t="s">
        <v>1655</v>
      </c>
      <c r="C235" s="16"/>
      <c r="D235" s="17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56"/>
      <c r="R235" s="56"/>
      <c r="S235" s="56"/>
      <c r="T235" s="58"/>
      <c r="U235" s="58"/>
      <c r="V235" s="58"/>
      <c r="W235" s="58"/>
      <c r="X235" s="58"/>
      <c r="Y235" s="58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>
        <v>496</v>
      </c>
      <c r="AY235" s="42"/>
      <c r="AZ235" s="42"/>
    </row>
  </sheetData>
  <autoFilter ref="A1:AZ235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Z37"/>
  <sheetViews>
    <sheetView zoomScaleNormal="100" workbookViewId="0">
      <pane xSplit="2" ySplit="1" topLeftCell="AH2" activePane="bottomRight" state="frozen"/>
      <selection pane="topRight" activeCell="C1" sqref="C1"/>
      <selection pane="bottomLeft" activeCell="A2" sqref="A2"/>
      <selection pane="bottomRight" activeCell="AH12" sqref="AH12"/>
    </sheetView>
  </sheetViews>
  <sheetFormatPr baseColWidth="10" defaultColWidth="10.85546875" defaultRowHeight="15.75" x14ac:dyDescent="0.25"/>
  <cols>
    <col min="1" max="1" width="6.85546875" style="2" bestFit="1" customWidth="1"/>
    <col min="2" max="2" width="30.5703125" style="2" customWidth="1"/>
    <col min="3" max="52" width="10.5703125" style="2" customWidth="1"/>
    <col min="53" max="16384" width="10.85546875" style="2"/>
  </cols>
  <sheetData>
    <row r="1" spans="1:52" ht="20.100000000000001" customHeight="1" x14ac:dyDescent="0.25">
      <c r="A1" s="1" t="s">
        <v>0</v>
      </c>
      <c r="B1" s="1" t="s">
        <v>1</v>
      </c>
      <c r="C1" s="54" t="s">
        <v>304</v>
      </c>
      <c r="D1" s="54" t="s">
        <v>306</v>
      </c>
      <c r="E1" s="54" t="s">
        <v>309</v>
      </c>
      <c r="F1" s="54" t="s">
        <v>312</v>
      </c>
      <c r="G1" s="54" t="s">
        <v>864</v>
      </c>
      <c r="H1" s="54" t="s">
        <v>318</v>
      </c>
      <c r="I1" s="54" t="s">
        <v>321</v>
      </c>
      <c r="J1" s="54" t="s">
        <v>323</v>
      </c>
      <c r="K1" s="54" t="s">
        <v>336</v>
      </c>
      <c r="L1" s="54" t="s">
        <v>339</v>
      </c>
      <c r="M1" s="54" t="s">
        <v>343</v>
      </c>
      <c r="N1" s="54" t="s">
        <v>328</v>
      </c>
      <c r="O1" s="54" t="s">
        <v>331</v>
      </c>
      <c r="P1" s="54" t="s">
        <v>333</v>
      </c>
      <c r="Q1" s="55" t="s">
        <v>345</v>
      </c>
      <c r="R1" s="55" t="s">
        <v>348</v>
      </c>
      <c r="S1" s="55" t="s">
        <v>351</v>
      </c>
      <c r="T1" s="57" t="s">
        <v>356</v>
      </c>
      <c r="U1" s="57" t="s">
        <v>354</v>
      </c>
      <c r="V1" s="57" t="s">
        <v>359</v>
      </c>
      <c r="W1" s="57" t="s">
        <v>362</v>
      </c>
      <c r="X1" s="57" t="s">
        <v>368</v>
      </c>
      <c r="Y1" s="57" t="s">
        <v>365</v>
      </c>
      <c r="Z1" s="1" t="s">
        <v>371</v>
      </c>
      <c r="AA1" s="1" t="s">
        <v>373</v>
      </c>
      <c r="AB1" s="1" t="s">
        <v>376</v>
      </c>
      <c r="AC1" s="1" t="s">
        <v>1007</v>
      </c>
      <c r="AD1" s="1" t="s">
        <v>379</v>
      </c>
      <c r="AE1" s="1" t="s">
        <v>381</v>
      </c>
      <c r="AF1" s="1" t="s">
        <v>383</v>
      </c>
      <c r="AG1" s="1" t="s">
        <v>1008</v>
      </c>
      <c r="AH1" s="1" t="s">
        <v>646</v>
      </c>
      <c r="AI1" s="1" t="s">
        <v>1009</v>
      </c>
      <c r="AJ1" s="1" t="s">
        <v>398</v>
      </c>
      <c r="AK1" s="1" t="s">
        <v>402</v>
      </c>
      <c r="AL1" s="1" t="s">
        <v>659</v>
      </c>
      <c r="AM1" s="1" t="s">
        <v>1010</v>
      </c>
      <c r="AN1" s="1" t="s">
        <v>411</v>
      </c>
      <c r="AO1" s="1" t="s">
        <v>414</v>
      </c>
      <c r="AP1" s="1" t="s">
        <v>438</v>
      </c>
      <c r="AQ1" s="1" t="s">
        <v>440</v>
      </c>
      <c r="AR1" s="1" t="s">
        <v>443</v>
      </c>
      <c r="AS1" s="1" t="s">
        <v>445</v>
      </c>
      <c r="AT1" s="1" t="s">
        <v>448</v>
      </c>
      <c r="AU1" s="1" t="s">
        <v>419</v>
      </c>
      <c r="AV1" s="1" t="s">
        <v>422</v>
      </c>
      <c r="AW1" s="1" t="s">
        <v>427</v>
      </c>
      <c r="AX1" s="1" t="s">
        <v>429</v>
      </c>
      <c r="AY1" s="1" t="s">
        <v>432</v>
      </c>
      <c r="AZ1" s="1" t="s">
        <v>435</v>
      </c>
    </row>
    <row r="2" spans="1:52" ht="20.100000000000001" customHeight="1" x14ac:dyDescent="0.25">
      <c r="A2" s="39">
        <v>1</v>
      </c>
      <c r="B2" s="48" t="s">
        <v>1023</v>
      </c>
      <c r="C2" s="16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56"/>
      <c r="R2" s="56" t="s">
        <v>1013</v>
      </c>
      <c r="S2" s="56"/>
      <c r="T2" s="58"/>
      <c r="U2" s="58"/>
      <c r="V2" s="58"/>
      <c r="W2" s="58"/>
      <c r="X2" s="58" t="s">
        <v>1013</v>
      </c>
      <c r="Y2" s="58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</row>
    <row r="3" spans="1:52" ht="20.100000000000001" customHeight="1" x14ac:dyDescent="0.25">
      <c r="A3" s="39">
        <v>2</v>
      </c>
      <c r="B3" s="48" t="s">
        <v>613</v>
      </c>
      <c r="C3" s="18" t="s">
        <v>1013</v>
      </c>
      <c r="D3" s="17"/>
      <c r="E3" s="17"/>
      <c r="F3" s="18"/>
      <c r="G3" s="18"/>
      <c r="H3" s="18"/>
      <c r="I3" s="18" t="s">
        <v>1013</v>
      </c>
      <c r="J3" s="18"/>
      <c r="K3" s="18"/>
      <c r="L3" s="18"/>
      <c r="M3" s="18"/>
      <c r="N3" s="18"/>
      <c r="O3" s="18"/>
      <c r="P3" s="18"/>
      <c r="Q3" s="56"/>
      <c r="R3" s="56"/>
      <c r="S3" s="56"/>
      <c r="T3" s="58" t="s">
        <v>1013</v>
      </c>
      <c r="U3" s="58"/>
      <c r="V3" s="58"/>
      <c r="W3" s="58"/>
      <c r="X3" s="58"/>
      <c r="Y3" s="58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 t="s">
        <v>1013</v>
      </c>
      <c r="AQ3" s="42"/>
      <c r="AR3" s="42"/>
      <c r="AS3" s="42"/>
      <c r="AT3" s="42"/>
      <c r="AU3" s="42"/>
      <c r="AV3" s="42" t="s">
        <v>1013</v>
      </c>
      <c r="AW3" s="42"/>
      <c r="AX3" s="42"/>
      <c r="AY3" s="42"/>
      <c r="AZ3" s="42"/>
    </row>
    <row r="4" spans="1:52" ht="20.100000000000001" customHeight="1" x14ac:dyDescent="0.25">
      <c r="A4" s="39">
        <v>3</v>
      </c>
      <c r="B4" s="48" t="s">
        <v>1016</v>
      </c>
      <c r="C4" s="16"/>
      <c r="D4" s="17"/>
      <c r="E4" s="17"/>
      <c r="F4" s="18"/>
      <c r="G4" s="18"/>
      <c r="H4" s="18" t="s">
        <v>1013</v>
      </c>
      <c r="I4" s="18"/>
      <c r="J4" s="18"/>
      <c r="K4" s="18"/>
      <c r="L4" s="18"/>
      <c r="M4" s="18"/>
      <c r="N4" s="18"/>
      <c r="O4" s="18"/>
      <c r="P4" s="18"/>
      <c r="Q4" s="56"/>
      <c r="R4" s="56"/>
      <c r="S4" s="56"/>
      <c r="T4" s="58"/>
      <c r="U4" s="58"/>
      <c r="V4" s="58"/>
      <c r="W4" s="58"/>
      <c r="X4" s="58"/>
      <c r="Y4" s="58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 t="s">
        <v>1013</v>
      </c>
      <c r="AU4" s="42"/>
      <c r="AV4" s="42"/>
      <c r="AW4" s="42"/>
      <c r="AX4" s="42"/>
      <c r="AY4" s="42"/>
      <c r="AZ4" s="42"/>
    </row>
    <row r="5" spans="1:52" ht="20.100000000000001" customHeight="1" x14ac:dyDescent="0.25">
      <c r="A5" s="39">
        <v>4</v>
      </c>
      <c r="B5" s="48" t="s">
        <v>1022</v>
      </c>
      <c r="C5" s="16"/>
      <c r="D5" s="17" t="s">
        <v>1013</v>
      </c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56"/>
      <c r="R5" s="56"/>
      <c r="S5" s="56"/>
      <c r="T5" s="58"/>
      <c r="U5" s="58"/>
      <c r="V5" s="58"/>
      <c r="W5" s="58"/>
      <c r="X5" s="58"/>
      <c r="Y5" s="58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</row>
    <row r="6" spans="1:52" ht="20.100000000000001" customHeight="1" x14ac:dyDescent="0.25">
      <c r="A6" s="39">
        <v>5</v>
      </c>
      <c r="B6" s="48" t="s">
        <v>1011</v>
      </c>
      <c r="C6" s="18" t="s">
        <v>1013</v>
      </c>
      <c r="D6" s="17"/>
      <c r="E6" s="17"/>
      <c r="F6" s="18"/>
      <c r="G6" s="18"/>
      <c r="H6" s="18"/>
      <c r="I6" s="18"/>
      <c r="J6" s="18"/>
      <c r="K6" s="18" t="s">
        <v>1013</v>
      </c>
      <c r="L6" s="18"/>
      <c r="M6" s="18"/>
      <c r="N6" s="18"/>
      <c r="O6" s="18"/>
      <c r="P6" s="18"/>
      <c r="Q6" s="56"/>
      <c r="R6" s="56"/>
      <c r="S6" s="56"/>
      <c r="T6" s="58"/>
      <c r="U6" s="58"/>
      <c r="V6" s="58"/>
      <c r="W6" s="58"/>
      <c r="X6" s="58"/>
      <c r="Y6" s="58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 t="s">
        <v>1013</v>
      </c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</row>
    <row r="7" spans="1:52" ht="20.100000000000001" customHeight="1" x14ac:dyDescent="0.25">
      <c r="A7" s="39">
        <v>6</v>
      </c>
      <c r="B7" s="48" t="s">
        <v>650</v>
      </c>
      <c r="C7" s="18"/>
      <c r="D7" s="17" t="s">
        <v>1013</v>
      </c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56"/>
      <c r="R7" s="56"/>
      <c r="S7" s="56"/>
      <c r="T7" s="58"/>
      <c r="U7" s="58"/>
      <c r="V7" s="58"/>
      <c r="W7" s="58" t="s">
        <v>1013</v>
      </c>
      <c r="X7" s="58" t="s">
        <v>1013</v>
      </c>
      <c r="Y7" s="58"/>
      <c r="Z7" s="42"/>
      <c r="AA7" s="42"/>
      <c r="AB7" s="42"/>
      <c r="AC7" s="42"/>
      <c r="AD7" s="42"/>
      <c r="AE7" s="42"/>
      <c r="AF7" s="42"/>
      <c r="AG7" s="42"/>
      <c r="AH7" s="42" t="s">
        <v>1013</v>
      </c>
      <c r="AI7" s="42" t="s">
        <v>1013</v>
      </c>
      <c r="AJ7" s="42"/>
      <c r="AK7" s="42"/>
      <c r="AL7" s="42"/>
      <c r="AM7" s="42"/>
      <c r="AN7" s="42"/>
      <c r="AO7" s="42"/>
      <c r="AP7" s="42"/>
      <c r="AQ7" s="42" t="s">
        <v>1013</v>
      </c>
      <c r="AR7" s="42"/>
      <c r="AS7" s="42"/>
      <c r="AT7" s="42" t="s">
        <v>1013</v>
      </c>
      <c r="AU7" s="42"/>
      <c r="AV7" s="42" t="s">
        <v>1013</v>
      </c>
      <c r="AW7" s="42" t="s">
        <v>1013</v>
      </c>
      <c r="AX7" s="42" t="s">
        <v>1013</v>
      </c>
      <c r="AY7" s="42" t="s">
        <v>1013</v>
      </c>
      <c r="AZ7" s="42"/>
    </row>
    <row r="8" spans="1:52" ht="20.100000000000001" customHeight="1" x14ac:dyDescent="0.25">
      <c r="A8" s="39">
        <v>7</v>
      </c>
      <c r="B8" s="48" t="s">
        <v>1036</v>
      </c>
      <c r="C8" s="16"/>
      <c r="D8" s="17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56"/>
      <c r="R8" s="56"/>
      <c r="S8" s="56"/>
      <c r="T8" s="58"/>
      <c r="U8" s="58"/>
      <c r="V8" s="58"/>
      <c r="W8" s="58"/>
      <c r="X8" s="58"/>
      <c r="Y8" s="58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 t="s">
        <v>1013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</row>
    <row r="9" spans="1:52" ht="20.100000000000001" customHeight="1" x14ac:dyDescent="0.25">
      <c r="A9" s="39">
        <v>8</v>
      </c>
      <c r="B9" s="48" t="s">
        <v>657</v>
      </c>
      <c r="C9" s="16"/>
      <c r="D9" s="17"/>
      <c r="E9" s="17"/>
      <c r="F9" s="18"/>
      <c r="G9" s="18"/>
      <c r="H9" s="18"/>
      <c r="I9" s="18"/>
      <c r="J9" s="18"/>
      <c r="K9" s="18"/>
      <c r="L9" s="18"/>
      <c r="M9" s="18"/>
      <c r="N9" s="18"/>
      <c r="O9" s="18" t="s">
        <v>1013</v>
      </c>
      <c r="P9" s="18" t="s">
        <v>1013</v>
      </c>
      <c r="Q9" s="56"/>
      <c r="R9" s="56"/>
      <c r="S9" s="56"/>
      <c r="T9" s="58"/>
      <c r="U9" s="58"/>
      <c r="V9" s="58"/>
      <c r="W9" s="58"/>
      <c r="X9" s="58" t="s">
        <v>1013</v>
      </c>
      <c r="Y9" s="58"/>
      <c r="Z9" s="42"/>
      <c r="AA9" s="42"/>
      <c r="AB9" s="42"/>
      <c r="AC9" s="42"/>
      <c r="AD9" s="42"/>
      <c r="AE9" s="42"/>
      <c r="AF9" s="42" t="s">
        <v>1013</v>
      </c>
      <c r="AG9" s="42" t="s">
        <v>1013</v>
      </c>
      <c r="AH9" s="42"/>
      <c r="AI9" s="42"/>
      <c r="AJ9" s="42"/>
      <c r="AK9" s="42" t="s">
        <v>1013</v>
      </c>
      <c r="AL9" s="42"/>
      <c r="AM9" s="42"/>
      <c r="AN9" s="42"/>
      <c r="AO9" s="42"/>
      <c r="AP9" s="42"/>
      <c r="AQ9" s="42" t="s">
        <v>1013</v>
      </c>
      <c r="AR9" s="42"/>
      <c r="AS9" s="42"/>
      <c r="AT9" s="42"/>
      <c r="AU9" s="42"/>
      <c r="AV9" s="42"/>
      <c r="AW9" s="42"/>
      <c r="AX9" s="42" t="s">
        <v>1013</v>
      </c>
      <c r="AY9" s="42"/>
      <c r="AZ9" s="42"/>
    </row>
    <row r="10" spans="1:52" ht="20.100000000000001" customHeight="1" x14ac:dyDescent="0.25">
      <c r="A10" s="39">
        <v>9</v>
      </c>
      <c r="B10" s="48" t="s">
        <v>1028</v>
      </c>
      <c r="C10" s="16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56"/>
      <c r="R10" s="56"/>
      <c r="S10" s="56"/>
      <c r="T10" s="58"/>
      <c r="U10" s="58"/>
      <c r="V10" s="58"/>
      <c r="W10" s="58" t="s">
        <v>1013</v>
      </c>
      <c r="X10" s="58"/>
      <c r="Y10" s="58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</row>
    <row r="11" spans="1:52" ht="20.100000000000001" customHeight="1" x14ac:dyDescent="0.25">
      <c r="A11" s="39">
        <v>10</v>
      </c>
      <c r="B11" s="48" t="s">
        <v>1026</v>
      </c>
      <c r="C11" s="16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56"/>
      <c r="R11" s="56"/>
      <c r="S11" s="56"/>
      <c r="T11" s="58"/>
      <c r="U11" s="58"/>
      <c r="V11" s="58"/>
      <c r="W11" s="58" t="s">
        <v>1013</v>
      </c>
      <c r="X11" s="58"/>
      <c r="Y11" s="58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 t="s">
        <v>1013</v>
      </c>
      <c r="AY11" s="42"/>
      <c r="AZ11" s="42"/>
    </row>
    <row r="12" spans="1:52" ht="20.100000000000001" customHeight="1" x14ac:dyDescent="0.25">
      <c r="A12" s="39">
        <v>11</v>
      </c>
      <c r="B12" s="48" t="s">
        <v>1030</v>
      </c>
      <c r="C12" s="16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56"/>
      <c r="R12" s="56"/>
      <c r="S12" s="56"/>
      <c r="T12" s="58"/>
      <c r="U12" s="58"/>
      <c r="V12" s="58"/>
      <c r="W12" s="58"/>
      <c r="X12" s="58"/>
      <c r="Y12" s="58"/>
      <c r="Z12" s="42"/>
      <c r="AA12" s="42"/>
      <c r="AB12" s="42" t="s">
        <v>1013</v>
      </c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</row>
    <row r="13" spans="1:52" ht="20.100000000000001" customHeight="1" x14ac:dyDescent="0.25">
      <c r="A13" s="39">
        <v>12</v>
      </c>
      <c r="B13" s="48" t="s">
        <v>1037</v>
      </c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56"/>
      <c r="R13" s="56"/>
      <c r="S13" s="56"/>
      <c r="T13" s="58"/>
      <c r="U13" s="58"/>
      <c r="V13" s="58"/>
      <c r="W13" s="58"/>
      <c r="X13" s="58"/>
      <c r="Y13" s="58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 t="s">
        <v>1013</v>
      </c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</row>
    <row r="14" spans="1:52" ht="20.100000000000001" customHeight="1" x14ac:dyDescent="0.25">
      <c r="A14" s="39">
        <v>13</v>
      </c>
      <c r="B14" s="48" t="s">
        <v>1024</v>
      </c>
      <c r="C14" s="16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56"/>
      <c r="R14" s="56"/>
      <c r="S14" s="56" t="s">
        <v>1013</v>
      </c>
      <c r="T14" s="58"/>
      <c r="U14" s="58"/>
      <c r="V14" s="58"/>
      <c r="W14" s="58"/>
      <c r="X14" s="58"/>
      <c r="Y14" s="58"/>
      <c r="Z14" s="42" t="s">
        <v>1013</v>
      </c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</row>
    <row r="15" spans="1:52" ht="20.100000000000001" customHeight="1" x14ac:dyDescent="0.25">
      <c r="A15" s="39">
        <v>14</v>
      </c>
      <c r="B15" s="48" t="s">
        <v>1015</v>
      </c>
      <c r="C15" s="16"/>
      <c r="D15" s="17"/>
      <c r="E15" s="17" t="s">
        <v>1013</v>
      </c>
      <c r="F15" s="18"/>
      <c r="G15" s="18"/>
      <c r="H15" s="18"/>
      <c r="I15" s="18"/>
      <c r="J15" s="18"/>
      <c r="K15" s="18"/>
      <c r="L15" s="18"/>
      <c r="M15" s="18"/>
      <c r="N15" s="18" t="s">
        <v>1013</v>
      </c>
      <c r="O15" s="18"/>
      <c r="P15" s="18"/>
      <c r="Q15" s="56"/>
      <c r="R15" s="56"/>
      <c r="S15" s="56"/>
      <c r="T15" s="58"/>
      <c r="U15" s="58"/>
      <c r="V15" s="58"/>
      <c r="W15" s="58"/>
      <c r="X15" s="58"/>
      <c r="Y15" s="58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</row>
    <row r="16" spans="1:52" ht="20.100000000000001" customHeight="1" x14ac:dyDescent="0.25">
      <c r="A16" s="39">
        <v>15</v>
      </c>
      <c r="B16" s="48" t="s">
        <v>1017</v>
      </c>
      <c r="C16" s="16"/>
      <c r="D16" s="17"/>
      <c r="E16" s="17"/>
      <c r="F16" s="18"/>
      <c r="G16" s="18"/>
      <c r="H16" s="18" t="s">
        <v>1013</v>
      </c>
      <c r="I16" s="18"/>
      <c r="J16" s="18"/>
      <c r="K16" s="18" t="s">
        <v>1013</v>
      </c>
      <c r="L16" s="18"/>
      <c r="M16" s="18"/>
      <c r="N16" s="18"/>
      <c r="O16" s="18"/>
      <c r="P16" s="18"/>
      <c r="Q16" s="56"/>
      <c r="R16" s="56"/>
      <c r="S16" s="56"/>
      <c r="T16" s="58"/>
      <c r="U16" s="58"/>
      <c r="V16" s="58"/>
      <c r="W16" s="58" t="s">
        <v>1013</v>
      </c>
      <c r="X16" s="58"/>
      <c r="Y16" s="58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 t="s">
        <v>1013</v>
      </c>
      <c r="AY16" s="42"/>
      <c r="AZ16" s="42"/>
    </row>
    <row r="17" spans="1:52" ht="20.100000000000001" customHeight="1" x14ac:dyDescent="0.25">
      <c r="A17" s="39">
        <v>16</v>
      </c>
      <c r="B17" s="48" t="s">
        <v>1038</v>
      </c>
      <c r="C17" s="16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56"/>
      <c r="R17" s="56"/>
      <c r="S17" s="56"/>
      <c r="T17" s="58"/>
      <c r="U17" s="58"/>
      <c r="V17" s="58"/>
      <c r="W17" s="58"/>
      <c r="X17" s="58"/>
      <c r="Y17" s="58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 t="s">
        <v>1013</v>
      </c>
      <c r="AV17" s="42"/>
      <c r="AW17" s="42"/>
      <c r="AX17" s="42"/>
      <c r="AY17" s="42"/>
      <c r="AZ17" s="42"/>
    </row>
    <row r="18" spans="1:52" ht="20.100000000000001" customHeight="1" x14ac:dyDescent="0.25">
      <c r="A18" s="39">
        <v>17</v>
      </c>
      <c r="B18" s="48" t="s">
        <v>602</v>
      </c>
      <c r="C18" s="16"/>
      <c r="D18" s="17"/>
      <c r="E18" s="17"/>
      <c r="F18" s="18"/>
      <c r="G18" s="18"/>
      <c r="H18" s="18"/>
      <c r="I18" s="18"/>
      <c r="J18" s="18"/>
      <c r="K18" s="18"/>
      <c r="L18" s="18"/>
      <c r="M18" s="18" t="s">
        <v>1013</v>
      </c>
      <c r="N18" s="18"/>
      <c r="O18" s="18" t="s">
        <v>1013</v>
      </c>
      <c r="P18" s="18" t="s">
        <v>1013</v>
      </c>
      <c r="Q18" s="56"/>
      <c r="R18" s="56"/>
      <c r="S18" s="56"/>
      <c r="T18" s="58"/>
      <c r="U18" s="58"/>
      <c r="V18" s="58"/>
      <c r="W18" s="58" t="s">
        <v>1013</v>
      </c>
      <c r="X18" s="58"/>
      <c r="Y18" s="58"/>
      <c r="Z18" s="42"/>
      <c r="AA18" s="42"/>
      <c r="AB18" s="42"/>
      <c r="AC18" s="42"/>
      <c r="AD18" s="42"/>
      <c r="AE18" s="42"/>
      <c r="AF18" s="42"/>
      <c r="AG18" s="42"/>
      <c r="AH18" s="42" t="s">
        <v>1013</v>
      </c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</row>
    <row r="19" spans="1:52" ht="20.100000000000001" customHeight="1" x14ac:dyDescent="0.25">
      <c r="A19" s="39">
        <v>18</v>
      </c>
      <c r="B19" s="48" t="s">
        <v>1018</v>
      </c>
      <c r="C19" s="16"/>
      <c r="D19" s="17"/>
      <c r="E19" s="17"/>
      <c r="F19" s="18"/>
      <c r="G19" s="18"/>
      <c r="H19" s="18"/>
      <c r="I19" s="18"/>
      <c r="J19" s="18" t="s">
        <v>1013</v>
      </c>
      <c r="K19" s="18"/>
      <c r="L19" s="18"/>
      <c r="M19" s="18"/>
      <c r="N19" s="18"/>
      <c r="O19" s="18"/>
      <c r="P19" s="18"/>
      <c r="Q19" s="56"/>
      <c r="R19" s="56"/>
      <c r="S19" s="56"/>
      <c r="T19" s="58"/>
      <c r="U19" s="58"/>
      <c r="V19" s="58"/>
      <c r="W19" s="58"/>
      <c r="X19" s="58"/>
      <c r="Y19" s="58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</row>
    <row r="20" spans="1:52" ht="20.100000000000001" customHeight="1" x14ac:dyDescent="0.25">
      <c r="A20" s="39">
        <v>19</v>
      </c>
      <c r="B20" s="48" t="s">
        <v>1032</v>
      </c>
      <c r="C20" s="16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6"/>
      <c r="R20" s="56"/>
      <c r="S20" s="56"/>
      <c r="T20" s="58"/>
      <c r="U20" s="58"/>
      <c r="V20" s="58"/>
      <c r="W20" s="58"/>
      <c r="X20" s="58"/>
      <c r="Y20" s="58"/>
      <c r="Z20" s="42"/>
      <c r="AA20" s="42"/>
      <c r="AB20" s="42"/>
      <c r="AC20" s="42"/>
      <c r="AD20" s="42"/>
      <c r="AE20" s="42"/>
      <c r="AF20" s="42"/>
      <c r="AG20" s="42"/>
      <c r="AH20" s="42" t="s">
        <v>1013</v>
      </c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</row>
    <row r="21" spans="1:52" ht="20.100000000000001" customHeight="1" x14ac:dyDescent="0.25">
      <c r="A21" s="39">
        <v>20</v>
      </c>
      <c r="B21" s="48" t="s">
        <v>1031</v>
      </c>
      <c r="C21" s="16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56"/>
      <c r="R21" s="56"/>
      <c r="S21" s="56"/>
      <c r="T21" s="58"/>
      <c r="U21" s="58"/>
      <c r="V21" s="58"/>
      <c r="W21" s="58"/>
      <c r="X21" s="58"/>
      <c r="Y21" s="58"/>
      <c r="Z21" s="42"/>
      <c r="AA21" s="42"/>
      <c r="AB21" s="42"/>
      <c r="AC21" s="42"/>
      <c r="AD21" s="42" t="s">
        <v>1013</v>
      </c>
      <c r="AE21" s="42"/>
      <c r="AF21" s="42" t="s">
        <v>1013</v>
      </c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</row>
    <row r="22" spans="1:52" ht="20.100000000000001" customHeight="1" x14ac:dyDescent="0.25">
      <c r="A22" s="39">
        <v>21</v>
      </c>
      <c r="B22" s="48" t="s">
        <v>1035</v>
      </c>
      <c r="C22" s="16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56"/>
      <c r="R22" s="56" t="s">
        <v>1013</v>
      </c>
      <c r="S22" s="56"/>
      <c r="T22" s="58"/>
      <c r="U22" s="58"/>
      <c r="V22" s="58"/>
      <c r="W22" s="58"/>
      <c r="X22" s="58"/>
      <c r="Y22" s="5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 t="s">
        <v>1013</v>
      </c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</row>
    <row r="23" spans="1:52" ht="20.100000000000001" customHeight="1" x14ac:dyDescent="0.25">
      <c r="A23" s="39">
        <v>22</v>
      </c>
      <c r="B23" s="48" t="s">
        <v>691</v>
      </c>
      <c r="C23" s="16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56"/>
      <c r="R23" s="56"/>
      <c r="S23" s="56"/>
      <c r="T23" s="58"/>
      <c r="U23" s="58"/>
      <c r="V23" s="58"/>
      <c r="W23" s="58"/>
      <c r="X23" s="58"/>
      <c r="Y23" s="58"/>
      <c r="Z23" s="42"/>
      <c r="AA23" s="42"/>
      <c r="AB23" s="42"/>
      <c r="AC23" s="42"/>
      <c r="AD23" s="42" t="s">
        <v>1013</v>
      </c>
      <c r="AE23" s="42"/>
      <c r="AF23" s="42" t="s">
        <v>1013</v>
      </c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 t="s">
        <v>1013</v>
      </c>
      <c r="AT23" s="42"/>
      <c r="AU23" s="42"/>
      <c r="AV23" s="42"/>
      <c r="AW23" s="42"/>
      <c r="AX23" s="42"/>
      <c r="AY23" s="42"/>
      <c r="AZ23" s="42"/>
    </row>
    <row r="24" spans="1:52" ht="20.100000000000001" customHeight="1" x14ac:dyDescent="0.25">
      <c r="A24" s="39">
        <v>23</v>
      </c>
      <c r="B24" s="48" t="s">
        <v>616</v>
      </c>
      <c r="C24" s="18"/>
      <c r="D24" s="17" t="s">
        <v>1013</v>
      </c>
      <c r="E24" s="17"/>
      <c r="F24" s="18"/>
      <c r="G24" s="18"/>
      <c r="H24" s="18"/>
      <c r="I24" s="18"/>
      <c r="J24" s="18" t="s">
        <v>1013</v>
      </c>
      <c r="K24" s="18"/>
      <c r="L24" s="18"/>
      <c r="M24" s="18"/>
      <c r="N24" s="18"/>
      <c r="O24" s="18"/>
      <c r="P24" s="18"/>
      <c r="Q24" s="56" t="s">
        <v>1013</v>
      </c>
      <c r="R24" s="56"/>
      <c r="S24" s="56"/>
      <c r="T24" s="58"/>
      <c r="U24" s="58"/>
      <c r="V24" s="58" t="s">
        <v>1013</v>
      </c>
      <c r="W24" s="58"/>
      <c r="X24" s="58"/>
      <c r="Y24" s="58"/>
      <c r="Z24" s="42"/>
      <c r="AA24" s="42"/>
      <c r="AB24" s="42" t="s">
        <v>1013</v>
      </c>
      <c r="AC24" s="42"/>
      <c r="AD24" s="42"/>
      <c r="AE24" s="42"/>
      <c r="AF24" s="42"/>
      <c r="AG24" s="42"/>
      <c r="AH24" s="42"/>
      <c r="AI24" s="42"/>
      <c r="AJ24" s="42" t="s">
        <v>1013</v>
      </c>
      <c r="AK24" s="42"/>
      <c r="AL24" s="42" t="s">
        <v>1013</v>
      </c>
      <c r="AM24" s="42" t="s">
        <v>1013</v>
      </c>
      <c r="AN24" s="42"/>
      <c r="AO24" s="42"/>
      <c r="AP24" s="42"/>
      <c r="AQ24" s="42"/>
      <c r="AR24" s="42" t="s">
        <v>1013</v>
      </c>
      <c r="AS24" s="42"/>
      <c r="AT24" s="42"/>
      <c r="AU24" s="42"/>
      <c r="AV24" s="42"/>
      <c r="AW24" s="42"/>
      <c r="AX24" s="42"/>
      <c r="AY24" s="42"/>
      <c r="AZ24" s="42"/>
    </row>
    <row r="25" spans="1:52" ht="20.100000000000001" customHeight="1" x14ac:dyDescent="0.25">
      <c r="A25" s="39">
        <v>24</v>
      </c>
      <c r="B25" s="48" t="s">
        <v>1029</v>
      </c>
      <c r="C25" s="16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56"/>
      <c r="R25" s="56"/>
      <c r="S25" s="56"/>
      <c r="T25" s="58"/>
      <c r="U25" s="58"/>
      <c r="V25" s="58"/>
      <c r="W25" s="58"/>
      <c r="X25" s="58" t="s">
        <v>1013</v>
      </c>
      <c r="Y25" s="58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</row>
    <row r="26" spans="1:52" ht="20.100000000000001" customHeight="1" x14ac:dyDescent="0.25">
      <c r="A26" s="39">
        <v>25</v>
      </c>
      <c r="B26" s="48" t="s">
        <v>1019</v>
      </c>
      <c r="C26" s="16"/>
      <c r="D26" s="17"/>
      <c r="E26" s="17"/>
      <c r="F26" s="18"/>
      <c r="G26" s="18"/>
      <c r="H26" s="18"/>
      <c r="I26" s="18"/>
      <c r="J26" s="18"/>
      <c r="K26" s="18" t="s">
        <v>1013</v>
      </c>
      <c r="L26" s="18"/>
      <c r="M26" s="18"/>
      <c r="N26" s="18"/>
      <c r="O26" s="18"/>
      <c r="P26" s="18"/>
      <c r="Q26" s="56"/>
      <c r="R26" s="56"/>
      <c r="S26" s="56"/>
      <c r="T26" s="58"/>
      <c r="U26" s="58"/>
      <c r="V26" s="58"/>
      <c r="W26" s="58"/>
      <c r="X26" s="58"/>
      <c r="Y26" s="58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</row>
    <row r="27" spans="1:52" ht="20.100000000000001" customHeight="1" x14ac:dyDescent="0.25">
      <c r="A27" s="39">
        <v>26</v>
      </c>
      <c r="B27" s="48" t="s">
        <v>1020</v>
      </c>
      <c r="C27" s="16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6" t="s">
        <v>1013</v>
      </c>
      <c r="R27" s="56"/>
      <c r="S27" s="56"/>
      <c r="T27" s="58"/>
      <c r="U27" s="58"/>
      <c r="V27" s="58"/>
      <c r="W27" s="58"/>
      <c r="X27" s="58"/>
      <c r="Y27" s="58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</row>
    <row r="28" spans="1:52" ht="20.100000000000001" customHeight="1" x14ac:dyDescent="0.25">
      <c r="A28" s="39">
        <v>27</v>
      </c>
      <c r="B28" s="48" t="s">
        <v>1014</v>
      </c>
      <c r="C28" s="16"/>
      <c r="D28" s="17"/>
      <c r="E28" s="17" t="s">
        <v>1013</v>
      </c>
      <c r="F28" s="18"/>
      <c r="G28" s="18"/>
      <c r="H28" s="18"/>
      <c r="I28" s="18"/>
      <c r="J28" s="18"/>
      <c r="K28" s="18"/>
      <c r="L28" s="18"/>
      <c r="M28" s="18"/>
      <c r="N28" s="18" t="s">
        <v>1013</v>
      </c>
      <c r="O28" s="18"/>
      <c r="P28" s="18"/>
      <c r="Q28" s="56"/>
      <c r="R28" s="56"/>
      <c r="S28" s="56"/>
      <c r="T28" s="58"/>
      <c r="U28" s="58"/>
      <c r="V28" s="58"/>
      <c r="W28" s="58"/>
      <c r="X28" s="58"/>
      <c r="Y28" s="58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</row>
    <row r="29" spans="1:52" ht="20.100000000000001" customHeight="1" x14ac:dyDescent="0.25">
      <c r="A29" s="39">
        <v>28</v>
      </c>
      <c r="B29" s="48" t="s">
        <v>1025</v>
      </c>
      <c r="C29" s="16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56"/>
      <c r="R29" s="56"/>
      <c r="S29" s="56" t="s">
        <v>1013</v>
      </c>
      <c r="T29" s="58"/>
      <c r="U29" s="58"/>
      <c r="V29" s="58"/>
      <c r="W29" s="58"/>
      <c r="X29" s="58"/>
      <c r="Y29" s="58"/>
      <c r="Z29" s="42" t="s">
        <v>1013</v>
      </c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</row>
    <row r="30" spans="1:52" ht="20.100000000000001" customHeight="1" x14ac:dyDescent="0.25">
      <c r="A30" s="39">
        <v>29</v>
      </c>
      <c r="B30" s="48" t="s">
        <v>1027</v>
      </c>
      <c r="C30" s="16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56"/>
      <c r="R30" s="56"/>
      <c r="S30" s="56"/>
      <c r="T30" s="58"/>
      <c r="U30" s="58"/>
      <c r="V30" s="58"/>
      <c r="W30" s="58" t="s">
        <v>1013</v>
      </c>
      <c r="X30" s="58"/>
      <c r="Y30" s="58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</row>
    <row r="31" spans="1:52" ht="20.100000000000001" customHeight="1" x14ac:dyDescent="0.25">
      <c r="A31" s="39">
        <v>30</v>
      </c>
      <c r="B31" s="48" t="s">
        <v>1021</v>
      </c>
      <c r="C31" s="18"/>
      <c r="D31" s="17" t="s">
        <v>1013</v>
      </c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56"/>
      <c r="R31" s="56"/>
      <c r="S31" s="56"/>
      <c r="T31" s="58"/>
      <c r="U31" s="58"/>
      <c r="V31" s="58"/>
      <c r="W31" s="58"/>
      <c r="X31" s="58"/>
      <c r="Y31" s="58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</row>
    <row r="32" spans="1:52" ht="20.100000000000001" customHeight="1" x14ac:dyDescent="0.25">
      <c r="A32" s="39">
        <v>31</v>
      </c>
      <c r="B32" s="48" t="s">
        <v>1012</v>
      </c>
      <c r="C32" s="18"/>
      <c r="D32" s="17" t="s">
        <v>1013</v>
      </c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56"/>
      <c r="R32" s="56"/>
      <c r="S32" s="56"/>
      <c r="T32" s="58"/>
      <c r="U32" s="58"/>
      <c r="V32" s="58"/>
      <c r="W32" s="58"/>
      <c r="X32" s="58"/>
      <c r="Y32" s="58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</row>
    <row r="33" spans="1:52" ht="20.100000000000001" customHeight="1" x14ac:dyDescent="0.25">
      <c r="A33" s="39">
        <v>32</v>
      </c>
      <c r="B33" s="48" t="s">
        <v>626</v>
      </c>
      <c r="C33" s="16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56"/>
      <c r="R33" s="56"/>
      <c r="S33" s="56"/>
      <c r="T33" s="58"/>
      <c r="U33" s="58"/>
      <c r="V33" s="58"/>
      <c r="W33" s="58"/>
      <c r="X33" s="58"/>
      <c r="Y33" s="58" t="s">
        <v>1013</v>
      </c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</row>
    <row r="34" spans="1:52" ht="20.100000000000001" customHeight="1" x14ac:dyDescent="0.25">
      <c r="A34" s="39">
        <v>33</v>
      </c>
      <c r="B34" s="48" t="s">
        <v>1039</v>
      </c>
      <c r="C34" s="16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56"/>
      <c r="R34" s="56"/>
      <c r="S34" s="56"/>
      <c r="T34" s="58"/>
      <c r="U34" s="58"/>
      <c r="V34" s="58"/>
      <c r="W34" s="58"/>
      <c r="X34" s="58"/>
      <c r="Y34" s="58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 t="s">
        <v>1013</v>
      </c>
      <c r="AV34" s="42"/>
      <c r="AW34" s="42"/>
      <c r="AX34" s="42"/>
      <c r="AY34" s="42"/>
      <c r="AZ34" s="42"/>
    </row>
    <row r="35" spans="1:52" ht="20.100000000000001" customHeight="1" x14ac:dyDescent="0.25">
      <c r="A35" s="39">
        <v>34</v>
      </c>
      <c r="B35" s="48" t="s">
        <v>554</v>
      </c>
      <c r="C35" s="16"/>
      <c r="D35" s="17"/>
      <c r="E35" s="17"/>
      <c r="F35" s="18" t="s">
        <v>1013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56"/>
      <c r="R35" s="56"/>
      <c r="S35" s="56"/>
      <c r="T35" s="58"/>
      <c r="U35" s="58"/>
      <c r="V35" s="58"/>
      <c r="W35" s="58"/>
      <c r="X35" s="58"/>
      <c r="Y35" s="58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</row>
    <row r="36" spans="1:52" ht="20.100000000000001" customHeight="1" x14ac:dyDescent="0.25">
      <c r="A36" s="39">
        <v>35</v>
      </c>
      <c r="B36" s="48" t="s">
        <v>1034</v>
      </c>
      <c r="C36" s="16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56"/>
      <c r="R36" s="56"/>
      <c r="S36" s="56"/>
      <c r="T36" s="58"/>
      <c r="U36" s="58"/>
      <c r="V36" s="58"/>
      <c r="W36" s="58"/>
      <c r="X36" s="58"/>
      <c r="Y36" s="58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 t="s">
        <v>1013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</row>
    <row r="37" spans="1:52" ht="20.100000000000001" customHeight="1" x14ac:dyDescent="0.25">
      <c r="A37" s="39">
        <v>36</v>
      </c>
      <c r="B37" s="48" t="s">
        <v>1033</v>
      </c>
      <c r="C37" s="16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56"/>
      <c r="R37" s="56"/>
      <c r="S37" s="56"/>
      <c r="T37" s="58"/>
      <c r="U37" s="58"/>
      <c r="V37" s="58"/>
      <c r="W37" s="58"/>
      <c r="X37" s="58"/>
      <c r="Y37" s="58"/>
      <c r="Z37" s="42"/>
      <c r="AA37" s="42"/>
      <c r="AB37" s="42"/>
      <c r="AC37" s="42"/>
      <c r="AD37" s="42"/>
      <c r="AE37" s="42"/>
      <c r="AF37" s="42"/>
      <c r="AG37" s="42"/>
      <c r="AH37" s="42" t="s">
        <v>1013</v>
      </c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</row>
  </sheetData>
  <autoFilter ref="A1:AZ37">
    <sortState ref="A2:AZ236">
      <sortCondition ref="B1:B236"/>
    </sortState>
  </autoFilter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905"/>
  <sheetViews>
    <sheetView zoomScaleNormal="100" workbookViewId="0">
      <pane ySplit="2" topLeftCell="A390" activePane="bottomLeft" state="frozen"/>
      <selection activeCell="A2" sqref="A2"/>
      <selection pane="bottomLeft" activeCell="I416" sqref="I416"/>
    </sheetView>
  </sheetViews>
  <sheetFormatPr baseColWidth="10" defaultColWidth="10.85546875" defaultRowHeight="15.75" x14ac:dyDescent="0.25"/>
  <cols>
    <col min="1" max="1" width="6.85546875" style="2" bestFit="1" customWidth="1"/>
    <col min="2" max="2" width="15" style="68" bestFit="1" customWidth="1"/>
    <col min="3" max="3" width="17" style="68" bestFit="1" customWidth="1"/>
    <col min="4" max="8" width="15.5703125" style="2" hidden="1" customWidth="1"/>
    <col min="9" max="11" width="15.5703125" style="2" customWidth="1"/>
    <col min="12" max="12" width="16.85546875" style="2" bestFit="1" customWidth="1"/>
    <col min="13" max="13" width="15.5703125" style="2" customWidth="1"/>
    <col min="14" max="14" width="50.5703125" style="2" customWidth="1"/>
    <col min="15" max="16384" width="10.85546875" style="2"/>
  </cols>
  <sheetData>
    <row r="1" spans="1:14" ht="20.100000000000001" customHeight="1" x14ac:dyDescent="0.25">
      <c r="A1" s="1" t="s">
        <v>0</v>
      </c>
      <c r="B1" s="1" t="s">
        <v>2298</v>
      </c>
      <c r="C1" s="1" t="s">
        <v>2299</v>
      </c>
      <c r="D1" s="1" t="s">
        <v>2301</v>
      </c>
      <c r="E1" s="1" t="s">
        <v>3</v>
      </c>
      <c r="F1" s="1" t="s">
        <v>4</v>
      </c>
      <c r="G1" s="1" t="s">
        <v>2302</v>
      </c>
      <c r="H1" s="1" t="s">
        <v>5</v>
      </c>
      <c r="I1" s="1" t="s">
        <v>6</v>
      </c>
      <c r="J1" s="1" t="s">
        <v>2303</v>
      </c>
      <c r="K1" s="1" t="s">
        <v>2304</v>
      </c>
      <c r="L1" s="1" t="s">
        <v>2305</v>
      </c>
      <c r="M1" s="1" t="s">
        <v>696</v>
      </c>
      <c r="N1" s="1" t="s">
        <v>8</v>
      </c>
    </row>
    <row r="2" spans="1:14" ht="20.100000000000001" customHeight="1" x14ac:dyDescent="0.25">
      <c r="A2" s="1" t="s">
        <v>9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510</v>
      </c>
      <c r="H2" s="1" t="s">
        <v>511</v>
      </c>
      <c r="I2" s="1" t="s">
        <v>512</v>
      </c>
      <c r="J2" s="1" t="s">
        <v>513</v>
      </c>
      <c r="K2" s="1" t="s">
        <v>514</v>
      </c>
      <c r="L2" s="1" t="s">
        <v>515</v>
      </c>
      <c r="M2" s="66" t="s">
        <v>2306</v>
      </c>
      <c r="N2" s="1" t="s">
        <v>17</v>
      </c>
    </row>
    <row r="3" spans="1:14" ht="20.100000000000001" customHeight="1" x14ac:dyDescent="0.25">
      <c r="A3" s="39"/>
      <c r="B3" s="65" t="s">
        <v>2300</v>
      </c>
      <c r="C3" s="42" t="s">
        <v>2663</v>
      </c>
      <c r="D3" s="52"/>
      <c r="E3" s="19"/>
      <c r="F3" s="19"/>
      <c r="G3" s="19"/>
      <c r="H3" s="42"/>
      <c r="I3" s="42">
        <v>1</v>
      </c>
      <c r="J3" s="42" t="s">
        <v>2307</v>
      </c>
      <c r="K3" s="42" t="s">
        <v>2296</v>
      </c>
      <c r="L3" s="42" t="s">
        <v>2308</v>
      </c>
      <c r="M3" s="42" t="s">
        <v>411</v>
      </c>
      <c r="N3" s="52"/>
    </row>
    <row r="4" spans="1:14" ht="20.100000000000001" customHeight="1" x14ac:dyDescent="0.25">
      <c r="A4" s="39"/>
      <c r="B4" s="65" t="s">
        <v>2300</v>
      </c>
      <c r="C4" s="42" t="s">
        <v>2664</v>
      </c>
      <c r="D4" s="52"/>
      <c r="E4" s="19"/>
      <c r="F4" s="19"/>
      <c r="G4" s="19"/>
      <c r="H4" s="42"/>
      <c r="I4" s="42">
        <v>1</v>
      </c>
      <c r="J4" s="42" t="s">
        <v>2307</v>
      </c>
      <c r="K4" s="42" t="s">
        <v>2296</v>
      </c>
      <c r="L4" s="42" t="s">
        <v>2308</v>
      </c>
      <c r="M4" s="42" t="s">
        <v>411</v>
      </c>
      <c r="N4" s="52"/>
    </row>
    <row r="5" spans="1:14" ht="20.100000000000001" customHeight="1" x14ac:dyDescent="0.25">
      <c r="A5" s="39"/>
      <c r="B5" s="65" t="s">
        <v>2300</v>
      </c>
      <c r="C5" s="42" t="s">
        <v>2665</v>
      </c>
      <c r="D5" s="52"/>
      <c r="E5" s="19"/>
      <c r="F5" s="19"/>
      <c r="G5" s="19"/>
      <c r="H5" s="42"/>
      <c r="I5" s="42">
        <v>1</v>
      </c>
      <c r="J5" s="42" t="s">
        <v>2307</v>
      </c>
      <c r="K5" s="42" t="s">
        <v>2296</v>
      </c>
      <c r="L5" s="42" t="s">
        <v>2308</v>
      </c>
      <c r="M5" s="42" t="s">
        <v>411</v>
      </c>
      <c r="N5" s="52"/>
    </row>
    <row r="6" spans="1:14" ht="20.100000000000001" customHeight="1" x14ac:dyDescent="0.25">
      <c r="A6" s="39"/>
      <c r="B6" s="65" t="s">
        <v>2309</v>
      </c>
      <c r="C6" s="42" t="s">
        <v>2666</v>
      </c>
      <c r="D6" s="52"/>
      <c r="E6" s="19"/>
      <c r="F6" s="19"/>
      <c r="G6" s="19"/>
      <c r="H6" s="42"/>
      <c r="I6" s="42">
        <v>1</v>
      </c>
      <c r="J6" s="42" t="s">
        <v>2310</v>
      </c>
      <c r="K6" s="42" t="s">
        <v>2296</v>
      </c>
      <c r="L6" s="42" t="s">
        <v>2308</v>
      </c>
      <c r="M6" s="42" t="s">
        <v>411</v>
      </c>
      <c r="N6" s="52"/>
    </row>
    <row r="7" spans="1:14" ht="20.100000000000001" customHeight="1" x14ac:dyDescent="0.25">
      <c r="A7" s="39"/>
      <c r="B7" s="65" t="s">
        <v>2309</v>
      </c>
      <c r="C7" s="42" t="s">
        <v>2667</v>
      </c>
      <c r="D7" s="52"/>
      <c r="E7" s="19"/>
      <c r="F7" s="19"/>
      <c r="G7" s="19"/>
      <c r="H7" s="42"/>
      <c r="I7" s="42">
        <v>1</v>
      </c>
      <c r="J7" s="42" t="s">
        <v>2310</v>
      </c>
      <c r="K7" s="42" t="s">
        <v>2296</v>
      </c>
      <c r="L7" s="42" t="s">
        <v>2308</v>
      </c>
      <c r="M7" s="42" t="s">
        <v>411</v>
      </c>
      <c r="N7" s="52"/>
    </row>
    <row r="8" spans="1:14" ht="20.100000000000001" customHeight="1" x14ac:dyDescent="0.25">
      <c r="A8" s="39"/>
      <c r="B8" s="65" t="s">
        <v>2309</v>
      </c>
      <c r="C8" s="42" t="s">
        <v>2668</v>
      </c>
      <c r="D8" s="52"/>
      <c r="E8" s="19"/>
      <c r="F8" s="19"/>
      <c r="G8" s="19"/>
      <c r="H8" s="42"/>
      <c r="I8" s="42">
        <v>1</v>
      </c>
      <c r="J8" s="42" t="s">
        <v>2310</v>
      </c>
      <c r="K8" s="42" t="s">
        <v>2296</v>
      </c>
      <c r="L8" s="42" t="s">
        <v>2308</v>
      </c>
      <c r="M8" s="42" t="s">
        <v>411</v>
      </c>
      <c r="N8" s="52"/>
    </row>
    <row r="9" spans="1:14" ht="20.100000000000001" customHeight="1" x14ac:dyDescent="0.25">
      <c r="A9" s="39"/>
      <c r="B9" s="65" t="s">
        <v>2313</v>
      </c>
      <c r="C9" s="42" t="s">
        <v>2669</v>
      </c>
      <c r="D9" s="52"/>
      <c r="E9" s="19"/>
      <c r="F9" s="19"/>
      <c r="G9" s="19"/>
      <c r="H9" s="42"/>
      <c r="I9" s="42">
        <v>1</v>
      </c>
      <c r="J9" s="42" t="s">
        <v>2311</v>
      </c>
      <c r="K9" s="42" t="s">
        <v>2296</v>
      </c>
      <c r="L9" s="42" t="s">
        <v>2308</v>
      </c>
      <c r="M9" s="42" t="s">
        <v>411</v>
      </c>
      <c r="N9" s="52"/>
    </row>
    <row r="10" spans="1:14" ht="20.100000000000001" customHeight="1" x14ac:dyDescent="0.25">
      <c r="A10" s="39"/>
      <c r="B10" s="65" t="s">
        <v>2313</v>
      </c>
      <c r="C10" s="42" t="s">
        <v>2670</v>
      </c>
      <c r="D10" s="52"/>
      <c r="E10" s="19"/>
      <c r="F10" s="19"/>
      <c r="G10" s="19"/>
      <c r="H10" s="42"/>
      <c r="I10" s="42">
        <v>1</v>
      </c>
      <c r="J10" s="42" t="s">
        <v>2311</v>
      </c>
      <c r="K10" s="42" t="s">
        <v>2296</v>
      </c>
      <c r="L10" s="42" t="s">
        <v>2308</v>
      </c>
      <c r="M10" s="42" t="s">
        <v>411</v>
      </c>
      <c r="N10" s="52"/>
    </row>
    <row r="11" spans="1:14" ht="20.100000000000001" customHeight="1" x14ac:dyDescent="0.25">
      <c r="A11" s="39"/>
      <c r="B11" s="65" t="s">
        <v>2313</v>
      </c>
      <c r="C11" s="42" t="s">
        <v>2671</v>
      </c>
      <c r="D11" s="52"/>
      <c r="E11" s="19"/>
      <c r="F11" s="19"/>
      <c r="G11" s="19"/>
      <c r="H11" s="42"/>
      <c r="I11" s="42">
        <v>1</v>
      </c>
      <c r="J11" s="42" t="s">
        <v>2311</v>
      </c>
      <c r="K11" s="42" t="s">
        <v>2296</v>
      </c>
      <c r="L11" s="42" t="s">
        <v>2308</v>
      </c>
      <c r="M11" s="42" t="s">
        <v>411</v>
      </c>
      <c r="N11" s="52"/>
    </row>
    <row r="12" spans="1:14" ht="20.100000000000001" customHeight="1" x14ac:dyDescent="0.25">
      <c r="A12" s="39"/>
      <c r="B12" s="65" t="s">
        <v>2314</v>
      </c>
      <c r="C12" s="42" t="s">
        <v>2672</v>
      </c>
      <c r="D12" s="52"/>
      <c r="E12" s="19"/>
      <c r="F12" s="19"/>
      <c r="G12" s="19"/>
      <c r="H12" s="42"/>
      <c r="I12" s="42">
        <v>1</v>
      </c>
      <c r="J12" s="42" t="s">
        <v>2312</v>
      </c>
      <c r="K12" s="42" t="s">
        <v>2296</v>
      </c>
      <c r="L12" s="42" t="s">
        <v>2308</v>
      </c>
      <c r="M12" s="42" t="s">
        <v>411</v>
      </c>
      <c r="N12" s="52"/>
    </row>
    <row r="13" spans="1:14" ht="20.100000000000001" customHeight="1" x14ac:dyDescent="0.25">
      <c r="A13" s="39"/>
      <c r="B13" s="65" t="s">
        <v>2468</v>
      </c>
      <c r="C13" s="42" t="s">
        <v>2673</v>
      </c>
      <c r="D13" s="52"/>
      <c r="E13" s="19"/>
      <c r="F13" s="19"/>
      <c r="G13" s="19"/>
      <c r="H13" s="42"/>
      <c r="I13" s="42">
        <v>1</v>
      </c>
      <c r="J13" s="42" t="s">
        <v>2307</v>
      </c>
      <c r="K13" s="42" t="s">
        <v>212</v>
      </c>
      <c r="L13" s="42" t="s">
        <v>1030</v>
      </c>
      <c r="M13" s="42" t="s">
        <v>438</v>
      </c>
      <c r="N13" s="52"/>
    </row>
    <row r="14" spans="1:14" ht="20.100000000000001" customHeight="1" x14ac:dyDescent="0.25">
      <c r="A14" s="39"/>
      <c r="B14" s="65" t="s">
        <v>2468</v>
      </c>
      <c r="C14" s="42" t="s">
        <v>2674</v>
      </c>
      <c r="D14" s="52"/>
      <c r="E14" s="19"/>
      <c r="F14" s="19"/>
      <c r="G14" s="19"/>
      <c r="H14" s="42"/>
      <c r="I14" s="42">
        <v>1</v>
      </c>
      <c r="J14" s="42" t="s">
        <v>2307</v>
      </c>
      <c r="K14" s="42" t="s">
        <v>212</v>
      </c>
      <c r="L14" s="42" t="s">
        <v>1030</v>
      </c>
      <c r="M14" s="42" t="s">
        <v>438</v>
      </c>
      <c r="N14" s="52"/>
    </row>
    <row r="15" spans="1:14" ht="20.100000000000001" customHeight="1" x14ac:dyDescent="0.25">
      <c r="A15" s="39"/>
      <c r="B15" s="65" t="s">
        <v>2378</v>
      </c>
      <c r="C15" s="42" t="s">
        <v>2376</v>
      </c>
      <c r="D15" s="52"/>
      <c r="E15" s="19"/>
      <c r="F15" s="19"/>
      <c r="G15" s="19"/>
      <c r="H15" s="42"/>
      <c r="I15" s="42">
        <v>1</v>
      </c>
      <c r="J15" s="42" t="s">
        <v>2310</v>
      </c>
      <c r="K15" s="42" t="s">
        <v>212</v>
      </c>
      <c r="L15" s="42" t="s">
        <v>2375</v>
      </c>
      <c r="M15" s="42" t="s">
        <v>438</v>
      </c>
      <c r="N15" s="52"/>
    </row>
    <row r="16" spans="1:14" ht="20.100000000000001" customHeight="1" x14ac:dyDescent="0.25">
      <c r="A16" s="39"/>
      <c r="B16" s="65" t="s">
        <v>2378</v>
      </c>
      <c r="C16" s="42" t="s">
        <v>2377</v>
      </c>
      <c r="D16" s="52"/>
      <c r="E16" s="19"/>
      <c r="F16" s="19"/>
      <c r="G16" s="19"/>
      <c r="H16" s="42"/>
      <c r="I16" s="42">
        <v>1</v>
      </c>
      <c r="J16" s="42" t="s">
        <v>2310</v>
      </c>
      <c r="K16" s="42" t="s">
        <v>212</v>
      </c>
      <c r="L16" s="42" t="s">
        <v>2375</v>
      </c>
      <c r="M16" s="42" t="s">
        <v>438</v>
      </c>
      <c r="N16" s="52"/>
    </row>
    <row r="17" spans="1:14" ht="20.100000000000001" customHeight="1" x14ac:dyDescent="0.25">
      <c r="A17" s="39"/>
      <c r="B17" s="65" t="s">
        <v>2313</v>
      </c>
      <c r="C17" s="42" t="s">
        <v>2374</v>
      </c>
      <c r="D17" s="52"/>
      <c r="E17" s="19"/>
      <c r="F17" s="19"/>
      <c r="G17" s="19"/>
      <c r="H17" s="42"/>
      <c r="I17" s="42">
        <v>1</v>
      </c>
      <c r="J17" s="42" t="s">
        <v>2311</v>
      </c>
      <c r="K17" s="42" t="s">
        <v>212</v>
      </c>
      <c r="L17" s="42" t="s">
        <v>2308</v>
      </c>
      <c r="M17" s="42" t="s">
        <v>438</v>
      </c>
      <c r="N17" s="52"/>
    </row>
    <row r="18" spans="1:14" ht="20.100000000000001" customHeight="1" x14ac:dyDescent="0.25">
      <c r="A18" s="39"/>
      <c r="B18" s="65" t="s">
        <v>2313</v>
      </c>
      <c r="C18" s="42" t="s">
        <v>2380</v>
      </c>
      <c r="D18" s="52"/>
      <c r="E18" s="19"/>
      <c r="F18" s="19"/>
      <c r="G18" s="19"/>
      <c r="H18" s="42"/>
      <c r="I18" s="42">
        <v>1</v>
      </c>
      <c r="J18" s="42" t="s">
        <v>2311</v>
      </c>
      <c r="K18" s="42" t="s">
        <v>212</v>
      </c>
      <c r="L18" s="42" t="s">
        <v>2308</v>
      </c>
      <c r="M18" s="42" t="s">
        <v>438</v>
      </c>
      <c r="N18" s="52"/>
    </row>
    <row r="19" spans="1:14" ht="20.100000000000001" customHeight="1" x14ac:dyDescent="0.25">
      <c r="A19" s="39"/>
      <c r="B19" s="42" t="s">
        <v>2379</v>
      </c>
      <c r="C19" s="42" t="s">
        <v>2381</v>
      </c>
      <c r="D19" s="52"/>
      <c r="E19" s="19"/>
      <c r="F19" s="19"/>
      <c r="G19" s="19"/>
      <c r="H19" s="42"/>
      <c r="I19" s="42">
        <v>1</v>
      </c>
      <c r="J19" s="42" t="s">
        <v>2312</v>
      </c>
      <c r="K19" s="42" t="s">
        <v>212</v>
      </c>
      <c r="L19" s="42" t="s">
        <v>2382</v>
      </c>
      <c r="M19" s="42" t="s">
        <v>438</v>
      </c>
      <c r="N19" s="52"/>
    </row>
    <row r="20" spans="1:14" ht="20.100000000000001" customHeight="1" x14ac:dyDescent="0.25">
      <c r="A20" s="39"/>
      <c r="B20" s="65" t="s">
        <v>2468</v>
      </c>
      <c r="C20" s="42" t="s">
        <v>2469</v>
      </c>
      <c r="D20" s="52"/>
      <c r="E20" s="19"/>
      <c r="F20" s="19"/>
      <c r="G20" s="19"/>
      <c r="H20" s="42"/>
      <c r="I20" s="42">
        <v>1</v>
      </c>
      <c r="J20" s="42" t="s">
        <v>2307</v>
      </c>
      <c r="K20" s="42" t="s">
        <v>2466</v>
      </c>
      <c r="L20" s="42" t="s">
        <v>1030</v>
      </c>
      <c r="M20" s="42" t="s">
        <v>445</v>
      </c>
      <c r="N20" s="52"/>
    </row>
    <row r="21" spans="1:14" ht="20.100000000000001" customHeight="1" x14ac:dyDescent="0.25">
      <c r="A21" s="39"/>
      <c r="B21" s="65" t="s">
        <v>2468</v>
      </c>
      <c r="C21" s="42" t="s">
        <v>2470</v>
      </c>
      <c r="D21" s="52"/>
      <c r="E21" s="19"/>
      <c r="F21" s="19"/>
      <c r="G21" s="19"/>
      <c r="H21" s="42"/>
      <c r="I21" s="42">
        <v>1</v>
      </c>
      <c r="J21" s="42" t="s">
        <v>2307</v>
      </c>
      <c r="K21" s="42" t="s">
        <v>2466</v>
      </c>
      <c r="L21" s="42" t="s">
        <v>1030</v>
      </c>
      <c r="M21" s="42" t="s">
        <v>445</v>
      </c>
      <c r="N21" s="52"/>
    </row>
    <row r="22" spans="1:14" ht="20.100000000000001" customHeight="1" x14ac:dyDescent="0.25">
      <c r="A22" s="39"/>
      <c r="B22" s="65" t="s">
        <v>2468</v>
      </c>
      <c r="C22" s="42" t="s">
        <v>2471</v>
      </c>
      <c r="D22" s="52"/>
      <c r="E22" s="19"/>
      <c r="F22" s="19"/>
      <c r="G22" s="19"/>
      <c r="H22" s="42"/>
      <c r="I22" s="42">
        <v>1</v>
      </c>
      <c r="J22" s="42" t="s">
        <v>2307</v>
      </c>
      <c r="K22" s="42" t="s">
        <v>2466</v>
      </c>
      <c r="L22" s="42" t="s">
        <v>1030</v>
      </c>
      <c r="M22" s="42" t="s">
        <v>445</v>
      </c>
      <c r="N22" s="52"/>
    </row>
    <row r="23" spans="1:14" ht="20.100000000000001" customHeight="1" x14ac:dyDescent="0.25">
      <c r="A23" s="39"/>
      <c r="B23" s="65" t="s">
        <v>2468</v>
      </c>
      <c r="C23" s="42" t="s">
        <v>2472</v>
      </c>
      <c r="D23" s="52"/>
      <c r="E23" s="19"/>
      <c r="F23" s="19"/>
      <c r="G23" s="19"/>
      <c r="H23" s="42"/>
      <c r="I23" s="42">
        <v>1</v>
      </c>
      <c r="J23" s="42" t="s">
        <v>2307</v>
      </c>
      <c r="K23" s="42" t="s">
        <v>2466</v>
      </c>
      <c r="L23" s="42" t="s">
        <v>1030</v>
      </c>
      <c r="M23" s="42" t="s">
        <v>445</v>
      </c>
      <c r="N23" s="52"/>
    </row>
    <row r="24" spans="1:14" ht="20.100000000000001" customHeight="1" x14ac:dyDescent="0.25">
      <c r="A24" s="39"/>
      <c r="B24" s="65" t="s">
        <v>2473</v>
      </c>
      <c r="C24" s="42" t="s">
        <v>2474</v>
      </c>
      <c r="D24" s="52"/>
      <c r="E24" s="19"/>
      <c r="F24" s="19"/>
      <c r="G24" s="19"/>
      <c r="H24" s="42"/>
      <c r="I24" s="42">
        <v>1</v>
      </c>
      <c r="J24" s="42" t="s">
        <v>2310</v>
      </c>
      <c r="K24" s="42" t="s">
        <v>2466</v>
      </c>
      <c r="L24" s="42" t="s">
        <v>2375</v>
      </c>
      <c r="M24" s="42" t="s">
        <v>445</v>
      </c>
      <c r="N24" s="52"/>
    </row>
    <row r="25" spans="1:14" ht="20.100000000000001" customHeight="1" x14ac:dyDescent="0.25">
      <c r="A25" s="39"/>
      <c r="B25" s="65" t="s">
        <v>2473</v>
      </c>
      <c r="C25" s="42" t="s">
        <v>2699</v>
      </c>
      <c r="D25" s="52"/>
      <c r="E25" s="19"/>
      <c r="F25" s="19"/>
      <c r="G25" s="19"/>
      <c r="H25" s="42"/>
      <c r="I25" s="42">
        <v>1</v>
      </c>
      <c r="J25" s="42" t="s">
        <v>2310</v>
      </c>
      <c r="K25" s="42" t="s">
        <v>2466</v>
      </c>
      <c r="L25" s="42" t="s">
        <v>2375</v>
      </c>
      <c r="M25" s="42" t="s">
        <v>445</v>
      </c>
      <c r="N25" s="52"/>
    </row>
    <row r="26" spans="1:14" ht="20.100000000000001" customHeight="1" x14ac:dyDescent="0.25">
      <c r="A26" s="39"/>
      <c r="B26" s="65" t="s">
        <v>2473</v>
      </c>
      <c r="C26" s="42" t="s">
        <v>2700</v>
      </c>
      <c r="D26" s="52"/>
      <c r="E26" s="19"/>
      <c r="F26" s="19"/>
      <c r="G26" s="19"/>
      <c r="H26" s="42"/>
      <c r="I26" s="42">
        <v>1</v>
      </c>
      <c r="J26" s="42" t="s">
        <v>2310</v>
      </c>
      <c r="K26" s="42" t="s">
        <v>2466</v>
      </c>
      <c r="L26" s="42" t="s">
        <v>2375</v>
      </c>
      <c r="M26" s="42" t="s">
        <v>445</v>
      </c>
      <c r="N26" s="52"/>
    </row>
    <row r="27" spans="1:14" ht="20.100000000000001" customHeight="1" x14ac:dyDescent="0.25">
      <c r="A27" s="39"/>
      <c r="B27" s="65" t="s">
        <v>2473</v>
      </c>
      <c r="C27" s="42" t="s">
        <v>2701</v>
      </c>
      <c r="D27" s="52"/>
      <c r="E27" s="19"/>
      <c r="F27" s="19"/>
      <c r="G27" s="19"/>
      <c r="H27" s="42"/>
      <c r="I27" s="42">
        <v>1</v>
      </c>
      <c r="J27" s="42" t="s">
        <v>2310</v>
      </c>
      <c r="K27" s="42" t="s">
        <v>2466</v>
      </c>
      <c r="L27" s="42" t="s">
        <v>2375</v>
      </c>
      <c r="M27" s="42" t="s">
        <v>445</v>
      </c>
      <c r="N27" s="52"/>
    </row>
    <row r="28" spans="1:14" ht="20.100000000000001" customHeight="1" x14ac:dyDescent="0.25">
      <c r="A28" s="39"/>
      <c r="B28" s="65" t="s">
        <v>2479</v>
      </c>
      <c r="C28" s="42" t="s">
        <v>2476</v>
      </c>
      <c r="D28" s="52"/>
      <c r="E28" s="19"/>
      <c r="F28" s="19"/>
      <c r="G28" s="19"/>
      <c r="H28" s="42"/>
      <c r="I28" s="42">
        <v>1</v>
      </c>
      <c r="J28" s="42" t="s">
        <v>2311</v>
      </c>
      <c r="K28" s="42" t="s">
        <v>2466</v>
      </c>
      <c r="L28" s="42" t="s">
        <v>2478</v>
      </c>
      <c r="M28" s="42" t="s">
        <v>445</v>
      </c>
      <c r="N28" s="52"/>
    </row>
    <row r="29" spans="1:14" ht="20.100000000000001" customHeight="1" x14ac:dyDescent="0.25">
      <c r="A29" s="39"/>
      <c r="B29" s="65" t="s">
        <v>2479</v>
      </c>
      <c r="C29" s="42" t="s">
        <v>2475</v>
      </c>
      <c r="D29" s="52"/>
      <c r="E29" s="19"/>
      <c r="F29" s="19"/>
      <c r="G29" s="19"/>
      <c r="H29" s="42"/>
      <c r="I29" s="42">
        <v>1</v>
      </c>
      <c r="J29" s="42" t="s">
        <v>2311</v>
      </c>
      <c r="K29" s="42" t="s">
        <v>2466</v>
      </c>
      <c r="L29" s="42" t="s">
        <v>2478</v>
      </c>
      <c r="M29" s="42" t="s">
        <v>445</v>
      </c>
      <c r="N29" s="52"/>
    </row>
    <row r="30" spans="1:14" ht="20.100000000000001" customHeight="1" x14ac:dyDescent="0.25">
      <c r="A30" s="39"/>
      <c r="B30" s="65" t="s">
        <v>2477</v>
      </c>
      <c r="C30" s="42" t="s">
        <v>2480</v>
      </c>
      <c r="D30" s="52"/>
      <c r="E30" s="19"/>
      <c r="F30" s="19"/>
      <c r="G30" s="19"/>
      <c r="H30" s="42"/>
      <c r="I30" s="42">
        <v>1</v>
      </c>
      <c r="J30" s="42" t="s">
        <v>2312</v>
      </c>
      <c r="K30" s="42" t="s">
        <v>2466</v>
      </c>
      <c r="L30" s="42" t="s">
        <v>2481</v>
      </c>
      <c r="M30" s="42" t="s">
        <v>445</v>
      </c>
      <c r="N30" s="52"/>
    </row>
    <row r="31" spans="1:14" ht="20.100000000000001" customHeight="1" x14ac:dyDescent="0.25">
      <c r="A31" s="39"/>
      <c r="B31" s="65" t="s">
        <v>2468</v>
      </c>
      <c r="C31" s="42" t="s">
        <v>2675</v>
      </c>
      <c r="D31" s="52"/>
      <c r="E31" s="19"/>
      <c r="F31" s="19"/>
      <c r="G31" s="19"/>
      <c r="H31" s="42"/>
      <c r="I31" s="42">
        <v>1</v>
      </c>
      <c r="J31" s="42" t="s">
        <v>2307</v>
      </c>
      <c r="K31" s="42" t="s">
        <v>226</v>
      </c>
      <c r="L31" s="42" t="s">
        <v>1030</v>
      </c>
      <c r="M31" s="42" t="s">
        <v>422</v>
      </c>
      <c r="N31" s="52"/>
    </row>
    <row r="32" spans="1:14" ht="20.100000000000001" customHeight="1" x14ac:dyDescent="0.25">
      <c r="A32" s="39"/>
      <c r="B32" s="65" t="s">
        <v>2468</v>
      </c>
      <c r="C32" s="42" t="s">
        <v>2677</v>
      </c>
      <c r="D32" s="52"/>
      <c r="E32" s="19"/>
      <c r="F32" s="19"/>
      <c r="G32" s="19"/>
      <c r="H32" s="42"/>
      <c r="I32" s="42">
        <v>1</v>
      </c>
      <c r="J32" s="42" t="s">
        <v>2307</v>
      </c>
      <c r="K32" s="42" t="s">
        <v>226</v>
      </c>
      <c r="L32" s="42" t="s">
        <v>1030</v>
      </c>
      <c r="M32" s="42" t="s">
        <v>422</v>
      </c>
      <c r="N32" s="52"/>
    </row>
    <row r="33" spans="1:14" ht="20.100000000000001" customHeight="1" x14ac:dyDescent="0.25">
      <c r="A33" s="39"/>
      <c r="B33" s="65" t="s">
        <v>2468</v>
      </c>
      <c r="C33" s="42" t="s">
        <v>2676</v>
      </c>
      <c r="D33" s="52"/>
      <c r="E33" s="19"/>
      <c r="F33" s="19"/>
      <c r="G33" s="19"/>
      <c r="H33" s="42"/>
      <c r="I33" s="42">
        <v>1</v>
      </c>
      <c r="J33" s="42" t="s">
        <v>2307</v>
      </c>
      <c r="K33" s="42" t="s">
        <v>226</v>
      </c>
      <c r="L33" s="42" t="s">
        <v>1030</v>
      </c>
      <c r="M33" s="42" t="s">
        <v>422</v>
      </c>
      <c r="N33" s="52"/>
    </row>
    <row r="34" spans="1:14" ht="20.100000000000001" customHeight="1" x14ac:dyDescent="0.25">
      <c r="A34" s="39"/>
      <c r="B34" s="65" t="s">
        <v>2702</v>
      </c>
      <c r="C34" s="42" t="s">
        <v>2703</v>
      </c>
      <c r="D34" s="52"/>
      <c r="E34" s="19"/>
      <c r="F34" s="19"/>
      <c r="G34" s="19"/>
      <c r="H34" s="42"/>
      <c r="I34" s="42">
        <v>1</v>
      </c>
      <c r="J34" s="42" t="s">
        <v>2310</v>
      </c>
      <c r="K34" s="42" t="s">
        <v>226</v>
      </c>
      <c r="L34" s="42" t="s">
        <v>2375</v>
      </c>
      <c r="M34" s="42" t="s">
        <v>422</v>
      </c>
      <c r="N34" s="52"/>
    </row>
    <row r="35" spans="1:14" ht="20.100000000000001" customHeight="1" x14ac:dyDescent="0.25">
      <c r="A35" s="39"/>
      <c r="B35" s="65" t="s">
        <v>2702</v>
      </c>
      <c r="C35" s="42" t="s">
        <v>2704</v>
      </c>
      <c r="D35" s="52"/>
      <c r="E35" s="19"/>
      <c r="F35" s="19"/>
      <c r="G35" s="19"/>
      <c r="H35" s="42"/>
      <c r="I35" s="42">
        <v>1</v>
      </c>
      <c r="J35" s="42" t="s">
        <v>2310</v>
      </c>
      <c r="K35" s="42" t="s">
        <v>226</v>
      </c>
      <c r="L35" s="42" t="s">
        <v>2375</v>
      </c>
      <c r="M35" s="42" t="s">
        <v>422</v>
      </c>
      <c r="N35" s="52"/>
    </row>
    <row r="36" spans="1:14" ht="20.100000000000001" customHeight="1" x14ac:dyDescent="0.25">
      <c r="A36" s="39"/>
      <c r="B36" s="65" t="s">
        <v>2702</v>
      </c>
      <c r="C36" s="42" t="s">
        <v>2705</v>
      </c>
      <c r="D36" s="52"/>
      <c r="E36" s="19"/>
      <c r="F36" s="19"/>
      <c r="G36" s="19"/>
      <c r="H36" s="42"/>
      <c r="I36" s="42">
        <v>1</v>
      </c>
      <c r="J36" s="42" t="s">
        <v>2310</v>
      </c>
      <c r="K36" s="42" t="s">
        <v>226</v>
      </c>
      <c r="L36" s="42" t="s">
        <v>2375</v>
      </c>
      <c r="M36" s="42" t="s">
        <v>422</v>
      </c>
      <c r="N36" s="52"/>
    </row>
    <row r="37" spans="1:14" ht="20.100000000000001" customHeight="1" x14ac:dyDescent="0.25">
      <c r="A37" s="39"/>
      <c r="B37" s="65" t="s">
        <v>2313</v>
      </c>
      <c r="C37" s="42" t="s">
        <v>2706</v>
      </c>
      <c r="D37" s="52"/>
      <c r="E37" s="19"/>
      <c r="F37" s="19"/>
      <c r="G37" s="19"/>
      <c r="H37" s="42"/>
      <c r="I37" s="42">
        <v>1</v>
      </c>
      <c r="J37" s="42" t="s">
        <v>2311</v>
      </c>
      <c r="K37" s="42" t="s">
        <v>226</v>
      </c>
      <c r="L37" s="42" t="s">
        <v>2308</v>
      </c>
      <c r="M37" s="42" t="s">
        <v>422</v>
      </c>
      <c r="N37" s="52"/>
    </row>
    <row r="38" spans="1:14" ht="20.100000000000001" customHeight="1" x14ac:dyDescent="0.25">
      <c r="A38" s="39"/>
      <c r="B38" s="65" t="s">
        <v>2313</v>
      </c>
      <c r="C38" s="42" t="s">
        <v>2707</v>
      </c>
      <c r="D38" s="52"/>
      <c r="E38" s="19"/>
      <c r="F38" s="19"/>
      <c r="G38" s="19"/>
      <c r="H38" s="42"/>
      <c r="I38" s="42">
        <v>1</v>
      </c>
      <c r="J38" s="42" t="s">
        <v>2311</v>
      </c>
      <c r="K38" s="42" t="s">
        <v>226</v>
      </c>
      <c r="L38" s="42" t="s">
        <v>2308</v>
      </c>
      <c r="M38" s="42" t="s">
        <v>422</v>
      </c>
      <c r="N38" s="52"/>
    </row>
    <row r="39" spans="1:14" ht="20.100000000000001" customHeight="1" x14ac:dyDescent="0.25">
      <c r="A39" s="39"/>
      <c r="B39" s="65"/>
      <c r="C39" s="42" t="s">
        <v>2708</v>
      </c>
      <c r="D39" s="52"/>
      <c r="E39" s="19"/>
      <c r="F39" s="19"/>
      <c r="G39" s="19"/>
      <c r="H39" s="42"/>
      <c r="I39" s="42">
        <v>1</v>
      </c>
      <c r="J39" s="42" t="s">
        <v>2312</v>
      </c>
      <c r="K39" s="42" t="s">
        <v>226</v>
      </c>
      <c r="L39" s="42" t="s">
        <v>2710</v>
      </c>
      <c r="M39" s="42" t="s">
        <v>422</v>
      </c>
      <c r="N39" s="52"/>
    </row>
    <row r="40" spans="1:14" ht="20.100000000000001" customHeight="1" x14ac:dyDescent="0.25">
      <c r="A40" s="39"/>
      <c r="B40" s="65"/>
      <c r="C40" s="42" t="s">
        <v>2709</v>
      </c>
      <c r="D40" s="52"/>
      <c r="E40" s="19"/>
      <c r="F40" s="19"/>
      <c r="G40" s="19"/>
      <c r="H40" s="42"/>
      <c r="I40" s="42">
        <v>1</v>
      </c>
      <c r="J40" s="42" t="s">
        <v>2312</v>
      </c>
      <c r="K40" s="42" t="s">
        <v>226</v>
      </c>
      <c r="L40" s="42" t="s">
        <v>2710</v>
      </c>
      <c r="M40" s="42" t="s">
        <v>422</v>
      </c>
      <c r="N40" s="52"/>
    </row>
    <row r="41" spans="1:14" ht="20.100000000000001" customHeight="1" x14ac:dyDescent="0.25">
      <c r="A41" s="39"/>
      <c r="B41" s="65" t="s">
        <v>2468</v>
      </c>
      <c r="C41" s="42" t="s">
        <v>2678</v>
      </c>
      <c r="D41" s="52"/>
      <c r="E41" s="19"/>
      <c r="F41" s="19"/>
      <c r="G41" s="19"/>
      <c r="H41" s="42"/>
      <c r="I41" s="42">
        <v>1</v>
      </c>
      <c r="J41" s="42" t="s">
        <v>2307</v>
      </c>
      <c r="K41" s="42" t="s">
        <v>228</v>
      </c>
      <c r="L41" s="42" t="s">
        <v>1030</v>
      </c>
      <c r="M41" s="42" t="s">
        <v>422</v>
      </c>
      <c r="N41" s="52"/>
    </row>
    <row r="42" spans="1:14" ht="20.100000000000001" customHeight="1" x14ac:dyDescent="0.25">
      <c r="A42" s="39"/>
      <c r="B42" s="65" t="s">
        <v>2468</v>
      </c>
      <c r="C42" s="42" t="s">
        <v>2679</v>
      </c>
      <c r="D42" s="52"/>
      <c r="E42" s="19"/>
      <c r="F42" s="19"/>
      <c r="G42" s="19"/>
      <c r="H42" s="42"/>
      <c r="I42" s="42">
        <v>1</v>
      </c>
      <c r="J42" s="42" t="s">
        <v>2307</v>
      </c>
      <c r="K42" s="42" t="s">
        <v>228</v>
      </c>
      <c r="L42" s="42" t="s">
        <v>1030</v>
      </c>
      <c r="M42" s="42" t="s">
        <v>422</v>
      </c>
      <c r="N42" s="52"/>
    </row>
    <row r="43" spans="1:14" ht="20.100000000000001" customHeight="1" x14ac:dyDescent="0.25">
      <c r="A43" s="39"/>
      <c r="B43" s="65" t="s">
        <v>2468</v>
      </c>
      <c r="C43" s="42" t="s">
        <v>2680</v>
      </c>
      <c r="D43" s="52"/>
      <c r="E43" s="19"/>
      <c r="F43" s="19"/>
      <c r="G43" s="19"/>
      <c r="H43" s="42"/>
      <c r="I43" s="42">
        <v>1</v>
      </c>
      <c r="J43" s="42" t="s">
        <v>2307</v>
      </c>
      <c r="K43" s="42" t="s">
        <v>228</v>
      </c>
      <c r="L43" s="42" t="s">
        <v>1030</v>
      </c>
      <c r="M43" s="42" t="s">
        <v>422</v>
      </c>
      <c r="N43" s="52"/>
    </row>
    <row r="44" spans="1:14" ht="20.100000000000001" customHeight="1" x14ac:dyDescent="0.25">
      <c r="A44" s="39"/>
      <c r="B44" s="65" t="s">
        <v>2468</v>
      </c>
      <c r="C44" s="42" t="s">
        <v>2681</v>
      </c>
      <c r="D44" s="52"/>
      <c r="E44" s="19"/>
      <c r="F44" s="19"/>
      <c r="G44" s="19"/>
      <c r="H44" s="42"/>
      <c r="I44" s="42">
        <v>1</v>
      </c>
      <c r="J44" s="42" t="s">
        <v>2307</v>
      </c>
      <c r="K44" s="42" t="s">
        <v>228</v>
      </c>
      <c r="L44" s="42" t="s">
        <v>1030</v>
      </c>
      <c r="M44" s="42" t="s">
        <v>422</v>
      </c>
      <c r="N44" s="52"/>
    </row>
    <row r="45" spans="1:14" ht="20.100000000000001" customHeight="1" x14ac:dyDescent="0.25">
      <c r="A45" s="39"/>
      <c r="B45" s="65" t="s">
        <v>2715</v>
      </c>
      <c r="C45" s="42" t="s">
        <v>2711</v>
      </c>
      <c r="D45" s="52"/>
      <c r="E45" s="19"/>
      <c r="F45" s="19"/>
      <c r="G45" s="19"/>
      <c r="H45" s="42"/>
      <c r="I45" s="42">
        <v>1</v>
      </c>
      <c r="J45" s="42" t="s">
        <v>2310</v>
      </c>
      <c r="K45" s="42" t="s">
        <v>228</v>
      </c>
      <c r="L45" s="42" t="s">
        <v>2375</v>
      </c>
      <c r="M45" s="42" t="s">
        <v>422</v>
      </c>
      <c r="N45" s="52"/>
    </row>
    <row r="46" spans="1:14" ht="20.100000000000001" customHeight="1" x14ac:dyDescent="0.25">
      <c r="A46" s="39"/>
      <c r="B46" s="65" t="s">
        <v>2715</v>
      </c>
      <c r="C46" s="42" t="s">
        <v>2712</v>
      </c>
      <c r="D46" s="52"/>
      <c r="E46" s="19"/>
      <c r="F46" s="19"/>
      <c r="G46" s="19"/>
      <c r="H46" s="42"/>
      <c r="I46" s="42">
        <v>1</v>
      </c>
      <c r="J46" s="42" t="s">
        <v>2310</v>
      </c>
      <c r="K46" s="42" t="s">
        <v>228</v>
      </c>
      <c r="L46" s="42" t="s">
        <v>2375</v>
      </c>
      <c r="M46" s="42" t="s">
        <v>422</v>
      </c>
      <c r="N46" s="52"/>
    </row>
    <row r="47" spans="1:14" ht="20.100000000000001" customHeight="1" x14ac:dyDescent="0.25">
      <c r="A47" s="39"/>
      <c r="B47" s="65" t="s">
        <v>2715</v>
      </c>
      <c r="C47" s="42" t="s">
        <v>2713</v>
      </c>
      <c r="D47" s="52"/>
      <c r="E47" s="19"/>
      <c r="F47" s="19"/>
      <c r="G47" s="19"/>
      <c r="H47" s="42"/>
      <c r="I47" s="42">
        <v>1</v>
      </c>
      <c r="J47" s="42" t="s">
        <v>2310</v>
      </c>
      <c r="K47" s="42" t="s">
        <v>228</v>
      </c>
      <c r="L47" s="42" t="s">
        <v>2375</v>
      </c>
      <c r="M47" s="42" t="s">
        <v>422</v>
      </c>
      <c r="N47" s="52"/>
    </row>
    <row r="48" spans="1:14" ht="20.100000000000001" customHeight="1" x14ac:dyDescent="0.25">
      <c r="A48" s="39"/>
      <c r="B48" s="65" t="s">
        <v>2715</v>
      </c>
      <c r="C48" s="42" t="s">
        <v>2714</v>
      </c>
      <c r="D48" s="52"/>
      <c r="E48" s="19"/>
      <c r="F48" s="19"/>
      <c r="G48" s="19"/>
      <c r="H48" s="42"/>
      <c r="I48" s="42">
        <v>1</v>
      </c>
      <c r="J48" s="42" t="s">
        <v>2310</v>
      </c>
      <c r="K48" s="42" t="s">
        <v>228</v>
      </c>
      <c r="L48" s="42" t="s">
        <v>2375</v>
      </c>
      <c r="M48" s="42" t="s">
        <v>422</v>
      </c>
      <c r="N48" s="52"/>
    </row>
    <row r="49" spans="1:14" ht="20.100000000000001" customHeight="1" x14ac:dyDescent="0.25">
      <c r="A49" s="39"/>
      <c r="B49" s="65" t="s">
        <v>2313</v>
      </c>
      <c r="C49" s="42" t="s">
        <v>2706</v>
      </c>
      <c r="D49" s="52"/>
      <c r="E49" s="19"/>
      <c r="F49" s="19"/>
      <c r="G49" s="19"/>
      <c r="H49" s="42"/>
      <c r="I49" s="42">
        <v>1</v>
      </c>
      <c r="J49" s="42" t="s">
        <v>2311</v>
      </c>
      <c r="K49" s="42" t="s">
        <v>228</v>
      </c>
      <c r="L49" s="42" t="s">
        <v>2308</v>
      </c>
      <c r="M49" s="42" t="s">
        <v>422</v>
      </c>
      <c r="N49" s="52"/>
    </row>
    <row r="50" spans="1:14" ht="20.100000000000001" customHeight="1" x14ac:dyDescent="0.25">
      <c r="A50" s="39"/>
      <c r="B50" s="65" t="s">
        <v>2313</v>
      </c>
      <c r="C50" s="42" t="s">
        <v>2707</v>
      </c>
      <c r="D50" s="52"/>
      <c r="E50" s="19"/>
      <c r="F50" s="19"/>
      <c r="G50" s="19"/>
      <c r="H50" s="42"/>
      <c r="I50" s="42">
        <v>1</v>
      </c>
      <c r="J50" s="42" t="s">
        <v>2311</v>
      </c>
      <c r="K50" s="42" t="s">
        <v>228</v>
      </c>
      <c r="L50" s="42" t="s">
        <v>2308</v>
      </c>
      <c r="M50" s="42" t="s">
        <v>422</v>
      </c>
      <c r="N50" s="52"/>
    </row>
    <row r="51" spans="1:14" ht="20.100000000000001" customHeight="1" x14ac:dyDescent="0.25">
      <c r="A51" s="39"/>
      <c r="B51" s="65"/>
      <c r="C51" s="42" t="s">
        <v>2708</v>
      </c>
      <c r="D51" s="52"/>
      <c r="E51" s="19"/>
      <c r="F51" s="19"/>
      <c r="G51" s="19"/>
      <c r="H51" s="42"/>
      <c r="I51" s="42">
        <v>1</v>
      </c>
      <c r="J51" s="42" t="s">
        <v>2312</v>
      </c>
      <c r="K51" s="42" t="s">
        <v>228</v>
      </c>
      <c r="L51" s="42" t="s">
        <v>2716</v>
      </c>
      <c r="M51" s="42" t="s">
        <v>422</v>
      </c>
      <c r="N51" s="52"/>
    </row>
    <row r="52" spans="1:14" ht="20.100000000000001" customHeight="1" x14ac:dyDescent="0.25">
      <c r="A52" s="39"/>
      <c r="B52" s="65"/>
      <c r="C52" s="42" t="s">
        <v>2709</v>
      </c>
      <c r="D52" s="52"/>
      <c r="E52" s="19"/>
      <c r="F52" s="19"/>
      <c r="G52" s="19"/>
      <c r="H52" s="42"/>
      <c r="I52" s="42">
        <v>1</v>
      </c>
      <c r="J52" s="42" t="s">
        <v>2312</v>
      </c>
      <c r="K52" s="42" t="s">
        <v>228</v>
      </c>
      <c r="L52" s="42" t="s">
        <v>2717</v>
      </c>
      <c r="M52" s="42" t="s">
        <v>422</v>
      </c>
      <c r="N52" s="52"/>
    </row>
    <row r="53" spans="1:14" ht="20.100000000000001" customHeight="1" x14ac:dyDescent="0.25">
      <c r="A53" s="39"/>
      <c r="B53" s="65" t="s">
        <v>2468</v>
      </c>
      <c r="C53" s="42" t="s">
        <v>2682</v>
      </c>
      <c r="D53" s="52"/>
      <c r="E53" s="19"/>
      <c r="F53" s="19"/>
      <c r="G53" s="19"/>
      <c r="H53" s="42"/>
      <c r="I53" s="42">
        <v>1</v>
      </c>
      <c r="J53" s="42" t="s">
        <v>2307</v>
      </c>
      <c r="K53" s="42" t="s">
        <v>230</v>
      </c>
      <c r="L53" s="42" t="s">
        <v>1030</v>
      </c>
      <c r="M53" s="42" t="s">
        <v>422</v>
      </c>
      <c r="N53" s="52"/>
    </row>
    <row r="54" spans="1:14" ht="20.100000000000001" customHeight="1" x14ac:dyDescent="0.25">
      <c r="A54" s="39"/>
      <c r="B54" s="65" t="s">
        <v>2468</v>
      </c>
      <c r="C54" s="42" t="s">
        <v>2683</v>
      </c>
      <c r="D54" s="52"/>
      <c r="E54" s="19"/>
      <c r="F54" s="19"/>
      <c r="G54" s="19"/>
      <c r="H54" s="42"/>
      <c r="I54" s="42">
        <v>1</v>
      </c>
      <c r="J54" s="42" t="s">
        <v>2307</v>
      </c>
      <c r="K54" s="42" t="s">
        <v>230</v>
      </c>
      <c r="L54" s="42" t="s">
        <v>1030</v>
      </c>
      <c r="M54" s="42" t="s">
        <v>422</v>
      </c>
      <c r="N54" s="52"/>
    </row>
    <row r="55" spans="1:14" ht="20.100000000000001" customHeight="1" x14ac:dyDescent="0.25">
      <c r="A55" s="39"/>
      <c r="B55" s="65" t="s">
        <v>2468</v>
      </c>
      <c r="C55" s="42" t="s">
        <v>2684</v>
      </c>
      <c r="D55" s="52"/>
      <c r="E55" s="19"/>
      <c r="F55" s="19"/>
      <c r="G55" s="19"/>
      <c r="H55" s="42"/>
      <c r="I55" s="42">
        <v>1</v>
      </c>
      <c r="J55" s="42" t="s">
        <v>2307</v>
      </c>
      <c r="K55" s="42" t="s">
        <v>230</v>
      </c>
      <c r="L55" s="42" t="s">
        <v>1030</v>
      </c>
      <c r="M55" s="42" t="s">
        <v>422</v>
      </c>
      <c r="N55" s="52"/>
    </row>
    <row r="56" spans="1:14" ht="20.100000000000001" customHeight="1" x14ac:dyDescent="0.25">
      <c r="A56" s="39"/>
      <c r="B56" s="65" t="s">
        <v>2468</v>
      </c>
      <c r="C56" s="42" t="s">
        <v>2685</v>
      </c>
      <c r="D56" s="52"/>
      <c r="E56" s="19"/>
      <c r="F56" s="19"/>
      <c r="G56" s="19"/>
      <c r="H56" s="42"/>
      <c r="I56" s="42">
        <v>1</v>
      </c>
      <c r="J56" s="42" t="s">
        <v>2307</v>
      </c>
      <c r="K56" s="42" t="s">
        <v>230</v>
      </c>
      <c r="L56" s="42" t="s">
        <v>1030</v>
      </c>
      <c r="M56" s="42" t="s">
        <v>422</v>
      </c>
      <c r="N56" s="52"/>
    </row>
    <row r="57" spans="1:14" ht="20.100000000000001" customHeight="1" x14ac:dyDescent="0.25">
      <c r="A57" s="39"/>
      <c r="B57" s="65" t="s">
        <v>2719</v>
      </c>
      <c r="C57" s="42" t="s">
        <v>2718</v>
      </c>
      <c r="D57" s="52"/>
      <c r="E57" s="19"/>
      <c r="F57" s="19"/>
      <c r="G57" s="19"/>
      <c r="H57" s="42"/>
      <c r="I57" s="42">
        <v>1</v>
      </c>
      <c r="J57" s="42" t="s">
        <v>2310</v>
      </c>
      <c r="K57" s="42" t="s">
        <v>230</v>
      </c>
      <c r="L57" s="42" t="s">
        <v>2375</v>
      </c>
      <c r="M57" s="42" t="s">
        <v>422</v>
      </c>
      <c r="N57" s="52"/>
    </row>
    <row r="58" spans="1:14" ht="20.100000000000001" customHeight="1" x14ac:dyDescent="0.25">
      <c r="A58" s="39"/>
      <c r="B58" s="65" t="s">
        <v>2719</v>
      </c>
      <c r="C58" s="42" t="s">
        <v>2720</v>
      </c>
      <c r="D58" s="52"/>
      <c r="E58" s="19"/>
      <c r="F58" s="19"/>
      <c r="G58" s="19"/>
      <c r="H58" s="42"/>
      <c r="I58" s="42">
        <v>1</v>
      </c>
      <c r="J58" s="42" t="s">
        <v>2310</v>
      </c>
      <c r="K58" s="42" t="s">
        <v>230</v>
      </c>
      <c r="L58" s="42" t="s">
        <v>2375</v>
      </c>
      <c r="M58" s="42" t="s">
        <v>422</v>
      </c>
      <c r="N58" s="52"/>
    </row>
    <row r="59" spans="1:14" ht="20.100000000000001" customHeight="1" x14ac:dyDescent="0.25">
      <c r="A59" s="39"/>
      <c r="B59" s="65" t="s">
        <v>2719</v>
      </c>
      <c r="C59" s="42" t="s">
        <v>2721</v>
      </c>
      <c r="D59" s="52"/>
      <c r="E59" s="19"/>
      <c r="F59" s="19"/>
      <c r="G59" s="19"/>
      <c r="H59" s="42"/>
      <c r="I59" s="42">
        <v>1</v>
      </c>
      <c r="J59" s="42" t="s">
        <v>2310</v>
      </c>
      <c r="K59" s="42" t="s">
        <v>230</v>
      </c>
      <c r="L59" s="42" t="s">
        <v>2375</v>
      </c>
      <c r="M59" s="42" t="s">
        <v>422</v>
      </c>
      <c r="N59" s="52"/>
    </row>
    <row r="60" spans="1:14" ht="20.100000000000001" customHeight="1" x14ac:dyDescent="0.25">
      <c r="A60" s="39"/>
      <c r="B60" s="65" t="s">
        <v>2719</v>
      </c>
      <c r="C60" s="42" t="s">
        <v>2722</v>
      </c>
      <c r="D60" s="52"/>
      <c r="E60" s="19"/>
      <c r="F60" s="19"/>
      <c r="G60" s="19"/>
      <c r="H60" s="42"/>
      <c r="I60" s="42">
        <v>1</v>
      </c>
      <c r="J60" s="42" t="s">
        <v>2310</v>
      </c>
      <c r="K60" s="42" t="s">
        <v>230</v>
      </c>
      <c r="L60" s="42" t="s">
        <v>2375</v>
      </c>
      <c r="M60" s="42" t="s">
        <v>422</v>
      </c>
      <c r="N60" s="52"/>
    </row>
    <row r="61" spans="1:14" ht="20.100000000000001" customHeight="1" x14ac:dyDescent="0.25">
      <c r="A61" s="39"/>
      <c r="B61" s="65" t="s">
        <v>2479</v>
      </c>
      <c r="C61" s="42" t="s">
        <v>2738</v>
      </c>
      <c r="D61" s="52"/>
      <c r="E61" s="19"/>
      <c r="F61" s="19"/>
      <c r="G61" s="19"/>
      <c r="H61" s="42"/>
      <c r="I61" s="42">
        <v>1</v>
      </c>
      <c r="J61" s="42" t="s">
        <v>2311</v>
      </c>
      <c r="K61" s="42" t="s">
        <v>230</v>
      </c>
      <c r="L61" s="45" t="s">
        <v>2743</v>
      </c>
      <c r="M61" s="42" t="s">
        <v>422</v>
      </c>
      <c r="N61" s="52"/>
    </row>
    <row r="62" spans="1:14" ht="20.100000000000001" customHeight="1" x14ac:dyDescent="0.25">
      <c r="A62" s="39"/>
      <c r="B62" s="65" t="s">
        <v>2479</v>
      </c>
      <c r="C62" s="42" t="s">
        <v>2739</v>
      </c>
      <c r="D62" s="52"/>
      <c r="E62" s="19"/>
      <c r="F62" s="19"/>
      <c r="G62" s="19"/>
      <c r="H62" s="42"/>
      <c r="I62" s="42">
        <v>1</v>
      </c>
      <c r="J62" s="42" t="s">
        <v>2311</v>
      </c>
      <c r="K62" s="42" t="s">
        <v>230</v>
      </c>
      <c r="L62" s="45" t="s">
        <v>2743</v>
      </c>
      <c r="M62" s="42" t="s">
        <v>422</v>
      </c>
      <c r="N62" s="52"/>
    </row>
    <row r="63" spans="1:14" ht="20.100000000000001" customHeight="1" x14ac:dyDescent="0.25">
      <c r="A63" s="39"/>
      <c r="B63" s="65" t="s">
        <v>2479</v>
      </c>
      <c r="C63" s="42" t="s">
        <v>2740</v>
      </c>
      <c r="D63" s="52"/>
      <c r="E63" s="19"/>
      <c r="F63" s="19"/>
      <c r="G63" s="19"/>
      <c r="H63" s="42"/>
      <c r="I63" s="42">
        <v>1</v>
      </c>
      <c r="J63" s="42" t="s">
        <v>2311</v>
      </c>
      <c r="K63" s="42" t="s">
        <v>230</v>
      </c>
      <c r="L63" s="45" t="s">
        <v>2743</v>
      </c>
      <c r="M63" s="42" t="s">
        <v>422</v>
      </c>
      <c r="N63" s="52"/>
    </row>
    <row r="64" spans="1:14" ht="20.100000000000001" customHeight="1" x14ac:dyDescent="0.25">
      <c r="A64" s="39"/>
      <c r="B64" s="65"/>
      <c r="C64" s="42" t="s">
        <v>2741</v>
      </c>
      <c r="D64" s="52"/>
      <c r="E64" s="19"/>
      <c r="F64" s="19"/>
      <c r="G64" s="19"/>
      <c r="H64" s="42"/>
      <c r="I64" s="42">
        <v>1</v>
      </c>
      <c r="J64" s="42" t="s">
        <v>2312</v>
      </c>
      <c r="K64" s="42" t="s">
        <v>230</v>
      </c>
      <c r="L64" s="42" t="s">
        <v>2744</v>
      </c>
      <c r="M64" s="42" t="s">
        <v>422</v>
      </c>
      <c r="N64" s="52"/>
    </row>
    <row r="65" spans="1:14" ht="20.100000000000001" customHeight="1" x14ac:dyDescent="0.25">
      <c r="A65" s="39"/>
      <c r="B65" s="65"/>
      <c r="C65" s="42" t="s">
        <v>2742</v>
      </c>
      <c r="D65" s="52"/>
      <c r="E65" s="19"/>
      <c r="F65" s="19"/>
      <c r="G65" s="19"/>
      <c r="H65" s="42"/>
      <c r="I65" s="42">
        <v>1</v>
      </c>
      <c r="J65" s="42" t="s">
        <v>2312</v>
      </c>
      <c r="K65" s="42" t="s">
        <v>230</v>
      </c>
      <c r="L65" s="42" t="s">
        <v>2717</v>
      </c>
      <c r="M65" s="42" t="s">
        <v>422</v>
      </c>
      <c r="N65" s="52"/>
    </row>
    <row r="66" spans="1:14" ht="20.100000000000001" customHeight="1" x14ac:dyDescent="0.25">
      <c r="A66" s="39"/>
      <c r="B66" s="65" t="s">
        <v>2468</v>
      </c>
      <c r="C66" s="42" t="s">
        <v>2686</v>
      </c>
      <c r="D66" s="52"/>
      <c r="E66" s="19"/>
      <c r="F66" s="19"/>
      <c r="G66" s="19"/>
      <c r="H66" s="42"/>
      <c r="I66" s="42">
        <v>1</v>
      </c>
      <c r="J66" s="42" t="s">
        <v>2307</v>
      </c>
      <c r="K66" s="42" t="s">
        <v>232</v>
      </c>
      <c r="L66" s="42" t="s">
        <v>1030</v>
      </c>
      <c r="M66" s="42" t="s">
        <v>422</v>
      </c>
      <c r="N66" s="52"/>
    </row>
    <row r="67" spans="1:14" ht="20.100000000000001" customHeight="1" x14ac:dyDescent="0.25">
      <c r="A67" s="39"/>
      <c r="B67" s="65" t="s">
        <v>2468</v>
      </c>
      <c r="C67" s="42" t="s">
        <v>2687</v>
      </c>
      <c r="D67" s="52"/>
      <c r="E67" s="19"/>
      <c r="F67" s="19"/>
      <c r="G67" s="19"/>
      <c r="H67" s="42"/>
      <c r="I67" s="42">
        <v>1</v>
      </c>
      <c r="J67" s="42" t="s">
        <v>2307</v>
      </c>
      <c r="K67" s="42" t="s">
        <v>232</v>
      </c>
      <c r="L67" s="42" t="s">
        <v>1030</v>
      </c>
      <c r="M67" s="42" t="s">
        <v>422</v>
      </c>
      <c r="N67" s="52"/>
    </row>
    <row r="68" spans="1:14" ht="20.100000000000001" customHeight="1" x14ac:dyDescent="0.25">
      <c r="A68" s="39"/>
      <c r="B68" s="65" t="s">
        <v>2468</v>
      </c>
      <c r="C68" s="42" t="s">
        <v>2688</v>
      </c>
      <c r="D68" s="52"/>
      <c r="E68" s="19"/>
      <c r="F68" s="19"/>
      <c r="G68" s="19"/>
      <c r="H68" s="42"/>
      <c r="I68" s="42">
        <v>1</v>
      </c>
      <c r="J68" s="42" t="s">
        <v>2307</v>
      </c>
      <c r="K68" s="42" t="s">
        <v>232</v>
      </c>
      <c r="L68" s="42" t="s">
        <v>1030</v>
      </c>
      <c r="M68" s="42" t="s">
        <v>422</v>
      </c>
      <c r="N68" s="52"/>
    </row>
    <row r="69" spans="1:14" ht="20.100000000000001" customHeight="1" x14ac:dyDescent="0.25">
      <c r="A69" s="39"/>
      <c r="B69" s="65" t="s">
        <v>2468</v>
      </c>
      <c r="C69" s="42" t="s">
        <v>2689</v>
      </c>
      <c r="D69" s="52"/>
      <c r="E69" s="19"/>
      <c r="F69" s="19"/>
      <c r="G69" s="19"/>
      <c r="H69" s="42"/>
      <c r="I69" s="42">
        <v>1</v>
      </c>
      <c r="J69" s="42" t="s">
        <v>2307</v>
      </c>
      <c r="K69" s="42" t="s">
        <v>232</v>
      </c>
      <c r="L69" s="42" t="s">
        <v>1030</v>
      </c>
      <c r="M69" s="42" t="s">
        <v>422</v>
      </c>
      <c r="N69" s="52"/>
    </row>
    <row r="70" spans="1:14" ht="20.100000000000001" customHeight="1" x14ac:dyDescent="0.25">
      <c r="A70" s="39"/>
      <c r="B70" s="65" t="s">
        <v>2702</v>
      </c>
      <c r="C70" s="42" t="s">
        <v>2723</v>
      </c>
      <c r="D70" s="52"/>
      <c r="E70" s="19"/>
      <c r="F70" s="19"/>
      <c r="G70" s="19"/>
      <c r="H70" s="42"/>
      <c r="I70" s="42">
        <v>1</v>
      </c>
      <c r="J70" s="42" t="s">
        <v>2310</v>
      </c>
      <c r="K70" s="42" t="s">
        <v>232</v>
      </c>
      <c r="L70" s="42" t="s">
        <v>2375</v>
      </c>
      <c r="M70" s="42" t="s">
        <v>422</v>
      </c>
      <c r="N70" s="52"/>
    </row>
    <row r="71" spans="1:14" ht="20.100000000000001" customHeight="1" x14ac:dyDescent="0.25">
      <c r="A71" s="39"/>
      <c r="B71" s="65" t="s">
        <v>2702</v>
      </c>
      <c r="C71" s="42" t="s">
        <v>2724</v>
      </c>
      <c r="D71" s="52"/>
      <c r="E71" s="19"/>
      <c r="F71" s="19"/>
      <c r="G71" s="19"/>
      <c r="H71" s="42"/>
      <c r="I71" s="42">
        <v>1</v>
      </c>
      <c r="J71" s="42" t="s">
        <v>2310</v>
      </c>
      <c r="K71" s="42" t="s">
        <v>232</v>
      </c>
      <c r="L71" s="42" t="s">
        <v>2375</v>
      </c>
      <c r="M71" s="42" t="s">
        <v>422</v>
      </c>
      <c r="N71" s="52"/>
    </row>
    <row r="72" spans="1:14" ht="20.100000000000001" customHeight="1" x14ac:dyDescent="0.25">
      <c r="A72" s="39"/>
      <c r="B72" s="65" t="s">
        <v>2702</v>
      </c>
      <c r="C72" s="42" t="s">
        <v>2725</v>
      </c>
      <c r="D72" s="52"/>
      <c r="E72" s="19"/>
      <c r="F72" s="19"/>
      <c r="G72" s="19"/>
      <c r="H72" s="42"/>
      <c r="I72" s="42">
        <v>1</v>
      </c>
      <c r="J72" s="42" t="s">
        <v>2310</v>
      </c>
      <c r="K72" s="42" t="s">
        <v>232</v>
      </c>
      <c r="L72" s="42" t="s">
        <v>2375</v>
      </c>
      <c r="M72" s="42" t="s">
        <v>422</v>
      </c>
      <c r="N72" s="52"/>
    </row>
    <row r="73" spans="1:14" ht="20.100000000000001" customHeight="1" x14ac:dyDescent="0.25">
      <c r="A73" s="39"/>
      <c r="B73" s="65" t="s">
        <v>2702</v>
      </c>
      <c r="C73" s="42" t="s">
        <v>2726</v>
      </c>
      <c r="D73" s="52"/>
      <c r="E73" s="19"/>
      <c r="F73" s="19"/>
      <c r="G73" s="19"/>
      <c r="H73" s="42"/>
      <c r="I73" s="42">
        <v>1</v>
      </c>
      <c r="J73" s="42" t="s">
        <v>2310</v>
      </c>
      <c r="K73" s="42" t="s">
        <v>232</v>
      </c>
      <c r="L73" s="42" t="s">
        <v>2375</v>
      </c>
      <c r="M73" s="42" t="s">
        <v>422</v>
      </c>
      <c r="N73" s="52"/>
    </row>
    <row r="74" spans="1:14" ht="20.100000000000001" customHeight="1" x14ac:dyDescent="0.25">
      <c r="A74" s="39"/>
      <c r="B74" s="65" t="s">
        <v>2479</v>
      </c>
      <c r="C74" s="42" t="s">
        <v>2745</v>
      </c>
      <c r="D74" s="52"/>
      <c r="E74" s="19"/>
      <c r="F74" s="19"/>
      <c r="G74" s="19"/>
      <c r="H74" s="42"/>
      <c r="I74" s="42">
        <v>1</v>
      </c>
      <c r="J74" s="42" t="s">
        <v>2311</v>
      </c>
      <c r="K74" s="42" t="s">
        <v>232</v>
      </c>
      <c r="L74" s="45" t="s">
        <v>2743</v>
      </c>
      <c r="M74" s="42" t="s">
        <v>422</v>
      </c>
      <c r="N74" s="52"/>
    </row>
    <row r="75" spans="1:14" ht="20.100000000000001" customHeight="1" x14ac:dyDescent="0.25">
      <c r="A75" s="39"/>
      <c r="B75" s="65" t="s">
        <v>2479</v>
      </c>
      <c r="C75" s="42" t="s">
        <v>2746</v>
      </c>
      <c r="D75" s="52"/>
      <c r="E75" s="19"/>
      <c r="F75" s="19"/>
      <c r="G75" s="19"/>
      <c r="H75" s="42"/>
      <c r="I75" s="42">
        <v>1</v>
      </c>
      <c r="J75" s="42" t="s">
        <v>2311</v>
      </c>
      <c r="K75" s="42" t="s">
        <v>232</v>
      </c>
      <c r="L75" s="45" t="s">
        <v>2743</v>
      </c>
      <c r="M75" s="42" t="s">
        <v>422</v>
      </c>
      <c r="N75" s="52"/>
    </row>
    <row r="76" spans="1:14" ht="20.100000000000001" customHeight="1" x14ac:dyDescent="0.25">
      <c r="A76" s="39"/>
      <c r="B76" s="65"/>
      <c r="C76" s="42" t="s">
        <v>2747</v>
      </c>
      <c r="D76" s="52"/>
      <c r="E76" s="19"/>
      <c r="F76" s="19"/>
      <c r="G76" s="19"/>
      <c r="H76" s="42"/>
      <c r="I76" s="42">
        <v>1</v>
      </c>
      <c r="J76" s="42" t="s">
        <v>2312</v>
      </c>
      <c r="K76" s="42" t="s">
        <v>232</v>
      </c>
      <c r="L76" s="42" t="s">
        <v>2744</v>
      </c>
      <c r="M76" s="42" t="s">
        <v>422</v>
      </c>
      <c r="N76" s="52"/>
    </row>
    <row r="77" spans="1:14" ht="20.100000000000001" customHeight="1" x14ac:dyDescent="0.25">
      <c r="A77" s="39"/>
      <c r="B77" s="65"/>
      <c r="C77" s="42" t="s">
        <v>2748</v>
      </c>
      <c r="D77" s="52"/>
      <c r="E77" s="19"/>
      <c r="F77" s="19"/>
      <c r="G77" s="19"/>
      <c r="H77" s="42"/>
      <c r="I77" s="42">
        <v>1</v>
      </c>
      <c r="J77" s="42" t="s">
        <v>2312</v>
      </c>
      <c r="K77" s="42" t="s">
        <v>232</v>
      </c>
      <c r="L77" s="42" t="s">
        <v>2717</v>
      </c>
      <c r="M77" s="42" t="s">
        <v>422</v>
      </c>
      <c r="N77" s="52"/>
    </row>
    <row r="78" spans="1:14" ht="20.100000000000001" customHeight="1" x14ac:dyDescent="0.25">
      <c r="A78" s="39"/>
      <c r="B78" s="65" t="s">
        <v>2468</v>
      </c>
      <c r="C78" s="42" t="s">
        <v>2690</v>
      </c>
      <c r="D78" s="52"/>
      <c r="E78" s="19"/>
      <c r="F78" s="19"/>
      <c r="G78" s="19"/>
      <c r="H78" s="42"/>
      <c r="I78" s="42">
        <v>1</v>
      </c>
      <c r="J78" s="42" t="s">
        <v>2307</v>
      </c>
      <c r="K78" s="42" t="s">
        <v>234</v>
      </c>
      <c r="L78" s="42" t="s">
        <v>1030</v>
      </c>
      <c r="M78" s="42" t="s">
        <v>422</v>
      </c>
      <c r="N78" s="52"/>
    </row>
    <row r="79" spans="1:14" ht="20.100000000000001" customHeight="1" x14ac:dyDescent="0.25">
      <c r="A79" s="39"/>
      <c r="B79" s="65" t="s">
        <v>2468</v>
      </c>
      <c r="C79" s="42" t="s">
        <v>2691</v>
      </c>
      <c r="D79" s="52"/>
      <c r="E79" s="19"/>
      <c r="F79" s="19"/>
      <c r="G79" s="19"/>
      <c r="H79" s="42"/>
      <c r="I79" s="42">
        <v>1</v>
      </c>
      <c r="J79" s="42" t="s">
        <v>2307</v>
      </c>
      <c r="K79" s="42" t="s">
        <v>234</v>
      </c>
      <c r="L79" s="42" t="s">
        <v>1030</v>
      </c>
      <c r="M79" s="42" t="s">
        <v>422</v>
      </c>
      <c r="N79" s="52"/>
    </row>
    <row r="80" spans="1:14" ht="20.100000000000001" customHeight="1" x14ac:dyDescent="0.25">
      <c r="A80" s="39"/>
      <c r="B80" s="65" t="s">
        <v>2468</v>
      </c>
      <c r="C80" s="42" t="s">
        <v>2692</v>
      </c>
      <c r="D80" s="52"/>
      <c r="E80" s="19"/>
      <c r="F80" s="19"/>
      <c r="G80" s="19"/>
      <c r="H80" s="42"/>
      <c r="I80" s="42">
        <v>1</v>
      </c>
      <c r="J80" s="42" t="s">
        <v>2307</v>
      </c>
      <c r="K80" s="42" t="s">
        <v>234</v>
      </c>
      <c r="L80" s="42" t="s">
        <v>1030</v>
      </c>
      <c r="M80" s="42" t="s">
        <v>422</v>
      </c>
      <c r="N80" s="52"/>
    </row>
    <row r="81" spans="1:14" ht="20.100000000000001" customHeight="1" x14ac:dyDescent="0.25">
      <c r="A81" s="39"/>
      <c r="B81" s="65" t="s">
        <v>2468</v>
      </c>
      <c r="C81" s="42" t="s">
        <v>2693</v>
      </c>
      <c r="D81" s="52"/>
      <c r="E81" s="19"/>
      <c r="F81" s="19"/>
      <c r="G81" s="19"/>
      <c r="H81" s="42"/>
      <c r="I81" s="42">
        <v>1</v>
      </c>
      <c r="J81" s="42" t="s">
        <v>2307</v>
      </c>
      <c r="K81" s="42" t="s">
        <v>234</v>
      </c>
      <c r="L81" s="42" t="s">
        <v>1030</v>
      </c>
      <c r="M81" s="42" t="s">
        <v>422</v>
      </c>
      <c r="N81" s="52"/>
    </row>
    <row r="82" spans="1:14" ht="20.100000000000001" customHeight="1" x14ac:dyDescent="0.25">
      <c r="A82" s="39"/>
      <c r="B82" s="65" t="s">
        <v>2727</v>
      </c>
      <c r="C82" s="42" t="s">
        <v>2728</v>
      </c>
      <c r="D82" s="52"/>
      <c r="E82" s="19"/>
      <c r="F82" s="19"/>
      <c r="G82" s="19"/>
      <c r="H82" s="42"/>
      <c r="I82" s="42">
        <v>1</v>
      </c>
      <c r="J82" s="42" t="s">
        <v>2310</v>
      </c>
      <c r="K82" s="42" t="s">
        <v>234</v>
      </c>
      <c r="L82" s="42" t="s">
        <v>2375</v>
      </c>
      <c r="M82" s="42" t="s">
        <v>422</v>
      </c>
      <c r="N82" s="52"/>
    </row>
    <row r="83" spans="1:14" ht="20.100000000000001" customHeight="1" x14ac:dyDescent="0.25">
      <c r="A83" s="39"/>
      <c r="B83" s="65" t="s">
        <v>2727</v>
      </c>
      <c r="C83" s="42" t="s">
        <v>2729</v>
      </c>
      <c r="D83" s="52"/>
      <c r="E83" s="19"/>
      <c r="F83" s="19"/>
      <c r="G83" s="19"/>
      <c r="H83" s="42"/>
      <c r="I83" s="42">
        <v>1</v>
      </c>
      <c r="J83" s="42" t="s">
        <v>2310</v>
      </c>
      <c r="K83" s="42" t="s">
        <v>234</v>
      </c>
      <c r="L83" s="42" t="s">
        <v>2375</v>
      </c>
      <c r="M83" s="42" t="s">
        <v>422</v>
      </c>
      <c r="N83" s="52"/>
    </row>
    <row r="84" spans="1:14" ht="20.100000000000001" customHeight="1" x14ac:dyDescent="0.25">
      <c r="A84" s="39"/>
      <c r="B84" s="65" t="s">
        <v>2727</v>
      </c>
      <c r="C84" s="42" t="s">
        <v>2730</v>
      </c>
      <c r="D84" s="52"/>
      <c r="E84" s="19"/>
      <c r="F84" s="19"/>
      <c r="G84" s="19"/>
      <c r="H84" s="42"/>
      <c r="I84" s="42">
        <v>1</v>
      </c>
      <c r="J84" s="42" t="s">
        <v>2310</v>
      </c>
      <c r="K84" s="42" t="s">
        <v>234</v>
      </c>
      <c r="L84" s="42" t="s">
        <v>2375</v>
      </c>
      <c r="M84" s="42" t="s">
        <v>422</v>
      </c>
      <c r="N84" s="52"/>
    </row>
    <row r="85" spans="1:14" ht="20.100000000000001" customHeight="1" x14ac:dyDescent="0.25">
      <c r="A85" s="39"/>
      <c r="B85" s="65" t="s">
        <v>2727</v>
      </c>
      <c r="C85" s="42" t="s">
        <v>2731</v>
      </c>
      <c r="D85" s="52"/>
      <c r="E85" s="19"/>
      <c r="F85" s="19"/>
      <c r="G85" s="19"/>
      <c r="H85" s="42"/>
      <c r="I85" s="42">
        <v>1</v>
      </c>
      <c r="J85" s="42" t="s">
        <v>2310</v>
      </c>
      <c r="K85" s="42" t="s">
        <v>234</v>
      </c>
      <c r="L85" s="42" t="s">
        <v>2375</v>
      </c>
      <c r="M85" s="42" t="s">
        <v>422</v>
      </c>
      <c r="N85" s="52"/>
    </row>
    <row r="86" spans="1:14" ht="20.100000000000001" customHeight="1" x14ac:dyDescent="0.25">
      <c r="A86" s="39"/>
      <c r="B86" s="65" t="s">
        <v>2479</v>
      </c>
      <c r="C86" s="42" t="s">
        <v>2749</v>
      </c>
      <c r="D86" s="52"/>
      <c r="E86" s="19"/>
      <c r="F86" s="19"/>
      <c r="G86" s="19"/>
      <c r="H86" s="42"/>
      <c r="I86" s="42">
        <v>1</v>
      </c>
      <c r="J86" s="42" t="s">
        <v>2311</v>
      </c>
      <c r="K86" s="42" t="s">
        <v>234</v>
      </c>
      <c r="L86" s="45" t="s">
        <v>2743</v>
      </c>
      <c r="M86" s="42" t="s">
        <v>422</v>
      </c>
      <c r="N86" s="52"/>
    </row>
    <row r="87" spans="1:14" ht="20.100000000000001" customHeight="1" x14ac:dyDescent="0.25">
      <c r="A87" s="39"/>
      <c r="B87" s="65"/>
      <c r="C87" s="42" t="s">
        <v>2750</v>
      </c>
      <c r="D87" s="52"/>
      <c r="E87" s="19"/>
      <c r="F87" s="19"/>
      <c r="G87" s="19"/>
      <c r="H87" s="42"/>
      <c r="I87" s="42">
        <v>1</v>
      </c>
      <c r="J87" s="42" t="s">
        <v>2312</v>
      </c>
      <c r="K87" s="42" t="s">
        <v>234</v>
      </c>
      <c r="L87" s="42" t="s">
        <v>2744</v>
      </c>
      <c r="M87" s="42" t="s">
        <v>422</v>
      </c>
      <c r="N87" s="52"/>
    </row>
    <row r="88" spans="1:14" ht="20.100000000000001" customHeight="1" x14ac:dyDescent="0.25">
      <c r="A88" s="39"/>
      <c r="B88" s="65"/>
      <c r="C88" s="42" t="s">
        <v>2751</v>
      </c>
      <c r="D88" s="52"/>
      <c r="E88" s="19"/>
      <c r="F88" s="19"/>
      <c r="G88" s="19"/>
      <c r="H88" s="42"/>
      <c r="I88" s="42">
        <v>1</v>
      </c>
      <c r="J88" s="42" t="s">
        <v>2312</v>
      </c>
      <c r="K88" s="42" t="s">
        <v>234</v>
      </c>
      <c r="L88" s="42" t="s">
        <v>2717</v>
      </c>
      <c r="M88" s="42" t="s">
        <v>422</v>
      </c>
      <c r="N88" s="52"/>
    </row>
    <row r="89" spans="1:14" ht="20.100000000000001" customHeight="1" x14ac:dyDescent="0.25">
      <c r="A89" s="39"/>
      <c r="B89" s="65" t="s">
        <v>2468</v>
      </c>
      <c r="C89" s="42" t="s">
        <v>2695</v>
      </c>
      <c r="D89" s="52"/>
      <c r="E89" s="19"/>
      <c r="F89" s="19"/>
      <c r="G89" s="19"/>
      <c r="H89" s="42"/>
      <c r="I89" s="42">
        <v>1</v>
      </c>
      <c r="J89" s="42" t="s">
        <v>2307</v>
      </c>
      <c r="K89" s="42" t="s">
        <v>2694</v>
      </c>
      <c r="L89" s="42" t="s">
        <v>1030</v>
      </c>
      <c r="M89" s="42" t="s">
        <v>427</v>
      </c>
      <c r="N89" s="52"/>
    </row>
    <row r="90" spans="1:14" ht="20.100000000000001" customHeight="1" x14ac:dyDescent="0.25">
      <c r="A90" s="39"/>
      <c r="B90" s="65" t="s">
        <v>2468</v>
      </c>
      <c r="C90" s="42" t="s">
        <v>2696</v>
      </c>
      <c r="D90" s="52"/>
      <c r="E90" s="19"/>
      <c r="F90" s="19"/>
      <c r="G90" s="19"/>
      <c r="H90" s="42"/>
      <c r="I90" s="42">
        <v>1</v>
      </c>
      <c r="J90" s="42" t="s">
        <v>2307</v>
      </c>
      <c r="K90" s="42" t="s">
        <v>2694</v>
      </c>
      <c r="L90" s="42" t="s">
        <v>1030</v>
      </c>
      <c r="M90" s="42" t="s">
        <v>427</v>
      </c>
      <c r="N90" s="52"/>
    </row>
    <row r="91" spans="1:14" ht="20.100000000000001" customHeight="1" x14ac:dyDescent="0.25">
      <c r="A91" s="39"/>
      <c r="B91" s="65" t="s">
        <v>2468</v>
      </c>
      <c r="C91" s="42" t="s">
        <v>2697</v>
      </c>
      <c r="D91" s="52"/>
      <c r="E91" s="19"/>
      <c r="F91" s="19"/>
      <c r="G91" s="19"/>
      <c r="H91" s="42"/>
      <c r="I91" s="42">
        <v>1</v>
      </c>
      <c r="J91" s="42" t="s">
        <v>2307</v>
      </c>
      <c r="K91" s="42" t="s">
        <v>2694</v>
      </c>
      <c r="L91" s="42" t="s">
        <v>1030</v>
      </c>
      <c r="M91" s="42" t="s">
        <v>427</v>
      </c>
      <c r="N91" s="52"/>
    </row>
    <row r="92" spans="1:14" ht="20.100000000000001" customHeight="1" x14ac:dyDescent="0.25">
      <c r="A92" s="39"/>
      <c r="B92" s="65" t="s">
        <v>2468</v>
      </c>
      <c r="C92" s="42" t="s">
        <v>2698</v>
      </c>
      <c r="D92" s="52"/>
      <c r="E92" s="19"/>
      <c r="F92" s="19"/>
      <c r="G92" s="19"/>
      <c r="H92" s="42"/>
      <c r="I92" s="42">
        <v>1</v>
      </c>
      <c r="J92" s="42" t="s">
        <v>2307</v>
      </c>
      <c r="K92" s="42" t="s">
        <v>2694</v>
      </c>
      <c r="L92" s="42" t="s">
        <v>1030</v>
      </c>
      <c r="M92" s="42" t="s">
        <v>427</v>
      </c>
      <c r="N92" s="52"/>
    </row>
    <row r="93" spans="1:14" ht="20.100000000000001" customHeight="1" x14ac:dyDescent="0.25">
      <c r="A93" s="39"/>
      <c r="B93" s="65" t="s">
        <v>2727</v>
      </c>
      <c r="C93" s="42" t="s">
        <v>2732</v>
      </c>
      <c r="D93" s="52"/>
      <c r="E93" s="19"/>
      <c r="F93" s="19"/>
      <c r="G93" s="19"/>
      <c r="H93" s="42"/>
      <c r="I93" s="42">
        <v>1</v>
      </c>
      <c r="J93" s="42" t="s">
        <v>2310</v>
      </c>
      <c r="K93" s="42" t="s">
        <v>2694</v>
      </c>
      <c r="L93" s="42" t="s">
        <v>2375</v>
      </c>
      <c r="M93" s="42" t="s">
        <v>427</v>
      </c>
      <c r="N93" s="52"/>
    </row>
    <row r="94" spans="1:14" ht="20.100000000000001" customHeight="1" x14ac:dyDescent="0.25">
      <c r="A94" s="39"/>
      <c r="B94" s="65" t="s">
        <v>2727</v>
      </c>
      <c r="C94" s="42" t="s">
        <v>2733</v>
      </c>
      <c r="D94" s="52"/>
      <c r="E94" s="19"/>
      <c r="F94" s="19"/>
      <c r="G94" s="19"/>
      <c r="H94" s="42"/>
      <c r="I94" s="42">
        <v>1</v>
      </c>
      <c r="J94" s="42" t="s">
        <v>2310</v>
      </c>
      <c r="K94" s="42" t="s">
        <v>2694</v>
      </c>
      <c r="L94" s="42" t="s">
        <v>2375</v>
      </c>
      <c r="M94" s="42" t="s">
        <v>427</v>
      </c>
      <c r="N94" s="52"/>
    </row>
    <row r="95" spans="1:14" ht="20.100000000000001" customHeight="1" x14ac:dyDescent="0.25">
      <c r="A95" s="39"/>
      <c r="B95" s="65" t="s">
        <v>2727</v>
      </c>
      <c r="C95" s="42" t="s">
        <v>2734</v>
      </c>
      <c r="D95" s="52"/>
      <c r="E95" s="19"/>
      <c r="F95" s="19"/>
      <c r="G95" s="19"/>
      <c r="H95" s="42"/>
      <c r="I95" s="42">
        <v>1</v>
      </c>
      <c r="J95" s="42" t="s">
        <v>2310</v>
      </c>
      <c r="K95" s="42" t="s">
        <v>2694</v>
      </c>
      <c r="L95" s="42" t="s">
        <v>2375</v>
      </c>
      <c r="M95" s="42" t="s">
        <v>427</v>
      </c>
      <c r="N95" s="52"/>
    </row>
    <row r="96" spans="1:14" ht="20.100000000000001" customHeight="1" x14ac:dyDescent="0.25">
      <c r="A96" s="39"/>
      <c r="B96" s="65" t="s">
        <v>2727</v>
      </c>
      <c r="C96" s="42" t="s">
        <v>2735</v>
      </c>
      <c r="D96" s="52"/>
      <c r="E96" s="19"/>
      <c r="F96" s="19"/>
      <c r="G96" s="19"/>
      <c r="H96" s="42"/>
      <c r="I96" s="42">
        <v>1</v>
      </c>
      <c r="J96" s="42" t="s">
        <v>2310</v>
      </c>
      <c r="K96" s="42" t="s">
        <v>2694</v>
      </c>
      <c r="L96" s="42" t="s">
        <v>2375</v>
      </c>
      <c r="M96" s="42" t="s">
        <v>427</v>
      </c>
      <c r="N96" s="52"/>
    </row>
    <row r="97" spans="1:14" ht="20.100000000000001" customHeight="1" x14ac:dyDescent="0.25">
      <c r="A97" s="39"/>
      <c r="B97" s="65" t="s">
        <v>2313</v>
      </c>
      <c r="C97" s="42" t="s">
        <v>2737</v>
      </c>
      <c r="D97" s="52"/>
      <c r="E97" s="19"/>
      <c r="F97" s="19"/>
      <c r="G97" s="19"/>
      <c r="H97" s="42"/>
      <c r="I97" s="42">
        <v>1</v>
      </c>
      <c r="J97" s="42" t="s">
        <v>2311</v>
      </c>
      <c r="K97" s="42" t="s">
        <v>2694</v>
      </c>
      <c r="L97" s="42" t="s">
        <v>2308</v>
      </c>
      <c r="M97" s="42" t="s">
        <v>427</v>
      </c>
      <c r="N97" s="52"/>
    </row>
    <row r="98" spans="1:14" ht="20.100000000000001" customHeight="1" x14ac:dyDescent="0.25">
      <c r="A98" s="39"/>
      <c r="B98" s="65" t="s">
        <v>2795</v>
      </c>
      <c r="C98" s="42" t="s">
        <v>2797</v>
      </c>
      <c r="D98" s="52"/>
      <c r="E98" s="19"/>
      <c r="F98" s="19"/>
      <c r="G98" s="19"/>
      <c r="H98" s="42"/>
      <c r="I98" s="42">
        <v>1</v>
      </c>
      <c r="J98" s="42" t="s">
        <v>2307</v>
      </c>
      <c r="K98" s="42" t="s">
        <v>2736</v>
      </c>
      <c r="L98" s="42" t="s">
        <v>2794</v>
      </c>
      <c r="M98" s="42" t="s">
        <v>429</v>
      </c>
      <c r="N98" s="52"/>
    </row>
    <row r="99" spans="1:14" ht="20.100000000000001" customHeight="1" x14ac:dyDescent="0.25">
      <c r="A99" s="39"/>
      <c r="B99" s="65" t="s">
        <v>2795</v>
      </c>
      <c r="C99" s="42" t="s">
        <v>2798</v>
      </c>
      <c r="D99" s="52"/>
      <c r="E99" s="19"/>
      <c r="F99" s="19"/>
      <c r="G99" s="19"/>
      <c r="H99" s="42"/>
      <c r="I99" s="42">
        <v>1</v>
      </c>
      <c r="J99" s="42" t="s">
        <v>2307</v>
      </c>
      <c r="K99" s="42" t="s">
        <v>2736</v>
      </c>
      <c r="L99" s="42" t="s">
        <v>2794</v>
      </c>
      <c r="M99" s="42" t="s">
        <v>429</v>
      </c>
      <c r="N99" s="52"/>
    </row>
    <row r="100" spans="1:14" ht="20.100000000000001" customHeight="1" x14ac:dyDescent="0.25">
      <c r="A100" s="39"/>
      <c r="B100" s="65" t="s">
        <v>2795</v>
      </c>
      <c r="C100" s="42" t="s">
        <v>2799</v>
      </c>
      <c r="D100" s="52"/>
      <c r="E100" s="19"/>
      <c r="F100" s="19"/>
      <c r="G100" s="19"/>
      <c r="H100" s="42"/>
      <c r="I100" s="42">
        <v>1</v>
      </c>
      <c r="J100" s="42" t="s">
        <v>2307</v>
      </c>
      <c r="K100" s="42" t="s">
        <v>2736</v>
      </c>
      <c r="L100" s="42" t="s">
        <v>2794</v>
      </c>
      <c r="M100" s="42" t="s">
        <v>429</v>
      </c>
      <c r="N100" s="52"/>
    </row>
    <row r="101" spans="1:14" ht="20.100000000000001" customHeight="1" x14ac:dyDescent="0.25">
      <c r="A101" s="39"/>
      <c r="B101" s="65" t="s">
        <v>2801</v>
      </c>
      <c r="C101" s="42" t="s">
        <v>2802</v>
      </c>
      <c r="D101" s="52"/>
      <c r="E101" s="19"/>
      <c r="F101" s="19"/>
      <c r="G101" s="19"/>
      <c r="H101" s="42"/>
      <c r="I101" s="42">
        <v>1</v>
      </c>
      <c r="J101" s="42" t="s">
        <v>2310</v>
      </c>
      <c r="K101" s="42" t="s">
        <v>2736</v>
      </c>
      <c r="L101" s="42" t="s">
        <v>2794</v>
      </c>
      <c r="M101" s="42" t="s">
        <v>429</v>
      </c>
      <c r="N101" s="52"/>
    </row>
    <row r="102" spans="1:14" ht="20.100000000000001" customHeight="1" x14ac:dyDescent="0.25">
      <c r="A102" s="39"/>
      <c r="B102" s="65" t="s">
        <v>2801</v>
      </c>
      <c r="C102" s="42" t="s">
        <v>2803</v>
      </c>
      <c r="D102" s="52"/>
      <c r="E102" s="19"/>
      <c r="F102" s="19"/>
      <c r="G102" s="19"/>
      <c r="H102" s="42"/>
      <c r="I102" s="42">
        <v>1</v>
      </c>
      <c r="J102" s="42" t="s">
        <v>2310</v>
      </c>
      <c r="K102" s="42" t="s">
        <v>2736</v>
      </c>
      <c r="L102" s="42" t="s">
        <v>2794</v>
      </c>
      <c r="M102" s="42" t="s">
        <v>429</v>
      </c>
      <c r="N102" s="52"/>
    </row>
    <row r="103" spans="1:14" ht="20.100000000000001" customHeight="1" x14ac:dyDescent="0.25">
      <c r="A103" s="39"/>
      <c r="B103" s="65" t="s">
        <v>2801</v>
      </c>
      <c r="C103" s="42" t="s">
        <v>2800</v>
      </c>
      <c r="D103" s="52"/>
      <c r="E103" s="19"/>
      <c r="F103" s="19"/>
      <c r="G103" s="19"/>
      <c r="H103" s="42"/>
      <c r="I103" s="42">
        <v>1</v>
      </c>
      <c r="J103" s="42" t="s">
        <v>2310</v>
      </c>
      <c r="K103" s="42" t="s">
        <v>2736</v>
      </c>
      <c r="L103" s="42" t="s">
        <v>2794</v>
      </c>
      <c r="M103" s="42" t="s">
        <v>429</v>
      </c>
      <c r="N103" s="52"/>
    </row>
    <row r="104" spans="1:14" ht="20.100000000000001" customHeight="1" x14ac:dyDescent="0.25">
      <c r="A104" s="39"/>
      <c r="B104" s="65" t="s">
        <v>2801</v>
      </c>
      <c r="C104" s="42" t="s">
        <v>2804</v>
      </c>
      <c r="D104" s="52"/>
      <c r="E104" s="19"/>
      <c r="F104" s="19"/>
      <c r="G104" s="19"/>
      <c r="H104" s="42"/>
      <c r="I104" s="42">
        <v>1</v>
      </c>
      <c r="J104" s="42" t="s">
        <v>2310</v>
      </c>
      <c r="K104" s="42" t="s">
        <v>2736</v>
      </c>
      <c r="L104" s="42" t="s">
        <v>2794</v>
      </c>
      <c r="M104" s="42" t="s">
        <v>429</v>
      </c>
      <c r="N104" s="52"/>
    </row>
    <row r="105" spans="1:14" ht="20.100000000000001" customHeight="1" x14ac:dyDescent="0.25">
      <c r="A105" s="39"/>
      <c r="B105" s="65" t="s">
        <v>2313</v>
      </c>
      <c r="C105" s="42" t="s">
        <v>2796</v>
      </c>
      <c r="D105" s="52"/>
      <c r="E105" s="19"/>
      <c r="F105" s="19"/>
      <c r="G105" s="19"/>
      <c r="H105" s="42"/>
      <c r="I105" s="42">
        <v>1</v>
      </c>
      <c r="J105" s="42" t="s">
        <v>2311</v>
      </c>
      <c r="K105" s="42" t="s">
        <v>2736</v>
      </c>
      <c r="L105" s="42" t="s">
        <v>2308</v>
      </c>
      <c r="M105" s="42" t="s">
        <v>429</v>
      </c>
      <c r="N105" s="52"/>
    </row>
    <row r="106" spans="1:14" ht="20.100000000000001" customHeight="1" x14ac:dyDescent="0.25">
      <c r="A106" s="39"/>
      <c r="B106" s="65" t="s">
        <v>2838</v>
      </c>
      <c r="C106" s="42" t="s">
        <v>2836</v>
      </c>
      <c r="D106" s="52"/>
      <c r="E106" s="19"/>
      <c r="F106" s="19"/>
      <c r="G106" s="19"/>
      <c r="H106" s="42"/>
      <c r="I106" s="42">
        <v>0</v>
      </c>
      <c r="J106" s="42" t="s">
        <v>2307</v>
      </c>
      <c r="K106" s="42" t="s">
        <v>174</v>
      </c>
      <c r="L106" s="42" t="s">
        <v>2837</v>
      </c>
      <c r="M106" s="42" t="s">
        <v>371</v>
      </c>
      <c r="N106" s="52"/>
    </row>
    <row r="107" spans="1:14" ht="20.100000000000001" customHeight="1" x14ac:dyDescent="0.25">
      <c r="A107" s="39"/>
      <c r="B107" s="65" t="s">
        <v>2838</v>
      </c>
      <c r="C107" s="42" t="s">
        <v>2839</v>
      </c>
      <c r="D107" s="52"/>
      <c r="E107" s="19"/>
      <c r="F107" s="19"/>
      <c r="G107" s="19"/>
      <c r="H107" s="42"/>
      <c r="I107" s="42">
        <v>0</v>
      </c>
      <c r="J107" s="42" t="s">
        <v>2307</v>
      </c>
      <c r="K107" s="42" t="s">
        <v>174</v>
      </c>
      <c r="L107" s="42" t="s">
        <v>2837</v>
      </c>
      <c r="M107" s="42" t="s">
        <v>371</v>
      </c>
      <c r="N107" s="52"/>
    </row>
    <row r="108" spans="1:14" ht="20.100000000000001" customHeight="1" x14ac:dyDescent="0.25">
      <c r="A108" s="39"/>
      <c r="B108" s="65" t="s">
        <v>2838</v>
      </c>
      <c r="C108" s="42" t="s">
        <v>2840</v>
      </c>
      <c r="D108" s="52"/>
      <c r="E108" s="19"/>
      <c r="F108" s="19"/>
      <c r="G108" s="19"/>
      <c r="H108" s="42"/>
      <c r="I108" s="42">
        <v>0</v>
      </c>
      <c r="J108" s="42" t="s">
        <v>2307</v>
      </c>
      <c r="K108" s="42" t="s">
        <v>174</v>
      </c>
      <c r="L108" s="42" t="s">
        <v>2837</v>
      </c>
      <c r="M108" s="42" t="s">
        <v>371</v>
      </c>
      <c r="N108" s="52"/>
    </row>
    <row r="109" spans="1:14" ht="20.100000000000001" customHeight="1" x14ac:dyDescent="0.25">
      <c r="A109" s="39"/>
      <c r="B109" s="65" t="s">
        <v>2842</v>
      </c>
      <c r="C109" s="42" t="s">
        <v>2843</v>
      </c>
      <c r="D109" s="52"/>
      <c r="E109" s="19"/>
      <c r="F109" s="19"/>
      <c r="G109" s="19"/>
      <c r="H109" s="42"/>
      <c r="I109" s="42">
        <v>0</v>
      </c>
      <c r="J109" s="42" t="s">
        <v>2310</v>
      </c>
      <c r="K109" s="42" t="s">
        <v>174</v>
      </c>
      <c r="L109" s="42" t="s">
        <v>2841</v>
      </c>
      <c r="M109" s="42" t="s">
        <v>371</v>
      </c>
      <c r="N109" s="52"/>
    </row>
    <row r="110" spans="1:14" ht="20.100000000000001" customHeight="1" x14ac:dyDescent="0.25">
      <c r="A110" s="39"/>
      <c r="B110" s="65" t="s">
        <v>2842</v>
      </c>
      <c r="C110" s="42" t="s">
        <v>2844</v>
      </c>
      <c r="D110" s="52"/>
      <c r="E110" s="19"/>
      <c r="F110" s="19"/>
      <c r="G110" s="19"/>
      <c r="H110" s="42"/>
      <c r="I110" s="42">
        <v>0</v>
      </c>
      <c r="J110" s="42" t="s">
        <v>2310</v>
      </c>
      <c r="K110" s="42" t="s">
        <v>174</v>
      </c>
      <c r="L110" s="42" t="s">
        <v>2841</v>
      </c>
      <c r="M110" s="42" t="s">
        <v>371</v>
      </c>
      <c r="N110" s="52"/>
    </row>
    <row r="111" spans="1:14" ht="20.100000000000001" customHeight="1" x14ac:dyDescent="0.25">
      <c r="A111" s="39"/>
      <c r="B111" s="65" t="s">
        <v>2842</v>
      </c>
      <c r="C111" s="42" t="s">
        <v>2845</v>
      </c>
      <c r="D111" s="52"/>
      <c r="E111" s="19"/>
      <c r="F111" s="19"/>
      <c r="G111" s="19"/>
      <c r="H111" s="42"/>
      <c r="I111" s="42">
        <v>0</v>
      </c>
      <c r="J111" s="42" t="s">
        <v>2310</v>
      </c>
      <c r="K111" s="42" t="s">
        <v>174</v>
      </c>
      <c r="L111" s="42" t="s">
        <v>2841</v>
      </c>
      <c r="M111" s="42" t="s">
        <v>371</v>
      </c>
      <c r="N111" s="52"/>
    </row>
    <row r="112" spans="1:14" ht="20.100000000000001" customHeight="1" x14ac:dyDescent="0.25">
      <c r="A112" s="39"/>
      <c r="B112" s="65"/>
      <c r="C112" s="42" t="s">
        <v>2847</v>
      </c>
      <c r="D112" s="52"/>
      <c r="E112" s="19"/>
      <c r="F112" s="19"/>
      <c r="G112" s="19"/>
      <c r="H112" s="42"/>
      <c r="I112" s="42">
        <v>0</v>
      </c>
      <c r="J112" s="42" t="s">
        <v>2312</v>
      </c>
      <c r="K112" s="42" t="s">
        <v>174</v>
      </c>
      <c r="L112" s="42" t="s">
        <v>2846</v>
      </c>
      <c r="M112" s="42" t="s">
        <v>371</v>
      </c>
      <c r="N112" s="52"/>
    </row>
    <row r="113" spans="1:14" ht="20.100000000000001" customHeight="1" x14ac:dyDescent="0.25">
      <c r="A113" s="39"/>
      <c r="B113" s="65"/>
      <c r="C113" s="42" t="s">
        <v>2861</v>
      </c>
      <c r="D113" s="52"/>
      <c r="E113" s="19"/>
      <c r="F113" s="19"/>
      <c r="G113" s="19"/>
      <c r="H113" s="42"/>
      <c r="I113" s="42">
        <v>0</v>
      </c>
      <c r="J113" s="42" t="s">
        <v>2312</v>
      </c>
      <c r="K113" s="42" t="s">
        <v>174</v>
      </c>
      <c r="L113" s="42" t="s">
        <v>2846</v>
      </c>
      <c r="M113" s="42" t="s">
        <v>371</v>
      </c>
      <c r="N113" s="52"/>
    </row>
    <row r="114" spans="1:14" ht="20.100000000000001" customHeight="1" x14ac:dyDescent="0.25">
      <c r="A114" s="39"/>
      <c r="B114" s="65" t="s">
        <v>2863</v>
      </c>
      <c r="C114" s="42" t="s">
        <v>2855</v>
      </c>
      <c r="D114" s="52"/>
      <c r="E114" s="19"/>
      <c r="F114" s="19"/>
      <c r="G114" s="19"/>
      <c r="H114" s="42"/>
      <c r="I114" s="42">
        <v>0</v>
      </c>
      <c r="J114" s="42" t="s">
        <v>2307</v>
      </c>
      <c r="K114" s="42" t="s">
        <v>176</v>
      </c>
      <c r="L114" s="42" t="s">
        <v>2862</v>
      </c>
      <c r="M114" s="42" t="s">
        <v>371</v>
      </c>
      <c r="N114" s="52"/>
    </row>
    <row r="115" spans="1:14" ht="20.100000000000001" customHeight="1" x14ac:dyDescent="0.25">
      <c r="A115" s="39"/>
      <c r="B115" s="65" t="s">
        <v>2863</v>
      </c>
      <c r="C115" s="42" t="s">
        <v>2856</v>
      </c>
      <c r="D115" s="52"/>
      <c r="E115" s="19"/>
      <c r="F115" s="19"/>
      <c r="G115" s="19"/>
      <c r="H115" s="42"/>
      <c r="I115" s="42">
        <v>0</v>
      </c>
      <c r="J115" s="42" t="s">
        <v>2307</v>
      </c>
      <c r="K115" s="42" t="s">
        <v>176</v>
      </c>
      <c r="L115" s="42" t="s">
        <v>2862</v>
      </c>
      <c r="M115" s="42" t="s">
        <v>371</v>
      </c>
      <c r="N115" s="52"/>
    </row>
    <row r="116" spans="1:14" ht="20.100000000000001" customHeight="1" x14ac:dyDescent="0.25">
      <c r="A116" s="39"/>
      <c r="B116" s="65" t="s">
        <v>2842</v>
      </c>
      <c r="C116" s="42" t="s">
        <v>2857</v>
      </c>
      <c r="D116" s="52"/>
      <c r="E116" s="19"/>
      <c r="F116" s="19"/>
      <c r="G116" s="19"/>
      <c r="H116" s="42"/>
      <c r="I116" s="42">
        <v>0</v>
      </c>
      <c r="J116" s="42" t="s">
        <v>2310</v>
      </c>
      <c r="K116" s="42" t="s">
        <v>176</v>
      </c>
      <c r="L116" s="42" t="s">
        <v>2841</v>
      </c>
      <c r="M116" s="42" t="s">
        <v>371</v>
      </c>
      <c r="N116" s="52"/>
    </row>
    <row r="117" spans="1:14" ht="20.100000000000001" customHeight="1" x14ac:dyDescent="0.25">
      <c r="A117" s="39"/>
      <c r="B117" s="65" t="s">
        <v>2842</v>
      </c>
      <c r="C117" s="42" t="s">
        <v>2858</v>
      </c>
      <c r="D117" s="52"/>
      <c r="E117" s="19"/>
      <c r="F117" s="19"/>
      <c r="G117" s="19"/>
      <c r="H117" s="42"/>
      <c r="I117" s="42">
        <v>0</v>
      </c>
      <c r="J117" s="42" t="s">
        <v>2310</v>
      </c>
      <c r="K117" s="42" t="s">
        <v>176</v>
      </c>
      <c r="L117" s="42" t="s">
        <v>2841</v>
      </c>
      <c r="M117" s="42" t="s">
        <v>371</v>
      </c>
      <c r="N117" s="52"/>
    </row>
    <row r="118" spans="1:14" ht="20.100000000000001" customHeight="1" x14ac:dyDescent="0.25">
      <c r="A118" s="39"/>
      <c r="B118" s="65"/>
      <c r="C118" s="42" t="s">
        <v>2859</v>
      </c>
      <c r="D118" s="52"/>
      <c r="E118" s="19"/>
      <c r="F118" s="19"/>
      <c r="G118" s="19"/>
      <c r="H118" s="42"/>
      <c r="I118" s="42">
        <v>0</v>
      </c>
      <c r="J118" s="42" t="s">
        <v>2312</v>
      </c>
      <c r="K118" s="42" t="s">
        <v>176</v>
      </c>
      <c r="L118" s="42" t="s">
        <v>2854</v>
      </c>
      <c r="M118" s="42" t="s">
        <v>371</v>
      </c>
      <c r="N118" s="52"/>
    </row>
    <row r="119" spans="1:14" ht="20.100000000000001" customHeight="1" x14ac:dyDescent="0.25">
      <c r="A119" s="39"/>
      <c r="B119" s="65"/>
      <c r="C119" s="42" t="s">
        <v>2860</v>
      </c>
      <c r="D119" s="52"/>
      <c r="E119" s="19"/>
      <c r="F119" s="19"/>
      <c r="G119" s="19"/>
      <c r="H119" s="42"/>
      <c r="I119" s="42">
        <v>0</v>
      </c>
      <c r="J119" s="42" t="s">
        <v>2312</v>
      </c>
      <c r="K119" s="42" t="s">
        <v>176</v>
      </c>
      <c r="L119" s="42" t="s">
        <v>2854</v>
      </c>
      <c r="M119" s="42" t="s">
        <v>371</v>
      </c>
      <c r="N119" s="52"/>
    </row>
    <row r="120" spans="1:14" ht="20.100000000000001" customHeight="1" x14ac:dyDescent="0.25">
      <c r="A120" s="39"/>
      <c r="B120" s="65" t="s">
        <v>2838</v>
      </c>
      <c r="C120" s="42" t="s">
        <v>2848</v>
      </c>
      <c r="D120" s="52"/>
      <c r="E120" s="19"/>
      <c r="F120" s="19"/>
      <c r="G120" s="19"/>
      <c r="H120" s="42"/>
      <c r="I120" s="42">
        <v>0</v>
      </c>
      <c r="J120" s="42" t="s">
        <v>2307</v>
      </c>
      <c r="K120" s="42" t="s">
        <v>178</v>
      </c>
      <c r="L120" s="42" t="s">
        <v>2837</v>
      </c>
      <c r="M120" s="42" t="s">
        <v>371</v>
      </c>
      <c r="N120" s="52"/>
    </row>
    <row r="121" spans="1:14" ht="20.100000000000001" customHeight="1" x14ac:dyDescent="0.25">
      <c r="A121" s="39"/>
      <c r="B121" s="65" t="s">
        <v>2838</v>
      </c>
      <c r="C121" s="42" t="s">
        <v>2852</v>
      </c>
      <c r="D121" s="52"/>
      <c r="E121" s="19"/>
      <c r="F121" s="19"/>
      <c r="G121" s="19"/>
      <c r="H121" s="42"/>
      <c r="I121" s="42">
        <v>0</v>
      </c>
      <c r="J121" s="42" t="s">
        <v>2307</v>
      </c>
      <c r="K121" s="42" t="s">
        <v>178</v>
      </c>
      <c r="L121" s="42" t="s">
        <v>2837</v>
      </c>
      <c r="M121" s="42" t="s">
        <v>371</v>
      </c>
      <c r="N121" s="52"/>
    </row>
    <row r="122" spans="1:14" ht="20.100000000000001" customHeight="1" x14ac:dyDescent="0.25">
      <c r="A122" s="39"/>
      <c r="B122" s="65" t="s">
        <v>2838</v>
      </c>
      <c r="C122" s="42" t="s">
        <v>2853</v>
      </c>
      <c r="D122" s="52"/>
      <c r="E122" s="19"/>
      <c r="F122" s="19"/>
      <c r="G122" s="19"/>
      <c r="H122" s="42"/>
      <c r="I122" s="42">
        <v>0</v>
      </c>
      <c r="J122" s="42" t="s">
        <v>2307</v>
      </c>
      <c r="K122" s="42" t="s">
        <v>178</v>
      </c>
      <c r="L122" s="42" t="s">
        <v>2837</v>
      </c>
      <c r="M122" s="42" t="s">
        <v>371</v>
      </c>
      <c r="N122" s="52"/>
    </row>
    <row r="123" spans="1:14" ht="20.100000000000001" customHeight="1" x14ac:dyDescent="0.25">
      <c r="A123" s="39"/>
      <c r="B123" s="65" t="s">
        <v>2842</v>
      </c>
      <c r="C123" s="42" t="s">
        <v>2849</v>
      </c>
      <c r="D123" s="52"/>
      <c r="E123" s="19"/>
      <c r="F123" s="19"/>
      <c r="G123" s="19"/>
      <c r="H123" s="42"/>
      <c r="I123" s="42">
        <v>0</v>
      </c>
      <c r="J123" s="42" t="s">
        <v>2310</v>
      </c>
      <c r="K123" s="42" t="s">
        <v>178</v>
      </c>
      <c r="L123" s="42" t="s">
        <v>2841</v>
      </c>
      <c r="M123" s="42" t="s">
        <v>371</v>
      </c>
      <c r="N123" s="52"/>
    </row>
    <row r="124" spans="1:14" ht="20.100000000000001" customHeight="1" x14ac:dyDescent="0.25">
      <c r="A124" s="39"/>
      <c r="B124" s="65" t="s">
        <v>2842</v>
      </c>
      <c r="C124" s="42" t="s">
        <v>2850</v>
      </c>
      <c r="D124" s="52"/>
      <c r="E124" s="19"/>
      <c r="F124" s="19"/>
      <c r="G124" s="19"/>
      <c r="H124" s="42"/>
      <c r="I124" s="42">
        <v>0</v>
      </c>
      <c r="J124" s="42" t="s">
        <v>2310</v>
      </c>
      <c r="K124" s="42" t="s">
        <v>178</v>
      </c>
      <c r="L124" s="42" t="s">
        <v>2841</v>
      </c>
      <c r="M124" s="42" t="s">
        <v>371</v>
      </c>
      <c r="N124" s="52"/>
    </row>
    <row r="125" spans="1:14" ht="20.100000000000001" customHeight="1" x14ac:dyDescent="0.25">
      <c r="A125" s="39"/>
      <c r="B125" s="65" t="s">
        <v>2842</v>
      </c>
      <c r="C125" s="42" t="s">
        <v>2851</v>
      </c>
      <c r="D125" s="52"/>
      <c r="E125" s="19"/>
      <c r="F125" s="19"/>
      <c r="G125" s="19"/>
      <c r="H125" s="42"/>
      <c r="I125" s="42">
        <v>0</v>
      </c>
      <c r="J125" s="42" t="s">
        <v>2310</v>
      </c>
      <c r="K125" s="42" t="s">
        <v>178</v>
      </c>
      <c r="L125" s="42" t="s">
        <v>2841</v>
      </c>
      <c r="M125" s="42" t="s">
        <v>371</v>
      </c>
      <c r="N125" s="52"/>
    </row>
    <row r="126" spans="1:14" ht="20.100000000000001" customHeight="1" x14ac:dyDescent="0.25">
      <c r="A126" s="39"/>
      <c r="B126" s="65"/>
      <c r="C126" s="42" t="s">
        <v>2847</v>
      </c>
      <c r="D126" s="52"/>
      <c r="E126" s="19"/>
      <c r="F126" s="19"/>
      <c r="G126" s="19"/>
      <c r="H126" s="42"/>
      <c r="I126" s="42">
        <v>0</v>
      </c>
      <c r="J126" s="42" t="s">
        <v>2312</v>
      </c>
      <c r="K126" s="42" t="s">
        <v>178</v>
      </c>
      <c r="L126" s="42" t="s">
        <v>2846</v>
      </c>
      <c r="M126" s="42" t="s">
        <v>371</v>
      </c>
      <c r="N126" s="52"/>
    </row>
    <row r="127" spans="1:14" ht="20.100000000000001" customHeight="1" x14ac:dyDescent="0.25">
      <c r="A127" s="39"/>
      <c r="B127" s="65" t="s">
        <v>2863</v>
      </c>
      <c r="C127" s="42" t="s">
        <v>2864</v>
      </c>
      <c r="D127" s="52"/>
      <c r="E127" s="19"/>
      <c r="F127" s="19"/>
      <c r="G127" s="19"/>
      <c r="H127" s="42"/>
      <c r="I127" s="42">
        <v>0</v>
      </c>
      <c r="J127" s="42" t="s">
        <v>2307</v>
      </c>
      <c r="K127" s="42" t="s">
        <v>180</v>
      </c>
      <c r="L127" s="42" t="s">
        <v>2862</v>
      </c>
      <c r="M127" s="42" t="s">
        <v>371</v>
      </c>
      <c r="N127" s="52"/>
    </row>
    <row r="128" spans="1:14" ht="20.100000000000001" customHeight="1" x14ac:dyDescent="0.25">
      <c r="A128" s="39"/>
      <c r="B128" s="65" t="s">
        <v>2842</v>
      </c>
      <c r="C128" s="42" t="s">
        <v>2865</v>
      </c>
      <c r="D128" s="52"/>
      <c r="E128" s="19"/>
      <c r="F128" s="19"/>
      <c r="G128" s="19"/>
      <c r="H128" s="42"/>
      <c r="I128" s="42">
        <v>0</v>
      </c>
      <c r="J128" s="42" t="s">
        <v>2310</v>
      </c>
      <c r="K128" s="42" t="s">
        <v>180</v>
      </c>
      <c r="L128" s="42" t="s">
        <v>2841</v>
      </c>
      <c r="M128" s="42" t="s">
        <v>371</v>
      </c>
      <c r="N128" s="52"/>
    </row>
    <row r="129" spans="1:14" ht="20.100000000000001" customHeight="1" x14ac:dyDescent="0.25">
      <c r="A129" s="39"/>
      <c r="B129" s="65"/>
      <c r="C129" s="42" t="s">
        <v>2866</v>
      </c>
      <c r="D129" s="52"/>
      <c r="E129" s="19"/>
      <c r="F129" s="19"/>
      <c r="G129" s="19"/>
      <c r="H129" s="42"/>
      <c r="I129" s="42">
        <v>0</v>
      </c>
      <c r="J129" s="42" t="s">
        <v>2312</v>
      </c>
      <c r="K129" s="42" t="s">
        <v>180</v>
      </c>
      <c r="L129" s="42" t="s">
        <v>2854</v>
      </c>
      <c r="M129" s="42" t="s">
        <v>371</v>
      </c>
      <c r="N129" s="52"/>
    </row>
    <row r="130" spans="1:14" ht="20.100000000000001" customHeight="1" x14ac:dyDescent="0.25">
      <c r="A130" s="39"/>
      <c r="B130" s="65" t="s">
        <v>2929</v>
      </c>
      <c r="C130" s="42" t="s">
        <v>2928</v>
      </c>
      <c r="D130" s="52"/>
      <c r="E130" s="19"/>
      <c r="F130" s="19"/>
      <c r="G130" s="19"/>
      <c r="H130" s="42"/>
      <c r="I130" s="42">
        <v>1</v>
      </c>
      <c r="J130" s="42" t="s">
        <v>2307</v>
      </c>
      <c r="K130" s="42" t="s">
        <v>182</v>
      </c>
      <c r="L130" s="42" t="s">
        <v>1030</v>
      </c>
      <c r="M130" s="42" t="s">
        <v>376</v>
      </c>
      <c r="N130" s="52"/>
    </row>
    <row r="131" spans="1:14" ht="20.100000000000001" customHeight="1" x14ac:dyDescent="0.25">
      <c r="A131" s="39"/>
      <c r="B131" s="65" t="s">
        <v>2929</v>
      </c>
      <c r="C131" s="42" t="s">
        <v>2930</v>
      </c>
      <c r="D131" s="52"/>
      <c r="E131" s="19"/>
      <c r="F131" s="19"/>
      <c r="G131" s="19"/>
      <c r="H131" s="42"/>
      <c r="I131" s="42">
        <v>1</v>
      </c>
      <c r="J131" s="42" t="s">
        <v>2307</v>
      </c>
      <c r="K131" s="42" t="s">
        <v>182</v>
      </c>
      <c r="L131" s="42" t="s">
        <v>1030</v>
      </c>
      <c r="M131" s="42" t="s">
        <v>376</v>
      </c>
      <c r="N131" s="52"/>
    </row>
    <row r="132" spans="1:14" ht="20.100000000000001" customHeight="1" x14ac:dyDescent="0.25">
      <c r="A132" s="39"/>
      <c r="B132" s="65" t="s">
        <v>2929</v>
      </c>
      <c r="C132" s="42" t="s">
        <v>2931</v>
      </c>
      <c r="D132" s="52"/>
      <c r="E132" s="19"/>
      <c r="F132" s="19"/>
      <c r="G132" s="19"/>
      <c r="H132" s="42"/>
      <c r="I132" s="42">
        <v>1</v>
      </c>
      <c r="J132" s="42" t="s">
        <v>2307</v>
      </c>
      <c r="K132" s="42" t="s">
        <v>182</v>
      </c>
      <c r="L132" s="42" t="s">
        <v>1030</v>
      </c>
      <c r="M132" s="42" t="s">
        <v>376</v>
      </c>
      <c r="N132" s="52"/>
    </row>
    <row r="133" spans="1:14" ht="20.100000000000001" customHeight="1" x14ac:dyDescent="0.25">
      <c r="A133" s="39"/>
      <c r="B133" s="65" t="s">
        <v>2929</v>
      </c>
      <c r="C133" s="42" t="s">
        <v>2932</v>
      </c>
      <c r="D133" s="52"/>
      <c r="E133" s="19"/>
      <c r="F133" s="19"/>
      <c r="G133" s="19"/>
      <c r="H133" s="42"/>
      <c r="I133" s="42">
        <v>1</v>
      </c>
      <c r="J133" s="42" t="s">
        <v>2307</v>
      </c>
      <c r="K133" s="42" t="s">
        <v>182</v>
      </c>
      <c r="L133" s="42" t="s">
        <v>1030</v>
      </c>
      <c r="M133" s="42" t="s">
        <v>376</v>
      </c>
      <c r="N133" s="52"/>
    </row>
    <row r="134" spans="1:14" ht="20.100000000000001" customHeight="1" x14ac:dyDescent="0.25">
      <c r="A134" s="39"/>
      <c r="B134" s="67" t="s">
        <v>2934</v>
      </c>
      <c r="C134" s="42" t="s">
        <v>2935</v>
      </c>
      <c r="D134" s="52"/>
      <c r="E134" s="19"/>
      <c r="F134" s="19"/>
      <c r="G134" s="19"/>
      <c r="H134" s="42"/>
      <c r="I134" s="42">
        <v>1</v>
      </c>
      <c r="J134" s="42" t="s">
        <v>2310</v>
      </c>
      <c r="K134" s="42" t="s">
        <v>182</v>
      </c>
      <c r="L134" s="42" t="s">
        <v>2933</v>
      </c>
      <c r="M134" s="42" t="s">
        <v>376</v>
      </c>
      <c r="N134" s="52"/>
    </row>
    <row r="135" spans="1:14" ht="20.100000000000001" customHeight="1" x14ac:dyDescent="0.25">
      <c r="A135" s="39"/>
      <c r="B135" s="67" t="s">
        <v>2934</v>
      </c>
      <c r="C135" s="42" t="s">
        <v>2936</v>
      </c>
      <c r="D135" s="52"/>
      <c r="E135" s="19"/>
      <c r="F135" s="19"/>
      <c r="G135" s="19"/>
      <c r="H135" s="42"/>
      <c r="I135" s="42">
        <v>1</v>
      </c>
      <c r="J135" s="42" t="s">
        <v>2310</v>
      </c>
      <c r="K135" s="42" t="s">
        <v>182</v>
      </c>
      <c r="L135" s="42" t="s">
        <v>2933</v>
      </c>
      <c r="M135" s="42" t="s">
        <v>376</v>
      </c>
      <c r="N135" s="52"/>
    </row>
    <row r="136" spans="1:14" ht="20.100000000000001" customHeight="1" x14ac:dyDescent="0.25">
      <c r="A136" s="39"/>
      <c r="B136" s="67" t="s">
        <v>2934</v>
      </c>
      <c r="C136" s="42" t="s">
        <v>2937</v>
      </c>
      <c r="D136" s="52"/>
      <c r="E136" s="19"/>
      <c r="F136" s="19"/>
      <c r="G136" s="19"/>
      <c r="H136" s="42"/>
      <c r="I136" s="42">
        <v>1</v>
      </c>
      <c r="J136" s="42" t="s">
        <v>2310</v>
      </c>
      <c r="K136" s="42" t="s">
        <v>182</v>
      </c>
      <c r="L136" s="42" t="s">
        <v>2933</v>
      </c>
      <c r="M136" s="42" t="s">
        <v>376</v>
      </c>
      <c r="N136" s="52"/>
    </row>
    <row r="137" spans="1:14" ht="20.100000000000001" customHeight="1" x14ac:dyDescent="0.25">
      <c r="A137" s="39"/>
      <c r="B137" s="67" t="s">
        <v>2934</v>
      </c>
      <c r="C137" s="42" t="s">
        <v>2938</v>
      </c>
      <c r="D137" s="52"/>
      <c r="E137" s="19"/>
      <c r="F137" s="19"/>
      <c r="G137" s="19"/>
      <c r="H137" s="42"/>
      <c r="I137" s="42">
        <v>1</v>
      </c>
      <c r="J137" s="42" t="s">
        <v>2310</v>
      </c>
      <c r="K137" s="42" t="s">
        <v>182</v>
      </c>
      <c r="L137" s="42" t="s">
        <v>2933</v>
      </c>
      <c r="M137" s="42" t="s">
        <v>376</v>
      </c>
      <c r="N137" s="52"/>
    </row>
    <row r="138" spans="1:14" ht="20.100000000000001" customHeight="1" x14ac:dyDescent="0.25">
      <c r="A138" s="39"/>
      <c r="B138" s="67" t="s">
        <v>2939</v>
      </c>
      <c r="C138" s="42" t="s">
        <v>2940</v>
      </c>
      <c r="D138" s="52"/>
      <c r="E138" s="19"/>
      <c r="F138" s="19"/>
      <c r="G138" s="19"/>
      <c r="H138" s="42"/>
      <c r="I138" s="42">
        <v>1</v>
      </c>
      <c r="J138" s="42" t="s">
        <v>2311</v>
      </c>
      <c r="K138" s="42" t="s">
        <v>182</v>
      </c>
      <c r="L138" s="42" t="s">
        <v>2308</v>
      </c>
      <c r="M138" s="42" t="s">
        <v>376</v>
      </c>
      <c r="N138" s="52"/>
    </row>
    <row r="139" spans="1:14" ht="20.100000000000001" customHeight="1" x14ac:dyDescent="0.25">
      <c r="A139" s="39"/>
      <c r="B139" s="67" t="s">
        <v>2939</v>
      </c>
      <c r="C139" s="42" t="s">
        <v>2941</v>
      </c>
      <c r="D139" s="52"/>
      <c r="E139" s="19"/>
      <c r="F139" s="19"/>
      <c r="G139" s="19"/>
      <c r="H139" s="42"/>
      <c r="I139" s="42">
        <v>1</v>
      </c>
      <c r="J139" s="42" t="s">
        <v>2311</v>
      </c>
      <c r="K139" s="42" t="s">
        <v>182</v>
      </c>
      <c r="L139" s="42" t="s">
        <v>2308</v>
      </c>
      <c r="M139" s="42" t="s">
        <v>376</v>
      </c>
      <c r="N139" s="52"/>
    </row>
    <row r="140" spans="1:14" ht="20.100000000000001" customHeight="1" x14ac:dyDescent="0.25">
      <c r="A140" s="39"/>
      <c r="B140" s="65" t="s">
        <v>2929</v>
      </c>
      <c r="C140" s="42" t="s">
        <v>2942</v>
      </c>
      <c r="D140" s="52"/>
      <c r="E140" s="19"/>
      <c r="F140" s="19"/>
      <c r="G140" s="19"/>
      <c r="H140" s="42"/>
      <c r="I140" s="42">
        <v>1</v>
      </c>
      <c r="J140" s="42" t="s">
        <v>2307</v>
      </c>
      <c r="K140" s="42" t="s">
        <v>188</v>
      </c>
      <c r="L140" s="42" t="s">
        <v>1030</v>
      </c>
      <c r="M140" s="42" t="s">
        <v>376</v>
      </c>
      <c r="N140" s="52"/>
    </row>
    <row r="141" spans="1:14" ht="20.100000000000001" customHeight="1" x14ac:dyDescent="0.25">
      <c r="A141" s="39"/>
      <c r="B141" s="65" t="s">
        <v>2929</v>
      </c>
      <c r="C141" s="42" t="s">
        <v>2943</v>
      </c>
      <c r="D141" s="52"/>
      <c r="E141" s="19"/>
      <c r="F141" s="19"/>
      <c r="G141" s="19"/>
      <c r="H141" s="42"/>
      <c r="I141" s="42">
        <v>1</v>
      </c>
      <c r="J141" s="42" t="s">
        <v>2307</v>
      </c>
      <c r="K141" s="42" t="s">
        <v>188</v>
      </c>
      <c r="L141" s="42" t="s">
        <v>1030</v>
      </c>
      <c r="M141" s="42" t="s">
        <v>376</v>
      </c>
      <c r="N141" s="52"/>
    </row>
    <row r="142" spans="1:14" ht="20.100000000000001" customHeight="1" x14ac:dyDescent="0.25">
      <c r="A142" s="39"/>
      <c r="B142" s="65" t="s">
        <v>2929</v>
      </c>
      <c r="C142" s="42" t="s">
        <v>2944</v>
      </c>
      <c r="D142" s="52"/>
      <c r="E142" s="19"/>
      <c r="F142" s="19"/>
      <c r="G142" s="19"/>
      <c r="H142" s="42"/>
      <c r="I142" s="42">
        <v>1</v>
      </c>
      <c r="J142" s="42" t="s">
        <v>2307</v>
      </c>
      <c r="K142" s="42" t="s">
        <v>188</v>
      </c>
      <c r="L142" s="42" t="s">
        <v>1030</v>
      </c>
      <c r="M142" s="42" t="s">
        <v>376</v>
      </c>
      <c r="N142" s="52"/>
    </row>
    <row r="143" spans="1:14" ht="20.100000000000001" customHeight="1" x14ac:dyDescent="0.25">
      <c r="A143" s="39"/>
      <c r="B143" s="65" t="s">
        <v>2929</v>
      </c>
      <c r="C143" s="42" t="s">
        <v>2945</v>
      </c>
      <c r="D143" s="52"/>
      <c r="E143" s="19"/>
      <c r="F143" s="19"/>
      <c r="G143" s="19"/>
      <c r="H143" s="42"/>
      <c r="I143" s="42">
        <v>1</v>
      </c>
      <c r="J143" s="42" t="s">
        <v>2307</v>
      </c>
      <c r="K143" s="42" t="s">
        <v>188</v>
      </c>
      <c r="L143" s="42" t="s">
        <v>1030</v>
      </c>
      <c r="M143" s="42" t="s">
        <v>376</v>
      </c>
      <c r="N143" s="52"/>
    </row>
    <row r="144" spans="1:14" ht="20.100000000000001" customHeight="1" x14ac:dyDescent="0.25">
      <c r="A144" s="39"/>
      <c r="B144" s="67" t="s">
        <v>2934</v>
      </c>
      <c r="C144" s="42" t="s">
        <v>2946</v>
      </c>
      <c r="D144" s="52"/>
      <c r="E144" s="19"/>
      <c r="F144" s="19"/>
      <c r="G144" s="19"/>
      <c r="H144" s="42"/>
      <c r="I144" s="42">
        <v>1</v>
      </c>
      <c r="J144" s="42" t="s">
        <v>2310</v>
      </c>
      <c r="K144" s="42" t="s">
        <v>188</v>
      </c>
      <c r="L144" s="42" t="s">
        <v>2933</v>
      </c>
      <c r="M144" s="42" t="s">
        <v>376</v>
      </c>
      <c r="N144" s="52"/>
    </row>
    <row r="145" spans="1:14" ht="20.100000000000001" customHeight="1" x14ac:dyDescent="0.25">
      <c r="A145" s="39"/>
      <c r="B145" s="67" t="s">
        <v>2934</v>
      </c>
      <c r="C145" s="42" t="s">
        <v>2947</v>
      </c>
      <c r="D145" s="52"/>
      <c r="E145" s="19"/>
      <c r="F145" s="19"/>
      <c r="G145" s="19"/>
      <c r="H145" s="42"/>
      <c r="I145" s="42">
        <v>1</v>
      </c>
      <c r="J145" s="42" t="s">
        <v>2310</v>
      </c>
      <c r="K145" s="42" t="s">
        <v>188</v>
      </c>
      <c r="L145" s="42" t="s">
        <v>2933</v>
      </c>
      <c r="M145" s="42" t="s">
        <v>376</v>
      </c>
      <c r="N145" s="52"/>
    </row>
    <row r="146" spans="1:14" ht="20.100000000000001" customHeight="1" x14ac:dyDescent="0.25">
      <c r="A146" s="39"/>
      <c r="B146" s="67" t="s">
        <v>2934</v>
      </c>
      <c r="C146" s="42" t="s">
        <v>2948</v>
      </c>
      <c r="D146" s="52"/>
      <c r="E146" s="19"/>
      <c r="F146" s="19"/>
      <c r="G146" s="19"/>
      <c r="H146" s="42"/>
      <c r="I146" s="42">
        <v>1</v>
      </c>
      <c r="J146" s="42" t="s">
        <v>2310</v>
      </c>
      <c r="K146" s="42" t="s">
        <v>188</v>
      </c>
      <c r="L146" s="42" t="s">
        <v>2933</v>
      </c>
      <c r="M146" s="42" t="s">
        <v>376</v>
      </c>
      <c r="N146" s="52"/>
    </row>
    <row r="147" spans="1:14" ht="20.100000000000001" customHeight="1" x14ac:dyDescent="0.25">
      <c r="A147" s="39"/>
      <c r="B147" s="67" t="s">
        <v>2934</v>
      </c>
      <c r="C147" s="42" t="s">
        <v>2949</v>
      </c>
      <c r="D147" s="52"/>
      <c r="E147" s="19"/>
      <c r="F147" s="19"/>
      <c r="G147" s="19"/>
      <c r="H147" s="42"/>
      <c r="I147" s="42">
        <v>1</v>
      </c>
      <c r="J147" s="42" t="s">
        <v>2310</v>
      </c>
      <c r="K147" s="42" t="s">
        <v>188</v>
      </c>
      <c r="L147" s="42" t="s">
        <v>2933</v>
      </c>
      <c r="M147" s="42" t="s">
        <v>376</v>
      </c>
      <c r="N147" s="52"/>
    </row>
    <row r="148" spans="1:14" ht="20.100000000000001" customHeight="1" x14ac:dyDescent="0.25">
      <c r="A148" s="39"/>
      <c r="B148" s="67" t="s">
        <v>2939</v>
      </c>
      <c r="C148" s="42" t="s">
        <v>2950</v>
      </c>
      <c r="D148" s="52"/>
      <c r="E148" s="19"/>
      <c r="F148" s="19"/>
      <c r="G148" s="19"/>
      <c r="H148" s="42"/>
      <c r="I148" s="42">
        <v>1</v>
      </c>
      <c r="J148" s="42" t="s">
        <v>2311</v>
      </c>
      <c r="K148" s="42" t="s">
        <v>188</v>
      </c>
      <c r="L148" s="42" t="s">
        <v>2308</v>
      </c>
      <c r="M148" s="42" t="s">
        <v>376</v>
      </c>
      <c r="N148" s="52"/>
    </row>
    <row r="149" spans="1:14" ht="20.100000000000001" customHeight="1" x14ac:dyDescent="0.25">
      <c r="A149" s="39"/>
      <c r="B149" s="67" t="s">
        <v>2939</v>
      </c>
      <c r="C149" s="42" t="s">
        <v>2951</v>
      </c>
      <c r="D149" s="52"/>
      <c r="E149" s="19"/>
      <c r="F149" s="19"/>
      <c r="G149" s="19"/>
      <c r="H149" s="42"/>
      <c r="I149" s="42">
        <v>1</v>
      </c>
      <c r="J149" s="42" t="s">
        <v>2311</v>
      </c>
      <c r="K149" s="42" t="s">
        <v>188</v>
      </c>
      <c r="L149" s="42" t="s">
        <v>2308</v>
      </c>
      <c r="M149" s="42" t="s">
        <v>376</v>
      </c>
      <c r="N149" s="52"/>
    </row>
    <row r="150" spans="1:14" ht="20.100000000000001" customHeight="1" x14ac:dyDescent="0.25">
      <c r="A150" s="39"/>
      <c r="B150" s="65" t="s">
        <v>2929</v>
      </c>
      <c r="C150" s="42" t="s">
        <v>2952</v>
      </c>
      <c r="D150" s="52"/>
      <c r="E150" s="19"/>
      <c r="F150" s="19"/>
      <c r="G150" s="19"/>
      <c r="H150" s="42"/>
      <c r="I150" s="42">
        <v>1</v>
      </c>
      <c r="J150" s="42" t="s">
        <v>2307</v>
      </c>
      <c r="K150" s="42" t="s">
        <v>194</v>
      </c>
      <c r="L150" s="42" t="s">
        <v>1030</v>
      </c>
      <c r="M150" s="42" t="s">
        <v>376</v>
      </c>
      <c r="N150" s="52"/>
    </row>
    <row r="151" spans="1:14" ht="20.100000000000001" customHeight="1" x14ac:dyDescent="0.25">
      <c r="A151" s="39"/>
      <c r="B151" s="65" t="s">
        <v>2929</v>
      </c>
      <c r="C151" s="42" t="s">
        <v>2953</v>
      </c>
      <c r="D151" s="52"/>
      <c r="E151" s="19"/>
      <c r="F151" s="19"/>
      <c r="G151" s="19"/>
      <c r="H151" s="42"/>
      <c r="I151" s="42">
        <v>1</v>
      </c>
      <c r="J151" s="42" t="s">
        <v>2307</v>
      </c>
      <c r="K151" s="42" t="s">
        <v>194</v>
      </c>
      <c r="L151" s="42" t="s">
        <v>1030</v>
      </c>
      <c r="M151" s="42" t="s">
        <v>376</v>
      </c>
      <c r="N151" s="52"/>
    </row>
    <row r="152" spans="1:14" ht="20.100000000000001" customHeight="1" x14ac:dyDescent="0.25">
      <c r="A152" s="39"/>
      <c r="B152" s="65" t="s">
        <v>2929</v>
      </c>
      <c r="C152" s="42" t="s">
        <v>2954</v>
      </c>
      <c r="D152" s="52"/>
      <c r="E152" s="19"/>
      <c r="F152" s="19"/>
      <c r="G152" s="19"/>
      <c r="H152" s="42"/>
      <c r="I152" s="42">
        <v>1</v>
      </c>
      <c r="J152" s="42" t="s">
        <v>2307</v>
      </c>
      <c r="K152" s="42" t="s">
        <v>194</v>
      </c>
      <c r="L152" s="42" t="s">
        <v>1030</v>
      </c>
      <c r="M152" s="42" t="s">
        <v>376</v>
      </c>
      <c r="N152" s="52"/>
    </row>
    <row r="153" spans="1:14" ht="20.100000000000001" customHeight="1" x14ac:dyDescent="0.25">
      <c r="A153" s="39"/>
      <c r="B153" s="65" t="s">
        <v>2929</v>
      </c>
      <c r="C153" s="42" t="s">
        <v>2955</v>
      </c>
      <c r="D153" s="52"/>
      <c r="E153" s="19"/>
      <c r="F153" s="19"/>
      <c r="G153" s="19"/>
      <c r="H153" s="42"/>
      <c r="I153" s="42">
        <v>1</v>
      </c>
      <c r="J153" s="42" t="s">
        <v>2307</v>
      </c>
      <c r="K153" s="42" t="s">
        <v>194</v>
      </c>
      <c r="L153" s="42" t="s">
        <v>1030</v>
      </c>
      <c r="M153" s="42" t="s">
        <v>376</v>
      </c>
      <c r="N153" s="52"/>
    </row>
    <row r="154" spans="1:14" ht="20.100000000000001" customHeight="1" x14ac:dyDescent="0.25">
      <c r="A154" s="39"/>
      <c r="B154" s="67" t="s">
        <v>2934</v>
      </c>
      <c r="C154" s="42" t="s">
        <v>2956</v>
      </c>
      <c r="D154" s="52"/>
      <c r="E154" s="19"/>
      <c r="F154" s="19"/>
      <c r="G154" s="19"/>
      <c r="H154" s="42"/>
      <c r="I154" s="42">
        <v>1</v>
      </c>
      <c r="J154" s="42" t="s">
        <v>2310</v>
      </c>
      <c r="K154" s="42" t="s">
        <v>194</v>
      </c>
      <c r="L154" s="42" t="s">
        <v>2933</v>
      </c>
      <c r="M154" s="42" t="s">
        <v>376</v>
      </c>
      <c r="N154" s="52"/>
    </row>
    <row r="155" spans="1:14" ht="20.100000000000001" customHeight="1" x14ac:dyDescent="0.25">
      <c r="A155" s="39"/>
      <c r="B155" s="67" t="s">
        <v>2934</v>
      </c>
      <c r="C155" s="42" t="s">
        <v>2957</v>
      </c>
      <c r="D155" s="52"/>
      <c r="E155" s="19"/>
      <c r="F155" s="19"/>
      <c r="G155" s="19"/>
      <c r="H155" s="42"/>
      <c r="I155" s="42">
        <v>1</v>
      </c>
      <c r="J155" s="42" t="s">
        <v>2310</v>
      </c>
      <c r="K155" s="42" t="s">
        <v>194</v>
      </c>
      <c r="L155" s="42" t="s">
        <v>2933</v>
      </c>
      <c r="M155" s="42" t="s">
        <v>376</v>
      </c>
      <c r="N155" s="52"/>
    </row>
    <row r="156" spans="1:14" ht="20.100000000000001" customHeight="1" x14ac:dyDescent="0.25">
      <c r="A156" s="39"/>
      <c r="B156" s="67" t="s">
        <v>2934</v>
      </c>
      <c r="C156" s="42" t="s">
        <v>2958</v>
      </c>
      <c r="D156" s="52"/>
      <c r="E156" s="19"/>
      <c r="F156" s="19"/>
      <c r="G156" s="19"/>
      <c r="H156" s="42"/>
      <c r="I156" s="42">
        <v>1</v>
      </c>
      <c r="J156" s="42" t="s">
        <v>2310</v>
      </c>
      <c r="K156" s="42" t="s">
        <v>194</v>
      </c>
      <c r="L156" s="42" t="s">
        <v>2933</v>
      </c>
      <c r="M156" s="42" t="s">
        <v>376</v>
      </c>
      <c r="N156" s="52"/>
    </row>
    <row r="157" spans="1:14" ht="20.100000000000001" customHeight="1" x14ac:dyDescent="0.25">
      <c r="A157" s="39"/>
      <c r="B157" s="67" t="s">
        <v>2934</v>
      </c>
      <c r="C157" s="42" t="s">
        <v>2959</v>
      </c>
      <c r="D157" s="52"/>
      <c r="E157" s="19"/>
      <c r="F157" s="19"/>
      <c r="G157" s="19"/>
      <c r="H157" s="42"/>
      <c r="I157" s="42">
        <v>1</v>
      </c>
      <c r="J157" s="42" t="s">
        <v>2310</v>
      </c>
      <c r="K157" s="42" t="s">
        <v>194</v>
      </c>
      <c r="L157" s="42" t="s">
        <v>2933</v>
      </c>
      <c r="M157" s="42" t="s">
        <v>376</v>
      </c>
      <c r="N157" s="52"/>
    </row>
    <row r="158" spans="1:14" ht="20.100000000000001" customHeight="1" x14ac:dyDescent="0.25">
      <c r="A158" s="39"/>
      <c r="B158" s="67" t="s">
        <v>2939</v>
      </c>
      <c r="C158" s="42" t="s">
        <v>2960</v>
      </c>
      <c r="D158" s="52"/>
      <c r="E158" s="19"/>
      <c r="F158" s="19"/>
      <c r="G158" s="19"/>
      <c r="H158" s="42"/>
      <c r="I158" s="42">
        <v>1</v>
      </c>
      <c r="J158" s="42" t="s">
        <v>2311</v>
      </c>
      <c r="K158" s="42" t="s">
        <v>194</v>
      </c>
      <c r="L158" s="42" t="s">
        <v>2308</v>
      </c>
      <c r="M158" s="42" t="s">
        <v>376</v>
      </c>
      <c r="N158" s="52"/>
    </row>
    <row r="159" spans="1:14" ht="20.100000000000001" customHeight="1" x14ac:dyDescent="0.25">
      <c r="A159" s="39"/>
      <c r="B159" s="67" t="s">
        <v>2939</v>
      </c>
      <c r="C159" s="42" t="s">
        <v>2961</v>
      </c>
      <c r="D159" s="52"/>
      <c r="E159" s="19"/>
      <c r="F159" s="19"/>
      <c r="G159" s="19"/>
      <c r="H159" s="42"/>
      <c r="I159" s="42">
        <v>1</v>
      </c>
      <c r="J159" s="42" t="s">
        <v>2311</v>
      </c>
      <c r="K159" s="42" t="s">
        <v>194</v>
      </c>
      <c r="L159" s="42" t="s">
        <v>2308</v>
      </c>
      <c r="M159" s="42" t="s">
        <v>376</v>
      </c>
      <c r="N159" s="52"/>
    </row>
    <row r="160" spans="1:14" ht="20.100000000000001" customHeight="1" x14ac:dyDescent="0.25">
      <c r="A160" s="39"/>
      <c r="B160" s="65" t="s">
        <v>2929</v>
      </c>
      <c r="C160" s="42" t="s">
        <v>2962</v>
      </c>
      <c r="D160" s="52"/>
      <c r="E160" s="19"/>
      <c r="F160" s="19"/>
      <c r="G160" s="19"/>
      <c r="H160" s="42"/>
      <c r="I160" s="42">
        <v>1</v>
      </c>
      <c r="J160" s="42" t="s">
        <v>2307</v>
      </c>
      <c r="K160" s="42" t="s">
        <v>200</v>
      </c>
      <c r="L160" s="42" t="s">
        <v>1030</v>
      </c>
      <c r="M160" s="42" t="s">
        <v>376</v>
      </c>
      <c r="N160" s="52"/>
    </row>
    <row r="161" spans="1:14" ht="20.100000000000001" customHeight="1" x14ac:dyDescent="0.25">
      <c r="A161" s="39"/>
      <c r="B161" s="65" t="s">
        <v>2929</v>
      </c>
      <c r="C161" s="42" t="s">
        <v>2963</v>
      </c>
      <c r="D161" s="52"/>
      <c r="E161" s="19"/>
      <c r="F161" s="19"/>
      <c r="G161" s="19"/>
      <c r="H161" s="42"/>
      <c r="I161" s="42">
        <v>1</v>
      </c>
      <c r="J161" s="42" t="s">
        <v>2307</v>
      </c>
      <c r="K161" s="42" t="s">
        <v>200</v>
      </c>
      <c r="L161" s="42" t="s">
        <v>1030</v>
      </c>
      <c r="M161" s="42" t="s">
        <v>376</v>
      </c>
      <c r="N161" s="52"/>
    </row>
    <row r="162" spans="1:14" ht="20.100000000000001" customHeight="1" x14ac:dyDescent="0.25">
      <c r="A162" s="39"/>
      <c r="B162" s="65" t="s">
        <v>2929</v>
      </c>
      <c r="C162" s="42" t="s">
        <v>2964</v>
      </c>
      <c r="D162" s="52"/>
      <c r="E162" s="19"/>
      <c r="F162" s="19"/>
      <c r="G162" s="19"/>
      <c r="H162" s="42"/>
      <c r="I162" s="42">
        <v>1</v>
      </c>
      <c r="J162" s="42" t="s">
        <v>2307</v>
      </c>
      <c r="K162" s="42" t="s">
        <v>200</v>
      </c>
      <c r="L162" s="42" t="s">
        <v>1030</v>
      </c>
      <c r="M162" s="42" t="s">
        <v>376</v>
      </c>
      <c r="N162" s="52"/>
    </row>
    <row r="163" spans="1:14" ht="20.100000000000001" customHeight="1" x14ac:dyDescent="0.25">
      <c r="A163" s="39"/>
      <c r="B163" s="65" t="s">
        <v>2929</v>
      </c>
      <c r="C163" s="42" t="s">
        <v>2965</v>
      </c>
      <c r="D163" s="52"/>
      <c r="E163" s="19"/>
      <c r="F163" s="19"/>
      <c r="G163" s="19"/>
      <c r="H163" s="42"/>
      <c r="I163" s="42">
        <v>1</v>
      </c>
      <c r="J163" s="42" t="s">
        <v>2307</v>
      </c>
      <c r="K163" s="42" t="s">
        <v>200</v>
      </c>
      <c r="L163" s="42" t="s">
        <v>1030</v>
      </c>
      <c r="M163" s="42" t="s">
        <v>376</v>
      </c>
      <c r="N163" s="52"/>
    </row>
    <row r="164" spans="1:14" ht="20.100000000000001" customHeight="1" x14ac:dyDescent="0.25">
      <c r="A164" s="39"/>
      <c r="B164" s="67" t="s">
        <v>2934</v>
      </c>
      <c r="C164" s="42" t="s">
        <v>2966</v>
      </c>
      <c r="D164" s="52"/>
      <c r="E164" s="19"/>
      <c r="F164" s="19"/>
      <c r="G164" s="19"/>
      <c r="H164" s="42"/>
      <c r="I164" s="42">
        <v>1</v>
      </c>
      <c r="J164" s="42" t="s">
        <v>2310</v>
      </c>
      <c r="K164" s="42" t="s">
        <v>200</v>
      </c>
      <c r="L164" s="42" t="s">
        <v>2933</v>
      </c>
      <c r="M164" s="42" t="s">
        <v>376</v>
      </c>
      <c r="N164" s="52"/>
    </row>
    <row r="165" spans="1:14" ht="20.100000000000001" customHeight="1" x14ac:dyDescent="0.25">
      <c r="A165" s="39"/>
      <c r="B165" s="67" t="s">
        <v>2934</v>
      </c>
      <c r="C165" s="42" t="s">
        <v>2967</v>
      </c>
      <c r="D165" s="52"/>
      <c r="E165" s="19"/>
      <c r="F165" s="19"/>
      <c r="G165" s="19"/>
      <c r="H165" s="42"/>
      <c r="I165" s="42">
        <v>1</v>
      </c>
      <c r="J165" s="42" t="s">
        <v>2310</v>
      </c>
      <c r="K165" s="42" t="s">
        <v>200</v>
      </c>
      <c r="L165" s="42" t="s">
        <v>2933</v>
      </c>
      <c r="M165" s="42" t="s">
        <v>376</v>
      </c>
      <c r="N165" s="52"/>
    </row>
    <row r="166" spans="1:14" ht="20.100000000000001" customHeight="1" x14ac:dyDescent="0.25">
      <c r="A166" s="39"/>
      <c r="B166" s="67" t="s">
        <v>2934</v>
      </c>
      <c r="C166" s="42" t="s">
        <v>2968</v>
      </c>
      <c r="D166" s="52"/>
      <c r="E166" s="19"/>
      <c r="F166" s="19"/>
      <c r="G166" s="19"/>
      <c r="H166" s="42"/>
      <c r="I166" s="42">
        <v>1</v>
      </c>
      <c r="J166" s="42" t="s">
        <v>2310</v>
      </c>
      <c r="K166" s="42" t="s">
        <v>200</v>
      </c>
      <c r="L166" s="42" t="s">
        <v>2933</v>
      </c>
      <c r="M166" s="42" t="s">
        <v>376</v>
      </c>
      <c r="N166" s="52"/>
    </row>
    <row r="167" spans="1:14" ht="20.100000000000001" customHeight="1" x14ac:dyDescent="0.25">
      <c r="A167" s="39"/>
      <c r="B167" s="67" t="s">
        <v>2934</v>
      </c>
      <c r="C167" s="42" t="s">
        <v>2969</v>
      </c>
      <c r="D167" s="52"/>
      <c r="E167" s="19"/>
      <c r="F167" s="19"/>
      <c r="G167" s="19"/>
      <c r="H167" s="42"/>
      <c r="I167" s="42">
        <v>1</v>
      </c>
      <c r="J167" s="42" t="s">
        <v>2310</v>
      </c>
      <c r="K167" s="42" t="s">
        <v>200</v>
      </c>
      <c r="L167" s="42" t="s">
        <v>2933</v>
      </c>
      <c r="M167" s="42" t="s">
        <v>376</v>
      </c>
      <c r="N167" s="52"/>
    </row>
    <row r="168" spans="1:14" ht="20.100000000000001" customHeight="1" x14ac:dyDescent="0.25">
      <c r="A168" s="39"/>
      <c r="B168" s="67" t="s">
        <v>2939</v>
      </c>
      <c r="C168" s="42" t="s">
        <v>2970</v>
      </c>
      <c r="D168" s="52"/>
      <c r="E168" s="19"/>
      <c r="F168" s="19"/>
      <c r="G168" s="19"/>
      <c r="H168" s="42"/>
      <c r="I168" s="42">
        <v>1</v>
      </c>
      <c r="J168" s="42" t="s">
        <v>2311</v>
      </c>
      <c r="K168" s="42" t="s">
        <v>200</v>
      </c>
      <c r="L168" s="42" t="s">
        <v>2308</v>
      </c>
      <c r="M168" s="42" t="s">
        <v>376</v>
      </c>
      <c r="N168" s="52"/>
    </row>
    <row r="169" spans="1:14" ht="20.100000000000001" customHeight="1" x14ac:dyDescent="0.25">
      <c r="A169" s="39"/>
      <c r="B169" s="67" t="s">
        <v>2939</v>
      </c>
      <c r="C169" s="42" t="s">
        <v>2971</v>
      </c>
      <c r="D169" s="52"/>
      <c r="E169" s="19"/>
      <c r="F169" s="19"/>
      <c r="G169" s="19"/>
      <c r="H169" s="42"/>
      <c r="I169" s="42">
        <v>1</v>
      </c>
      <c r="J169" s="42" t="s">
        <v>2311</v>
      </c>
      <c r="K169" s="42" t="s">
        <v>200</v>
      </c>
      <c r="L169" s="42" t="s">
        <v>2308</v>
      </c>
      <c r="M169" s="42" t="s">
        <v>376</v>
      </c>
      <c r="N169" s="52"/>
    </row>
    <row r="170" spans="1:14" ht="20.100000000000001" customHeight="1" x14ac:dyDescent="0.25">
      <c r="A170" s="39"/>
      <c r="B170" s="65" t="s">
        <v>2929</v>
      </c>
      <c r="C170" s="42" t="s">
        <v>2972</v>
      </c>
      <c r="D170" s="52"/>
      <c r="E170" s="19"/>
      <c r="F170" s="19"/>
      <c r="G170" s="19"/>
      <c r="H170" s="42"/>
      <c r="I170" s="42">
        <v>1</v>
      </c>
      <c r="J170" s="42" t="s">
        <v>2307</v>
      </c>
      <c r="K170" s="42" t="s">
        <v>206</v>
      </c>
      <c r="L170" s="42" t="s">
        <v>1030</v>
      </c>
      <c r="M170" s="42" t="s">
        <v>376</v>
      </c>
      <c r="N170" s="52"/>
    </row>
    <row r="171" spans="1:14" ht="20.100000000000001" customHeight="1" x14ac:dyDescent="0.25">
      <c r="A171" s="39"/>
      <c r="B171" s="65" t="s">
        <v>2929</v>
      </c>
      <c r="C171" s="42" t="s">
        <v>2973</v>
      </c>
      <c r="D171" s="52"/>
      <c r="E171" s="19"/>
      <c r="F171" s="19"/>
      <c r="G171" s="19"/>
      <c r="H171" s="42"/>
      <c r="I171" s="42">
        <v>1</v>
      </c>
      <c r="J171" s="42" t="s">
        <v>2307</v>
      </c>
      <c r="K171" s="42" t="s">
        <v>206</v>
      </c>
      <c r="L171" s="42" t="s">
        <v>1030</v>
      </c>
      <c r="M171" s="42" t="s">
        <v>376</v>
      </c>
      <c r="N171" s="52"/>
    </row>
    <row r="172" spans="1:14" ht="20.100000000000001" customHeight="1" x14ac:dyDescent="0.25">
      <c r="A172" s="39"/>
      <c r="B172" s="65" t="s">
        <v>2929</v>
      </c>
      <c r="C172" s="42" t="s">
        <v>2974</v>
      </c>
      <c r="D172" s="52"/>
      <c r="E172" s="19"/>
      <c r="F172" s="19"/>
      <c r="G172" s="19"/>
      <c r="H172" s="42"/>
      <c r="I172" s="42">
        <v>1</v>
      </c>
      <c r="J172" s="42" t="s">
        <v>2307</v>
      </c>
      <c r="K172" s="42" t="s">
        <v>206</v>
      </c>
      <c r="L172" s="42" t="s">
        <v>1030</v>
      </c>
      <c r="M172" s="42" t="s">
        <v>376</v>
      </c>
      <c r="N172" s="52"/>
    </row>
    <row r="173" spans="1:14" ht="20.100000000000001" customHeight="1" x14ac:dyDescent="0.25">
      <c r="A173" s="39"/>
      <c r="B173" s="65" t="s">
        <v>2929</v>
      </c>
      <c r="C173" s="42" t="s">
        <v>2975</v>
      </c>
      <c r="D173" s="52"/>
      <c r="E173" s="19"/>
      <c r="F173" s="19"/>
      <c r="G173" s="19"/>
      <c r="H173" s="42"/>
      <c r="I173" s="42">
        <v>1</v>
      </c>
      <c r="J173" s="42" t="s">
        <v>2307</v>
      </c>
      <c r="K173" s="42" t="s">
        <v>206</v>
      </c>
      <c r="L173" s="42" t="s">
        <v>1030</v>
      </c>
      <c r="M173" s="42" t="s">
        <v>376</v>
      </c>
      <c r="N173" s="52"/>
    </row>
    <row r="174" spans="1:14" ht="20.100000000000001" customHeight="1" x14ac:dyDescent="0.25">
      <c r="A174" s="39"/>
      <c r="B174" s="67" t="s">
        <v>2934</v>
      </c>
      <c r="C174" s="42" t="s">
        <v>2976</v>
      </c>
      <c r="D174" s="52"/>
      <c r="E174" s="19"/>
      <c r="F174" s="19"/>
      <c r="G174" s="19"/>
      <c r="H174" s="42"/>
      <c r="I174" s="42">
        <v>1</v>
      </c>
      <c r="J174" s="42" t="s">
        <v>2310</v>
      </c>
      <c r="K174" s="42" t="s">
        <v>206</v>
      </c>
      <c r="L174" s="42" t="s">
        <v>2933</v>
      </c>
      <c r="M174" s="42" t="s">
        <v>376</v>
      </c>
      <c r="N174" s="52"/>
    </row>
    <row r="175" spans="1:14" ht="20.100000000000001" customHeight="1" x14ac:dyDescent="0.25">
      <c r="A175" s="39"/>
      <c r="B175" s="67" t="s">
        <v>2934</v>
      </c>
      <c r="C175" s="42" t="s">
        <v>2977</v>
      </c>
      <c r="D175" s="52"/>
      <c r="E175" s="19"/>
      <c r="F175" s="19"/>
      <c r="G175" s="19"/>
      <c r="H175" s="42"/>
      <c r="I175" s="42">
        <v>1</v>
      </c>
      <c r="J175" s="42" t="s">
        <v>2310</v>
      </c>
      <c r="K175" s="42" t="s">
        <v>206</v>
      </c>
      <c r="L175" s="42" t="s">
        <v>2933</v>
      </c>
      <c r="M175" s="42" t="s">
        <v>376</v>
      </c>
      <c r="N175" s="52"/>
    </row>
    <row r="176" spans="1:14" ht="20.100000000000001" customHeight="1" x14ac:dyDescent="0.25">
      <c r="A176" s="39"/>
      <c r="B176" s="67" t="s">
        <v>2934</v>
      </c>
      <c r="C176" s="42" t="s">
        <v>2978</v>
      </c>
      <c r="D176" s="52"/>
      <c r="E176" s="19"/>
      <c r="F176" s="19"/>
      <c r="G176" s="19"/>
      <c r="H176" s="42"/>
      <c r="I176" s="42">
        <v>1</v>
      </c>
      <c r="J176" s="42" t="s">
        <v>2310</v>
      </c>
      <c r="K176" s="42" t="s">
        <v>206</v>
      </c>
      <c r="L176" s="42" t="s">
        <v>2933</v>
      </c>
      <c r="M176" s="42" t="s">
        <v>376</v>
      </c>
      <c r="N176" s="52"/>
    </row>
    <row r="177" spans="1:14" ht="20.100000000000001" customHeight="1" x14ac:dyDescent="0.25">
      <c r="A177" s="39"/>
      <c r="B177" s="67" t="s">
        <v>2934</v>
      </c>
      <c r="C177" s="42" t="s">
        <v>2979</v>
      </c>
      <c r="D177" s="52"/>
      <c r="E177" s="19"/>
      <c r="F177" s="19"/>
      <c r="G177" s="19"/>
      <c r="H177" s="42"/>
      <c r="I177" s="42">
        <v>1</v>
      </c>
      <c r="J177" s="42" t="s">
        <v>2310</v>
      </c>
      <c r="K177" s="42" t="s">
        <v>206</v>
      </c>
      <c r="L177" s="42" t="s">
        <v>2933</v>
      </c>
      <c r="M177" s="42" t="s">
        <v>376</v>
      </c>
      <c r="N177" s="52"/>
    </row>
    <row r="178" spans="1:14" ht="20.100000000000001" customHeight="1" x14ac:dyDescent="0.25">
      <c r="A178" s="39"/>
      <c r="B178" s="67" t="s">
        <v>2939</v>
      </c>
      <c r="C178" s="42" t="s">
        <v>2980</v>
      </c>
      <c r="D178" s="52"/>
      <c r="E178" s="19"/>
      <c r="F178" s="19"/>
      <c r="G178" s="19"/>
      <c r="H178" s="42"/>
      <c r="I178" s="42">
        <v>1</v>
      </c>
      <c r="J178" s="42" t="s">
        <v>2311</v>
      </c>
      <c r="K178" s="42" t="s">
        <v>206</v>
      </c>
      <c r="L178" s="42" t="s">
        <v>2308</v>
      </c>
      <c r="M178" s="42" t="s">
        <v>376</v>
      </c>
      <c r="N178" s="52"/>
    </row>
    <row r="179" spans="1:14" ht="20.100000000000001" customHeight="1" x14ac:dyDescent="0.25">
      <c r="A179" s="39"/>
      <c r="B179" s="67" t="s">
        <v>2939</v>
      </c>
      <c r="C179" s="42" t="s">
        <v>2981</v>
      </c>
      <c r="D179" s="52"/>
      <c r="E179" s="19"/>
      <c r="F179" s="19"/>
      <c r="G179" s="19"/>
      <c r="H179" s="42"/>
      <c r="I179" s="42">
        <v>1</v>
      </c>
      <c r="J179" s="42" t="s">
        <v>2311</v>
      </c>
      <c r="K179" s="42" t="s">
        <v>206</v>
      </c>
      <c r="L179" s="42" t="s">
        <v>2308</v>
      </c>
      <c r="M179" s="42" t="s">
        <v>376</v>
      </c>
      <c r="N179" s="52"/>
    </row>
    <row r="180" spans="1:14" ht="20.100000000000001" customHeight="1" x14ac:dyDescent="0.25">
      <c r="A180" s="39"/>
      <c r="B180" s="65" t="s">
        <v>2929</v>
      </c>
      <c r="C180" s="42" t="s">
        <v>3021</v>
      </c>
      <c r="D180" s="52"/>
      <c r="E180" s="19"/>
      <c r="F180" s="19"/>
      <c r="G180" s="19"/>
      <c r="H180" s="42"/>
      <c r="I180" s="42">
        <v>1</v>
      </c>
      <c r="J180" s="42" t="s">
        <v>2307</v>
      </c>
      <c r="K180" s="42" t="s">
        <v>3020</v>
      </c>
      <c r="L180" s="42" t="s">
        <v>1030</v>
      </c>
      <c r="M180" s="42" t="s">
        <v>398</v>
      </c>
      <c r="N180" s="52"/>
    </row>
    <row r="181" spans="1:14" ht="20.100000000000001" customHeight="1" x14ac:dyDescent="0.25">
      <c r="A181" s="39"/>
      <c r="B181" s="65" t="s">
        <v>2929</v>
      </c>
      <c r="C181" s="42" t="s">
        <v>3022</v>
      </c>
      <c r="D181" s="52"/>
      <c r="E181" s="19"/>
      <c r="F181" s="19"/>
      <c r="G181" s="19"/>
      <c r="H181" s="42"/>
      <c r="I181" s="42">
        <v>1</v>
      </c>
      <c r="J181" s="42" t="s">
        <v>2307</v>
      </c>
      <c r="K181" s="42" t="s">
        <v>3020</v>
      </c>
      <c r="L181" s="42" t="s">
        <v>1030</v>
      </c>
      <c r="M181" s="42" t="s">
        <v>398</v>
      </c>
      <c r="N181" s="52"/>
    </row>
    <row r="182" spans="1:14" ht="20.100000000000001" customHeight="1" x14ac:dyDescent="0.25">
      <c r="A182" s="39"/>
      <c r="B182" s="65" t="s">
        <v>2929</v>
      </c>
      <c r="C182" s="42" t="s">
        <v>3023</v>
      </c>
      <c r="D182" s="52"/>
      <c r="E182" s="19"/>
      <c r="F182" s="19"/>
      <c r="G182" s="19"/>
      <c r="H182" s="42"/>
      <c r="I182" s="42">
        <v>1</v>
      </c>
      <c r="J182" s="42" t="s">
        <v>2307</v>
      </c>
      <c r="K182" s="42" t="s">
        <v>3020</v>
      </c>
      <c r="L182" s="42" t="s">
        <v>1030</v>
      </c>
      <c r="M182" s="42" t="s">
        <v>398</v>
      </c>
      <c r="N182" s="52"/>
    </row>
    <row r="183" spans="1:14" ht="20.100000000000001" customHeight="1" x14ac:dyDescent="0.25">
      <c r="A183" s="39"/>
      <c r="B183" s="65" t="s">
        <v>2929</v>
      </c>
      <c r="C183" s="42" t="s">
        <v>3024</v>
      </c>
      <c r="D183" s="52"/>
      <c r="E183" s="19"/>
      <c r="F183" s="19"/>
      <c r="G183" s="19"/>
      <c r="H183" s="42"/>
      <c r="I183" s="42">
        <v>1</v>
      </c>
      <c r="J183" s="42" t="s">
        <v>2307</v>
      </c>
      <c r="K183" s="42" t="s">
        <v>3020</v>
      </c>
      <c r="L183" s="42" t="s">
        <v>1030</v>
      </c>
      <c r="M183" s="42" t="s">
        <v>398</v>
      </c>
      <c r="N183" s="52"/>
    </row>
    <row r="184" spans="1:14" ht="20.100000000000001" customHeight="1" x14ac:dyDescent="0.25">
      <c r="A184" s="39"/>
      <c r="B184" s="67" t="s">
        <v>3035</v>
      </c>
      <c r="C184" s="42" t="s">
        <v>3025</v>
      </c>
      <c r="D184" s="52"/>
      <c r="E184" s="19"/>
      <c r="F184" s="19"/>
      <c r="G184" s="19"/>
      <c r="H184" s="42"/>
      <c r="I184" s="42">
        <v>1</v>
      </c>
      <c r="J184" s="42" t="s">
        <v>2310</v>
      </c>
      <c r="K184" s="42" t="s">
        <v>3020</v>
      </c>
      <c r="L184" s="42" t="s">
        <v>3034</v>
      </c>
      <c r="M184" s="42" t="s">
        <v>398</v>
      </c>
      <c r="N184" s="52"/>
    </row>
    <row r="185" spans="1:14" ht="20.100000000000001" customHeight="1" x14ac:dyDescent="0.25">
      <c r="A185" s="39"/>
      <c r="B185" s="67" t="s">
        <v>3035</v>
      </c>
      <c r="C185" s="42" t="s">
        <v>3026</v>
      </c>
      <c r="D185" s="52"/>
      <c r="E185" s="19"/>
      <c r="F185" s="19"/>
      <c r="G185" s="19"/>
      <c r="H185" s="42"/>
      <c r="I185" s="42">
        <v>1</v>
      </c>
      <c r="J185" s="42" t="s">
        <v>2310</v>
      </c>
      <c r="K185" s="42" t="s">
        <v>3020</v>
      </c>
      <c r="L185" s="42" t="s">
        <v>3034</v>
      </c>
      <c r="M185" s="42" t="s">
        <v>398</v>
      </c>
      <c r="N185" s="52"/>
    </row>
    <row r="186" spans="1:14" ht="20.100000000000001" customHeight="1" x14ac:dyDescent="0.25">
      <c r="A186" s="39"/>
      <c r="B186" s="67" t="s">
        <v>3035</v>
      </c>
      <c r="C186" s="42" t="s">
        <v>3027</v>
      </c>
      <c r="D186" s="52"/>
      <c r="E186" s="19"/>
      <c r="F186" s="19"/>
      <c r="G186" s="19"/>
      <c r="H186" s="42"/>
      <c r="I186" s="42">
        <v>1</v>
      </c>
      <c r="J186" s="42" t="s">
        <v>2310</v>
      </c>
      <c r="K186" s="42" t="s">
        <v>3020</v>
      </c>
      <c r="L186" s="42" t="s">
        <v>3034</v>
      </c>
      <c r="M186" s="42" t="s">
        <v>398</v>
      </c>
      <c r="N186" s="52"/>
    </row>
    <row r="187" spans="1:14" ht="20.100000000000001" customHeight="1" x14ac:dyDescent="0.25">
      <c r="A187" s="39"/>
      <c r="B187" s="67" t="s">
        <v>3035</v>
      </c>
      <c r="C187" s="42" t="s">
        <v>3028</v>
      </c>
      <c r="D187" s="52"/>
      <c r="E187" s="19"/>
      <c r="F187" s="19"/>
      <c r="G187" s="19"/>
      <c r="H187" s="42"/>
      <c r="I187" s="42">
        <v>1</v>
      </c>
      <c r="J187" s="42" t="s">
        <v>2310</v>
      </c>
      <c r="K187" s="42" t="s">
        <v>3020</v>
      </c>
      <c r="L187" s="42" t="s">
        <v>3034</v>
      </c>
      <c r="M187" s="42" t="s">
        <v>398</v>
      </c>
      <c r="N187" s="52"/>
    </row>
    <row r="188" spans="1:14" ht="20.100000000000001" customHeight="1" x14ac:dyDescent="0.25">
      <c r="A188" s="39"/>
      <c r="B188" s="67" t="s">
        <v>3033</v>
      </c>
      <c r="C188" s="42" t="s">
        <v>3029</v>
      </c>
      <c r="D188" s="52"/>
      <c r="E188" s="19"/>
      <c r="F188" s="19"/>
      <c r="G188" s="19"/>
      <c r="H188" s="42"/>
      <c r="I188" s="42">
        <v>1</v>
      </c>
      <c r="J188" s="42" t="s">
        <v>2311</v>
      </c>
      <c r="K188" s="42" t="s">
        <v>3020</v>
      </c>
      <c r="L188" s="42" t="s">
        <v>3032</v>
      </c>
      <c r="M188" s="42" t="s">
        <v>398</v>
      </c>
      <c r="N188" s="52"/>
    </row>
    <row r="189" spans="1:14" ht="20.100000000000001" customHeight="1" x14ac:dyDescent="0.25">
      <c r="A189" s="39"/>
      <c r="B189" s="67" t="s">
        <v>3033</v>
      </c>
      <c r="C189" s="42" t="s">
        <v>3030</v>
      </c>
      <c r="D189" s="52"/>
      <c r="E189" s="19"/>
      <c r="F189" s="19"/>
      <c r="G189" s="19"/>
      <c r="H189" s="42"/>
      <c r="I189" s="42">
        <v>1</v>
      </c>
      <c r="J189" s="42" t="s">
        <v>2311</v>
      </c>
      <c r="K189" s="42" t="s">
        <v>3020</v>
      </c>
      <c r="L189" s="42" t="s">
        <v>3032</v>
      </c>
      <c r="M189" s="42" t="s">
        <v>398</v>
      </c>
      <c r="N189" s="52"/>
    </row>
    <row r="190" spans="1:14" ht="20.100000000000001" customHeight="1" x14ac:dyDescent="0.25">
      <c r="A190" s="39"/>
      <c r="B190" s="67" t="s">
        <v>3033</v>
      </c>
      <c r="C190" s="42" t="s">
        <v>3031</v>
      </c>
      <c r="D190" s="52"/>
      <c r="E190" s="19"/>
      <c r="F190" s="19"/>
      <c r="G190" s="19"/>
      <c r="H190" s="42"/>
      <c r="I190" s="42">
        <v>1</v>
      </c>
      <c r="J190" s="42" t="s">
        <v>2311</v>
      </c>
      <c r="K190" s="42" t="s">
        <v>3020</v>
      </c>
      <c r="L190" s="42" t="s">
        <v>3032</v>
      </c>
      <c r="M190" s="42" t="s">
        <v>398</v>
      </c>
      <c r="N190" s="52"/>
    </row>
    <row r="191" spans="1:14" ht="20.100000000000001" customHeight="1" x14ac:dyDescent="0.25">
      <c r="A191" s="39"/>
      <c r="B191" s="65" t="s">
        <v>2929</v>
      </c>
      <c r="C191" s="42" t="s">
        <v>3037</v>
      </c>
      <c r="D191" s="52"/>
      <c r="E191" s="19"/>
      <c r="F191" s="19"/>
      <c r="G191" s="19"/>
      <c r="H191" s="42"/>
      <c r="I191" s="42">
        <v>1</v>
      </c>
      <c r="J191" s="42" t="s">
        <v>2307</v>
      </c>
      <c r="K191" s="42" t="s">
        <v>3036</v>
      </c>
      <c r="L191" s="42" t="s">
        <v>1030</v>
      </c>
      <c r="M191" s="42" t="s">
        <v>398</v>
      </c>
      <c r="N191" s="52"/>
    </row>
    <row r="192" spans="1:14" ht="20.100000000000001" customHeight="1" x14ac:dyDescent="0.25">
      <c r="A192" s="39"/>
      <c r="B192" s="65" t="s">
        <v>2929</v>
      </c>
      <c r="C192" s="42" t="s">
        <v>3038</v>
      </c>
      <c r="D192" s="52"/>
      <c r="E192" s="19"/>
      <c r="F192" s="19"/>
      <c r="G192" s="19"/>
      <c r="H192" s="42"/>
      <c r="I192" s="42">
        <v>1</v>
      </c>
      <c r="J192" s="42" t="s">
        <v>2307</v>
      </c>
      <c r="K192" s="42" t="s">
        <v>3036</v>
      </c>
      <c r="L192" s="42" t="s">
        <v>1030</v>
      </c>
      <c r="M192" s="42" t="s">
        <v>398</v>
      </c>
      <c r="N192" s="52"/>
    </row>
    <row r="193" spans="1:14" ht="20.100000000000001" customHeight="1" x14ac:dyDescent="0.25">
      <c r="A193" s="39"/>
      <c r="B193" s="65" t="s">
        <v>2929</v>
      </c>
      <c r="C193" s="42" t="s">
        <v>3039</v>
      </c>
      <c r="D193" s="52"/>
      <c r="E193" s="19"/>
      <c r="F193" s="19"/>
      <c r="G193" s="19"/>
      <c r="H193" s="42"/>
      <c r="I193" s="42">
        <v>1</v>
      </c>
      <c r="J193" s="42" t="s">
        <v>2307</v>
      </c>
      <c r="K193" s="42" t="s">
        <v>3036</v>
      </c>
      <c r="L193" s="42" t="s">
        <v>1030</v>
      </c>
      <c r="M193" s="42" t="s">
        <v>398</v>
      </c>
      <c r="N193" s="52"/>
    </row>
    <row r="194" spans="1:14" ht="20.100000000000001" customHeight="1" x14ac:dyDescent="0.25">
      <c r="A194" s="39"/>
      <c r="B194" s="65" t="s">
        <v>2929</v>
      </c>
      <c r="C194" s="42" t="s">
        <v>3040</v>
      </c>
      <c r="D194" s="52"/>
      <c r="E194" s="19"/>
      <c r="F194" s="19"/>
      <c r="G194" s="19"/>
      <c r="H194" s="42"/>
      <c r="I194" s="42">
        <v>1</v>
      </c>
      <c r="J194" s="42" t="s">
        <v>2307</v>
      </c>
      <c r="K194" s="42" t="s">
        <v>3036</v>
      </c>
      <c r="L194" s="42" t="s">
        <v>1030</v>
      </c>
      <c r="M194" s="42" t="s">
        <v>398</v>
      </c>
      <c r="N194" s="52"/>
    </row>
    <row r="195" spans="1:14" ht="20.100000000000001" customHeight="1" x14ac:dyDescent="0.25">
      <c r="A195" s="39"/>
      <c r="B195" s="67" t="s">
        <v>3035</v>
      </c>
      <c r="C195" s="42" t="s">
        <v>3041</v>
      </c>
      <c r="D195" s="52"/>
      <c r="E195" s="19"/>
      <c r="F195" s="19"/>
      <c r="G195" s="19"/>
      <c r="H195" s="42"/>
      <c r="I195" s="42">
        <v>1</v>
      </c>
      <c r="J195" s="42" t="s">
        <v>2310</v>
      </c>
      <c r="K195" s="42" t="s">
        <v>3036</v>
      </c>
      <c r="L195" s="42" t="s">
        <v>3034</v>
      </c>
      <c r="M195" s="42" t="s">
        <v>398</v>
      </c>
      <c r="N195" s="52"/>
    </row>
    <row r="196" spans="1:14" ht="20.100000000000001" customHeight="1" x14ac:dyDescent="0.25">
      <c r="A196" s="39"/>
      <c r="B196" s="67" t="s">
        <v>3035</v>
      </c>
      <c r="C196" s="42" t="s">
        <v>3042</v>
      </c>
      <c r="D196" s="52"/>
      <c r="E196" s="19"/>
      <c r="F196" s="19"/>
      <c r="G196" s="19"/>
      <c r="H196" s="42"/>
      <c r="I196" s="42">
        <v>1</v>
      </c>
      <c r="J196" s="42" t="s">
        <v>2310</v>
      </c>
      <c r="K196" s="42" t="s">
        <v>3036</v>
      </c>
      <c r="L196" s="42" t="s">
        <v>3034</v>
      </c>
      <c r="M196" s="42" t="s">
        <v>398</v>
      </c>
      <c r="N196" s="52"/>
    </row>
    <row r="197" spans="1:14" ht="20.100000000000001" customHeight="1" x14ac:dyDescent="0.25">
      <c r="A197" s="39"/>
      <c r="B197" s="67" t="s">
        <v>3035</v>
      </c>
      <c r="C197" s="42" t="s">
        <v>3043</v>
      </c>
      <c r="D197" s="52"/>
      <c r="E197" s="19"/>
      <c r="F197" s="19"/>
      <c r="G197" s="19"/>
      <c r="H197" s="42"/>
      <c r="I197" s="42">
        <v>1</v>
      </c>
      <c r="J197" s="42" t="s">
        <v>2310</v>
      </c>
      <c r="K197" s="42" t="s">
        <v>3036</v>
      </c>
      <c r="L197" s="42" t="s">
        <v>3034</v>
      </c>
      <c r="M197" s="42" t="s">
        <v>398</v>
      </c>
      <c r="N197" s="52"/>
    </row>
    <row r="198" spans="1:14" ht="20.100000000000001" customHeight="1" x14ac:dyDescent="0.25">
      <c r="A198" s="39"/>
      <c r="B198" s="67" t="s">
        <v>3035</v>
      </c>
      <c r="C198" s="42" t="s">
        <v>3044</v>
      </c>
      <c r="D198" s="52"/>
      <c r="E198" s="19"/>
      <c r="F198" s="19"/>
      <c r="G198" s="19"/>
      <c r="H198" s="42"/>
      <c r="I198" s="42">
        <v>1</v>
      </c>
      <c r="J198" s="42" t="s">
        <v>2310</v>
      </c>
      <c r="K198" s="42" t="s">
        <v>3036</v>
      </c>
      <c r="L198" s="42" t="s">
        <v>3034</v>
      </c>
      <c r="M198" s="42" t="s">
        <v>398</v>
      </c>
      <c r="N198" s="52"/>
    </row>
    <row r="199" spans="1:14" ht="20.100000000000001" customHeight="1" x14ac:dyDescent="0.25">
      <c r="A199" s="39"/>
      <c r="B199" s="67" t="s">
        <v>3033</v>
      </c>
      <c r="C199" s="42" t="s">
        <v>3045</v>
      </c>
      <c r="D199" s="52"/>
      <c r="E199" s="19"/>
      <c r="F199" s="19"/>
      <c r="G199" s="19"/>
      <c r="H199" s="42"/>
      <c r="I199" s="42">
        <v>1</v>
      </c>
      <c r="J199" s="42" t="s">
        <v>2311</v>
      </c>
      <c r="K199" s="42" t="s">
        <v>3036</v>
      </c>
      <c r="L199" s="42" t="s">
        <v>3032</v>
      </c>
      <c r="M199" s="42" t="s">
        <v>398</v>
      </c>
      <c r="N199" s="52"/>
    </row>
    <row r="200" spans="1:14" ht="20.100000000000001" customHeight="1" x14ac:dyDescent="0.25">
      <c r="A200" s="39"/>
      <c r="B200" s="67" t="s">
        <v>3033</v>
      </c>
      <c r="C200" s="42" t="s">
        <v>3046</v>
      </c>
      <c r="D200" s="52"/>
      <c r="E200" s="19"/>
      <c r="F200" s="19"/>
      <c r="G200" s="19"/>
      <c r="H200" s="42"/>
      <c r="I200" s="42">
        <v>1</v>
      </c>
      <c r="J200" s="42" t="s">
        <v>2311</v>
      </c>
      <c r="K200" s="42" t="s">
        <v>3036</v>
      </c>
      <c r="L200" s="42" t="s">
        <v>3032</v>
      </c>
      <c r="M200" s="42" t="s">
        <v>398</v>
      </c>
      <c r="N200" s="52"/>
    </row>
    <row r="201" spans="1:14" ht="20.100000000000001" customHeight="1" x14ac:dyDescent="0.25">
      <c r="A201" s="39"/>
      <c r="B201" s="67" t="s">
        <v>3033</v>
      </c>
      <c r="C201" s="42" t="s">
        <v>3047</v>
      </c>
      <c r="D201" s="52"/>
      <c r="E201" s="19"/>
      <c r="F201" s="19"/>
      <c r="G201" s="19"/>
      <c r="H201" s="42"/>
      <c r="I201" s="42">
        <v>1</v>
      </c>
      <c r="J201" s="42" t="s">
        <v>2311</v>
      </c>
      <c r="K201" s="42" t="s">
        <v>3036</v>
      </c>
      <c r="L201" s="42" t="s">
        <v>3032</v>
      </c>
      <c r="M201" s="42" t="s">
        <v>398</v>
      </c>
      <c r="N201" s="52"/>
    </row>
    <row r="202" spans="1:14" ht="20.100000000000001" customHeight="1" x14ac:dyDescent="0.25">
      <c r="A202" s="39"/>
      <c r="B202" s="65" t="s">
        <v>2929</v>
      </c>
      <c r="C202" s="42" t="s">
        <v>3049</v>
      </c>
      <c r="D202" s="52"/>
      <c r="E202" s="19"/>
      <c r="F202" s="19"/>
      <c r="G202" s="19"/>
      <c r="H202" s="42"/>
      <c r="I202" s="42">
        <v>1</v>
      </c>
      <c r="J202" s="42" t="s">
        <v>2307</v>
      </c>
      <c r="K202" s="42" t="s">
        <v>3048</v>
      </c>
      <c r="L202" s="42" t="s">
        <v>1030</v>
      </c>
      <c r="M202" s="42" t="s">
        <v>398</v>
      </c>
      <c r="N202" s="52"/>
    </row>
    <row r="203" spans="1:14" ht="20.100000000000001" customHeight="1" x14ac:dyDescent="0.25">
      <c r="A203" s="39"/>
      <c r="B203" s="65" t="s">
        <v>2929</v>
      </c>
      <c r="C203" s="42" t="s">
        <v>3050</v>
      </c>
      <c r="D203" s="52"/>
      <c r="E203" s="19"/>
      <c r="F203" s="19"/>
      <c r="G203" s="19"/>
      <c r="H203" s="42"/>
      <c r="I203" s="42">
        <v>1</v>
      </c>
      <c r="J203" s="42" t="s">
        <v>2307</v>
      </c>
      <c r="K203" s="42" t="s">
        <v>3048</v>
      </c>
      <c r="L203" s="42" t="s">
        <v>1030</v>
      </c>
      <c r="M203" s="42" t="s">
        <v>398</v>
      </c>
      <c r="N203" s="52"/>
    </row>
    <row r="204" spans="1:14" ht="20.100000000000001" customHeight="1" x14ac:dyDescent="0.25">
      <c r="A204" s="39"/>
      <c r="B204" s="65" t="s">
        <v>2929</v>
      </c>
      <c r="C204" s="42" t="s">
        <v>3051</v>
      </c>
      <c r="D204" s="52"/>
      <c r="E204" s="19"/>
      <c r="F204" s="19"/>
      <c r="G204" s="19"/>
      <c r="H204" s="42"/>
      <c r="I204" s="42">
        <v>1</v>
      </c>
      <c r="J204" s="42" t="s">
        <v>2307</v>
      </c>
      <c r="K204" s="42" t="s">
        <v>3048</v>
      </c>
      <c r="L204" s="42" t="s">
        <v>1030</v>
      </c>
      <c r="M204" s="42" t="s">
        <v>398</v>
      </c>
      <c r="N204" s="52"/>
    </row>
    <row r="205" spans="1:14" ht="20.100000000000001" customHeight="1" x14ac:dyDescent="0.25">
      <c r="A205" s="39"/>
      <c r="B205" s="65" t="s">
        <v>2929</v>
      </c>
      <c r="C205" s="42" t="s">
        <v>3052</v>
      </c>
      <c r="D205" s="52"/>
      <c r="E205" s="19"/>
      <c r="F205" s="19"/>
      <c r="G205" s="19"/>
      <c r="H205" s="42"/>
      <c r="I205" s="42">
        <v>1</v>
      </c>
      <c r="J205" s="42" t="s">
        <v>2307</v>
      </c>
      <c r="K205" s="42" t="s">
        <v>3048</v>
      </c>
      <c r="L205" s="42" t="s">
        <v>1030</v>
      </c>
      <c r="M205" s="42" t="s">
        <v>398</v>
      </c>
      <c r="N205" s="52"/>
    </row>
    <row r="206" spans="1:14" ht="20.100000000000001" customHeight="1" x14ac:dyDescent="0.25">
      <c r="A206" s="39"/>
      <c r="B206" s="67" t="s">
        <v>3035</v>
      </c>
      <c r="C206" s="42" t="s">
        <v>3053</v>
      </c>
      <c r="D206" s="52"/>
      <c r="E206" s="19"/>
      <c r="F206" s="19"/>
      <c r="G206" s="19"/>
      <c r="H206" s="42"/>
      <c r="I206" s="42">
        <v>1</v>
      </c>
      <c r="J206" s="42" t="s">
        <v>2310</v>
      </c>
      <c r="K206" s="42" t="s">
        <v>3048</v>
      </c>
      <c r="L206" s="42" t="s">
        <v>3034</v>
      </c>
      <c r="M206" s="42" t="s">
        <v>398</v>
      </c>
      <c r="N206" s="52"/>
    </row>
    <row r="207" spans="1:14" ht="20.100000000000001" customHeight="1" x14ac:dyDescent="0.25">
      <c r="A207" s="39"/>
      <c r="B207" s="67" t="s">
        <v>3035</v>
      </c>
      <c r="C207" s="42" t="s">
        <v>3054</v>
      </c>
      <c r="D207" s="52"/>
      <c r="E207" s="19"/>
      <c r="F207" s="19"/>
      <c r="G207" s="19"/>
      <c r="H207" s="42"/>
      <c r="I207" s="42">
        <v>1</v>
      </c>
      <c r="J207" s="42" t="s">
        <v>2310</v>
      </c>
      <c r="K207" s="42" t="s">
        <v>3048</v>
      </c>
      <c r="L207" s="42" t="s">
        <v>3034</v>
      </c>
      <c r="M207" s="42" t="s">
        <v>398</v>
      </c>
      <c r="N207" s="52"/>
    </row>
    <row r="208" spans="1:14" ht="20.100000000000001" customHeight="1" x14ac:dyDescent="0.25">
      <c r="A208" s="39"/>
      <c r="B208" s="67" t="s">
        <v>3035</v>
      </c>
      <c r="C208" s="42" t="s">
        <v>3055</v>
      </c>
      <c r="D208" s="52"/>
      <c r="E208" s="19"/>
      <c r="F208" s="19"/>
      <c r="G208" s="19"/>
      <c r="H208" s="42"/>
      <c r="I208" s="42">
        <v>1</v>
      </c>
      <c r="J208" s="42" t="s">
        <v>2310</v>
      </c>
      <c r="K208" s="42" t="s">
        <v>3048</v>
      </c>
      <c r="L208" s="42" t="s">
        <v>3034</v>
      </c>
      <c r="M208" s="42" t="s">
        <v>398</v>
      </c>
      <c r="N208" s="52"/>
    </row>
    <row r="209" spans="1:14" ht="20.100000000000001" customHeight="1" x14ac:dyDescent="0.25">
      <c r="A209" s="39"/>
      <c r="B209" s="67" t="s">
        <v>3035</v>
      </c>
      <c r="C209" s="42" t="s">
        <v>3056</v>
      </c>
      <c r="D209" s="52"/>
      <c r="E209" s="19"/>
      <c r="F209" s="19"/>
      <c r="G209" s="19"/>
      <c r="H209" s="42"/>
      <c r="I209" s="42">
        <v>1</v>
      </c>
      <c r="J209" s="42" t="s">
        <v>2310</v>
      </c>
      <c r="K209" s="42" t="s">
        <v>3048</v>
      </c>
      <c r="L209" s="42" t="s">
        <v>3034</v>
      </c>
      <c r="M209" s="42" t="s">
        <v>398</v>
      </c>
      <c r="N209" s="52"/>
    </row>
    <row r="210" spans="1:14" ht="20.100000000000001" customHeight="1" x14ac:dyDescent="0.25">
      <c r="A210" s="39"/>
      <c r="B210" s="67" t="s">
        <v>3033</v>
      </c>
      <c r="C210" s="42" t="s">
        <v>3057</v>
      </c>
      <c r="D210" s="52"/>
      <c r="E210" s="19"/>
      <c r="F210" s="19"/>
      <c r="G210" s="19"/>
      <c r="H210" s="42"/>
      <c r="I210" s="42">
        <v>1</v>
      </c>
      <c r="J210" s="42" t="s">
        <v>2311</v>
      </c>
      <c r="K210" s="42" t="s">
        <v>3048</v>
      </c>
      <c r="L210" s="42" t="s">
        <v>3032</v>
      </c>
      <c r="M210" s="42" t="s">
        <v>398</v>
      </c>
      <c r="N210" s="52"/>
    </row>
    <row r="211" spans="1:14" ht="20.100000000000001" customHeight="1" x14ac:dyDescent="0.25">
      <c r="A211" s="39"/>
      <c r="B211" s="67" t="s">
        <v>3033</v>
      </c>
      <c r="C211" s="42" t="s">
        <v>3058</v>
      </c>
      <c r="D211" s="52"/>
      <c r="E211" s="19"/>
      <c r="F211" s="19"/>
      <c r="G211" s="19"/>
      <c r="H211" s="42"/>
      <c r="I211" s="42">
        <v>1</v>
      </c>
      <c r="J211" s="42" t="s">
        <v>2311</v>
      </c>
      <c r="K211" s="42" t="s">
        <v>3048</v>
      </c>
      <c r="L211" s="42" t="s">
        <v>3032</v>
      </c>
      <c r="M211" s="42" t="s">
        <v>398</v>
      </c>
      <c r="N211" s="52"/>
    </row>
    <row r="212" spans="1:14" ht="20.100000000000001" customHeight="1" x14ac:dyDescent="0.25">
      <c r="A212" s="39"/>
      <c r="B212" s="67" t="s">
        <v>3033</v>
      </c>
      <c r="C212" s="42" t="s">
        <v>3059</v>
      </c>
      <c r="D212" s="52"/>
      <c r="E212" s="19"/>
      <c r="F212" s="19"/>
      <c r="G212" s="19"/>
      <c r="H212" s="42"/>
      <c r="I212" s="42">
        <v>1</v>
      </c>
      <c r="J212" s="42" t="s">
        <v>2311</v>
      </c>
      <c r="K212" s="42" t="s">
        <v>3048</v>
      </c>
      <c r="L212" s="42" t="s">
        <v>3032</v>
      </c>
      <c r="M212" s="42" t="s">
        <v>398</v>
      </c>
      <c r="N212" s="52"/>
    </row>
    <row r="213" spans="1:14" ht="20.100000000000001" customHeight="1" x14ac:dyDescent="0.25">
      <c r="A213" s="39"/>
      <c r="B213" s="65" t="s">
        <v>2929</v>
      </c>
      <c r="C213" s="42" t="s">
        <v>3060</v>
      </c>
      <c r="D213" s="52"/>
      <c r="E213" s="19"/>
      <c r="F213" s="19"/>
      <c r="G213" s="19"/>
      <c r="H213" s="42"/>
      <c r="I213" s="42">
        <v>1</v>
      </c>
      <c r="J213" s="42" t="s">
        <v>2307</v>
      </c>
      <c r="K213" s="42" t="s">
        <v>3071</v>
      </c>
      <c r="L213" s="42" t="s">
        <v>1030</v>
      </c>
      <c r="M213" s="42" t="s">
        <v>398</v>
      </c>
      <c r="N213" s="52"/>
    </row>
    <row r="214" spans="1:14" ht="20.100000000000001" customHeight="1" x14ac:dyDescent="0.25">
      <c r="A214" s="39"/>
      <c r="B214" s="65" t="s">
        <v>2929</v>
      </c>
      <c r="C214" s="42" t="s">
        <v>3061</v>
      </c>
      <c r="D214" s="52"/>
      <c r="E214" s="19"/>
      <c r="F214" s="19"/>
      <c r="G214" s="19"/>
      <c r="H214" s="42"/>
      <c r="I214" s="42">
        <v>1</v>
      </c>
      <c r="J214" s="42" t="s">
        <v>2307</v>
      </c>
      <c r="K214" s="42" t="s">
        <v>3071</v>
      </c>
      <c r="L214" s="42" t="s">
        <v>1030</v>
      </c>
      <c r="M214" s="42" t="s">
        <v>398</v>
      </c>
      <c r="N214" s="52"/>
    </row>
    <row r="215" spans="1:14" ht="20.100000000000001" customHeight="1" x14ac:dyDescent="0.25">
      <c r="A215" s="39"/>
      <c r="B215" s="65" t="s">
        <v>2929</v>
      </c>
      <c r="C215" s="42" t="s">
        <v>3062</v>
      </c>
      <c r="D215" s="52"/>
      <c r="E215" s="19"/>
      <c r="F215" s="19"/>
      <c r="G215" s="19"/>
      <c r="H215" s="42"/>
      <c r="I215" s="42">
        <v>1</v>
      </c>
      <c r="J215" s="42" t="s">
        <v>2307</v>
      </c>
      <c r="K215" s="42" t="s">
        <v>3071</v>
      </c>
      <c r="L215" s="42" t="s">
        <v>1030</v>
      </c>
      <c r="M215" s="42" t="s">
        <v>398</v>
      </c>
      <c r="N215" s="52"/>
    </row>
    <row r="216" spans="1:14" ht="20.100000000000001" customHeight="1" x14ac:dyDescent="0.25">
      <c r="A216" s="39"/>
      <c r="B216" s="65" t="s">
        <v>2929</v>
      </c>
      <c r="C216" s="42" t="s">
        <v>3063</v>
      </c>
      <c r="D216" s="52"/>
      <c r="E216" s="19"/>
      <c r="F216" s="19"/>
      <c r="G216" s="19"/>
      <c r="H216" s="42"/>
      <c r="I216" s="42">
        <v>1</v>
      </c>
      <c r="J216" s="42" t="s">
        <v>2307</v>
      </c>
      <c r="K216" s="42" t="s">
        <v>3071</v>
      </c>
      <c r="L216" s="42" t="s">
        <v>1030</v>
      </c>
      <c r="M216" s="42" t="s">
        <v>398</v>
      </c>
      <c r="N216" s="52"/>
    </row>
    <row r="217" spans="1:14" ht="20.100000000000001" customHeight="1" x14ac:dyDescent="0.25">
      <c r="A217" s="39"/>
      <c r="B217" s="67" t="s">
        <v>3035</v>
      </c>
      <c r="C217" s="42" t="s">
        <v>3064</v>
      </c>
      <c r="D217" s="52"/>
      <c r="E217" s="19"/>
      <c r="F217" s="19"/>
      <c r="G217" s="19"/>
      <c r="H217" s="42"/>
      <c r="I217" s="42">
        <v>1</v>
      </c>
      <c r="J217" s="42" t="s">
        <v>2310</v>
      </c>
      <c r="K217" s="42" t="s">
        <v>3071</v>
      </c>
      <c r="L217" s="42" t="s">
        <v>3034</v>
      </c>
      <c r="M217" s="42" t="s">
        <v>398</v>
      </c>
      <c r="N217" s="52"/>
    </row>
    <row r="218" spans="1:14" ht="20.100000000000001" customHeight="1" x14ac:dyDescent="0.25">
      <c r="A218" s="39"/>
      <c r="B218" s="67" t="s">
        <v>3035</v>
      </c>
      <c r="C218" s="42" t="s">
        <v>3065</v>
      </c>
      <c r="D218" s="52"/>
      <c r="E218" s="19"/>
      <c r="F218" s="19"/>
      <c r="G218" s="19"/>
      <c r="H218" s="42"/>
      <c r="I218" s="42">
        <v>1</v>
      </c>
      <c r="J218" s="42" t="s">
        <v>2310</v>
      </c>
      <c r="K218" s="42" t="s">
        <v>3071</v>
      </c>
      <c r="L218" s="42" t="s">
        <v>3034</v>
      </c>
      <c r="M218" s="42" t="s">
        <v>398</v>
      </c>
      <c r="N218" s="52"/>
    </row>
    <row r="219" spans="1:14" ht="20.100000000000001" customHeight="1" x14ac:dyDescent="0.25">
      <c r="A219" s="39"/>
      <c r="B219" s="67" t="s">
        <v>3035</v>
      </c>
      <c r="C219" s="42" t="s">
        <v>3066</v>
      </c>
      <c r="D219" s="52"/>
      <c r="E219" s="19"/>
      <c r="F219" s="19"/>
      <c r="G219" s="19"/>
      <c r="H219" s="42"/>
      <c r="I219" s="42">
        <v>1</v>
      </c>
      <c r="J219" s="42" t="s">
        <v>2310</v>
      </c>
      <c r="K219" s="42" t="s">
        <v>3071</v>
      </c>
      <c r="L219" s="42" t="s">
        <v>3034</v>
      </c>
      <c r="M219" s="42" t="s">
        <v>398</v>
      </c>
      <c r="N219" s="52"/>
    </row>
    <row r="220" spans="1:14" ht="20.100000000000001" customHeight="1" x14ac:dyDescent="0.25">
      <c r="A220" s="39"/>
      <c r="B220" s="67" t="s">
        <v>3035</v>
      </c>
      <c r="C220" s="42" t="s">
        <v>3067</v>
      </c>
      <c r="D220" s="52"/>
      <c r="E220" s="19"/>
      <c r="F220" s="19"/>
      <c r="G220" s="19"/>
      <c r="H220" s="42"/>
      <c r="I220" s="42">
        <v>1</v>
      </c>
      <c r="J220" s="42" t="s">
        <v>2310</v>
      </c>
      <c r="K220" s="42" t="s">
        <v>3071</v>
      </c>
      <c r="L220" s="42" t="s">
        <v>3034</v>
      </c>
      <c r="M220" s="42" t="s">
        <v>398</v>
      </c>
      <c r="N220" s="52"/>
    </row>
    <row r="221" spans="1:14" ht="20.100000000000001" customHeight="1" x14ac:dyDescent="0.25">
      <c r="A221" s="39"/>
      <c r="B221" s="67" t="s">
        <v>3033</v>
      </c>
      <c r="C221" s="42" t="s">
        <v>3068</v>
      </c>
      <c r="D221" s="52"/>
      <c r="E221" s="19"/>
      <c r="F221" s="19"/>
      <c r="G221" s="19"/>
      <c r="H221" s="42"/>
      <c r="I221" s="42">
        <v>1</v>
      </c>
      <c r="J221" s="42" t="s">
        <v>2311</v>
      </c>
      <c r="K221" s="42" t="s">
        <v>3071</v>
      </c>
      <c r="L221" s="42" t="s">
        <v>3032</v>
      </c>
      <c r="M221" s="42" t="s">
        <v>398</v>
      </c>
      <c r="N221" s="52"/>
    </row>
    <row r="222" spans="1:14" ht="20.100000000000001" customHeight="1" x14ac:dyDescent="0.25">
      <c r="A222" s="39"/>
      <c r="B222" s="67" t="s">
        <v>3033</v>
      </c>
      <c r="C222" s="42" t="s">
        <v>3069</v>
      </c>
      <c r="D222" s="52"/>
      <c r="E222" s="19"/>
      <c r="F222" s="19"/>
      <c r="G222" s="19"/>
      <c r="H222" s="42"/>
      <c r="I222" s="42">
        <v>1</v>
      </c>
      <c r="J222" s="42" t="s">
        <v>2311</v>
      </c>
      <c r="K222" s="42" t="s">
        <v>3071</v>
      </c>
      <c r="L222" s="42" t="s">
        <v>3032</v>
      </c>
      <c r="M222" s="42" t="s">
        <v>398</v>
      </c>
      <c r="N222" s="52"/>
    </row>
    <row r="223" spans="1:14" ht="20.100000000000001" customHeight="1" x14ac:dyDescent="0.25">
      <c r="A223" s="39"/>
      <c r="B223" s="67" t="s">
        <v>3033</v>
      </c>
      <c r="C223" s="42" t="s">
        <v>3070</v>
      </c>
      <c r="D223" s="52"/>
      <c r="E223" s="19"/>
      <c r="F223" s="19"/>
      <c r="G223" s="19"/>
      <c r="H223" s="42"/>
      <c r="I223" s="42">
        <v>1</v>
      </c>
      <c r="J223" s="42" t="s">
        <v>2311</v>
      </c>
      <c r="K223" s="42" t="s">
        <v>3071</v>
      </c>
      <c r="L223" s="42" t="s">
        <v>3032</v>
      </c>
      <c r="M223" s="42" t="s">
        <v>398</v>
      </c>
      <c r="N223" s="52"/>
    </row>
    <row r="224" spans="1:14" ht="20.100000000000001" customHeight="1" x14ac:dyDescent="0.25">
      <c r="A224" s="39"/>
      <c r="B224" s="65" t="s">
        <v>2929</v>
      </c>
      <c r="C224" s="42" t="s">
        <v>3073</v>
      </c>
      <c r="D224" s="52"/>
      <c r="E224" s="19"/>
      <c r="F224" s="19"/>
      <c r="G224" s="19"/>
      <c r="H224" s="42"/>
      <c r="I224" s="42">
        <v>1</v>
      </c>
      <c r="J224" s="42" t="s">
        <v>2307</v>
      </c>
      <c r="K224" s="42" t="s">
        <v>3072</v>
      </c>
      <c r="L224" s="42" t="s">
        <v>1030</v>
      </c>
      <c r="M224" s="42" t="s">
        <v>398</v>
      </c>
      <c r="N224" s="52"/>
    </row>
    <row r="225" spans="1:14" ht="20.100000000000001" customHeight="1" x14ac:dyDescent="0.25">
      <c r="A225" s="39"/>
      <c r="B225" s="65" t="s">
        <v>2929</v>
      </c>
      <c r="C225" s="42" t="s">
        <v>3074</v>
      </c>
      <c r="D225" s="52"/>
      <c r="E225" s="19"/>
      <c r="F225" s="19"/>
      <c r="G225" s="19"/>
      <c r="H225" s="42"/>
      <c r="I225" s="42">
        <v>1</v>
      </c>
      <c r="J225" s="42" t="s">
        <v>2307</v>
      </c>
      <c r="K225" s="42" t="s">
        <v>3072</v>
      </c>
      <c r="L225" s="42" t="s">
        <v>1030</v>
      </c>
      <c r="M225" s="42" t="s">
        <v>398</v>
      </c>
      <c r="N225" s="52"/>
    </row>
    <row r="226" spans="1:14" ht="20.100000000000001" customHeight="1" x14ac:dyDescent="0.25">
      <c r="A226" s="39"/>
      <c r="B226" s="65" t="s">
        <v>2929</v>
      </c>
      <c r="C226" s="42" t="s">
        <v>3075</v>
      </c>
      <c r="D226" s="52"/>
      <c r="E226" s="19"/>
      <c r="F226" s="19"/>
      <c r="G226" s="19"/>
      <c r="H226" s="42"/>
      <c r="I226" s="42">
        <v>1</v>
      </c>
      <c r="J226" s="42" t="s">
        <v>2307</v>
      </c>
      <c r="K226" s="42" t="s">
        <v>3072</v>
      </c>
      <c r="L226" s="42" t="s">
        <v>1030</v>
      </c>
      <c r="M226" s="42" t="s">
        <v>398</v>
      </c>
      <c r="N226" s="52"/>
    </row>
    <row r="227" spans="1:14" ht="20.100000000000001" customHeight="1" x14ac:dyDescent="0.25">
      <c r="A227" s="39"/>
      <c r="B227" s="65" t="s">
        <v>2929</v>
      </c>
      <c r="C227" s="42" t="s">
        <v>3076</v>
      </c>
      <c r="D227" s="52"/>
      <c r="E227" s="19"/>
      <c r="F227" s="19"/>
      <c r="G227" s="19"/>
      <c r="H227" s="42"/>
      <c r="I227" s="42">
        <v>1</v>
      </c>
      <c r="J227" s="42" t="s">
        <v>2307</v>
      </c>
      <c r="K227" s="42" t="s">
        <v>3072</v>
      </c>
      <c r="L227" s="42" t="s">
        <v>1030</v>
      </c>
      <c r="M227" s="42" t="s">
        <v>398</v>
      </c>
      <c r="N227" s="52"/>
    </row>
    <row r="228" spans="1:14" ht="20.100000000000001" customHeight="1" x14ac:dyDescent="0.25">
      <c r="A228" s="39"/>
      <c r="B228" s="67" t="s">
        <v>3035</v>
      </c>
      <c r="C228" s="42" t="s">
        <v>3077</v>
      </c>
      <c r="D228" s="52"/>
      <c r="E228" s="19"/>
      <c r="F228" s="19"/>
      <c r="G228" s="19"/>
      <c r="H228" s="42"/>
      <c r="I228" s="42">
        <v>1</v>
      </c>
      <c r="J228" s="42" t="s">
        <v>2310</v>
      </c>
      <c r="K228" s="42" t="s">
        <v>3072</v>
      </c>
      <c r="L228" s="42" t="s">
        <v>3034</v>
      </c>
      <c r="M228" s="42" t="s">
        <v>398</v>
      </c>
      <c r="N228" s="52"/>
    </row>
    <row r="229" spans="1:14" ht="20.100000000000001" customHeight="1" x14ac:dyDescent="0.25">
      <c r="A229" s="39"/>
      <c r="B229" s="67" t="s">
        <v>3035</v>
      </c>
      <c r="C229" s="42" t="s">
        <v>3078</v>
      </c>
      <c r="D229" s="52"/>
      <c r="E229" s="19"/>
      <c r="F229" s="19"/>
      <c r="G229" s="19"/>
      <c r="H229" s="42"/>
      <c r="I229" s="42">
        <v>1</v>
      </c>
      <c r="J229" s="42" t="s">
        <v>2310</v>
      </c>
      <c r="K229" s="42" t="s">
        <v>3072</v>
      </c>
      <c r="L229" s="42" t="s">
        <v>3034</v>
      </c>
      <c r="M229" s="42" t="s">
        <v>398</v>
      </c>
      <c r="N229" s="52"/>
    </row>
    <row r="230" spans="1:14" ht="20.100000000000001" customHeight="1" x14ac:dyDescent="0.25">
      <c r="A230" s="39"/>
      <c r="B230" s="67" t="s">
        <v>3035</v>
      </c>
      <c r="C230" s="42" t="s">
        <v>3079</v>
      </c>
      <c r="D230" s="52"/>
      <c r="E230" s="19"/>
      <c r="F230" s="19"/>
      <c r="G230" s="19"/>
      <c r="H230" s="42"/>
      <c r="I230" s="42">
        <v>1</v>
      </c>
      <c r="J230" s="42" t="s">
        <v>2310</v>
      </c>
      <c r="K230" s="42" t="s">
        <v>3072</v>
      </c>
      <c r="L230" s="42" t="s">
        <v>3034</v>
      </c>
      <c r="M230" s="42" t="s">
        <v>398</v>
      </c>
      <c r="N230" s="52"/>
    </row>
    <row r="231" spans="1:14" ht="20.100000000000001" customHeight="1" x14ac:dyDescent="0.25">
      <c r="A231" s="39"/>
      <c r="B231" s="67" t="s">
        <v>3035</v>
      </c>
      <c r="C231" s="42" t="s">
        <v>3080</v>
      </c>
      <c r="D231" s="52"/>
      <c r="E231" s="19"/>
      <c r="F231" s="19"/>
      <c r="G231" s="19"/>
      <c r="H231" s="42"/>
      <c r="I231" s="42">
        <v>1</v>
      </c>
      <c r="J231" s="42" t="s">
        <v>2310</v>
      </c>
      <c r="K231" s="42" t="s">
        <v>3072</v>
      </c>
      <c r="L231" s="42" t="s">
        <v>3034</v>
      </c>
      <c r="M231" s="42" t="s">
        <v>398</v>
      </c>
      <c r="N231" s="52"/>
    </row>
    <row r="232" spans="1:14" ht="20.100000000000001" customHeight="1" x14ac:dyDescent="0.25">
      <c r="A232" s="39"/>
      <c r="B232" s="67" t="s">
        <v>3033</v>
      </c>
      <c r="C232" s="42" t="s">
        <v>3081</v>
      </c>
      <c r="D232" s="52"/>
      <c r="E232" s="19"/>
      <c r="F232" s="19"/>
      <c r="G232" s="19"/>
      <c r="H232" s="42"/>
      <c r="I232" s="42">
        <v>1</v>
      </c>
      <c r="J232" s="42" t="s">
        <v>2311</v>
      </c>
      <c r="K232" s="42" t="s">
        <v>3072</v>
      </c>
      <c r="L232" s="42" t="s">
        <v>3032</v>
      </c>
      <c r="M232" s="42" t="s">
        <v>398</v>
      </c>
      <c r="N232" s="52"/>
    </row>
    <row r="233" spans="1:14" ht="20.100000000000001" customHeight="1" x14ac:dyDescent="0.25">
      <c r="A233" s="39"/>
      <c r="B233" s="67" t="s">
        <v>3033</v>
      </c>
      <c r="C233" s="42" t="s">
        <v>3082</v>
      </c>
      <c r="D233" s="52"/>
      <c r="E233" s="19"/>
      <c r="F233" s="19"/>
      <c r="G233" s="19"/>
      <c r="H233" s="42"/>
      <c r="I233" s="42">
        <v>1</v>
      </c>
      <c r="J233" s="42" t="s">
        <v>2311</v>
      </c>
      <c r="K233" s="42" t="s">
        <v>3072</v>
      </c>
      <c r="L233" s="42" t="s">
        <v>3032</v>
      </c>
      <c r="M233" s="42" t="s">
        <v>398</v>
      </c>
      <c r="N233" s="52"/>
    </row>
    <row r="234" spans="1:14" ht="20.100000000000001" customHeight="1" x14ac:dyDescent="0.25">
      <c r="A234" s="39"/>
      <c r="B234" s="67" t="s">
        <v>3033</v>
      </c>
      <c r="C234" s="42" t="s">
        <v>3083</v>
      </c>
      <c r="D234" s="52"/>
      <c r="E234" s="19"/>
      <c r="F234" s="19"/>
      <c r="G234" s="19"/>
      <c r="H234" s="42"/>
      <c r="I234" s="42">
        <v>1</v>
      </c>
      <c r="J234" s="42" t="s">
        <v>2311</v>
      </c>
      <c r="K234" s="42" t="s">
        <v>3072</v>
      </c>
      <c r="L234" s="42" t="s">
        <v>3032</v>
      </c>
      <c r="M234" s="42" t="s">
        <v>398</v>
      </c>
      <c r="N234" s="52"/>
    </row>
    <row r="235" spans="1:14" ht="20.100000000000001" customHeight="1" x14ac:dyDescent="0.25">
      <c r="A235" s="39"/>
      <c r="B235" s="67" t="s">
        <v>3095</v>
      </c>
      <c r="C235" s="42" t="s">
        <v>3170</v>
      </c>
      <c r="D235" s="52"/>
      <c r="E235" s="19"/>
      <c r="F235" s="19"/>
      <c r="G235" s="19"/>
      <c r="H235" s="42"/>
      <c r="I235" s="42">
        <v>1</v>
      </c>
      <c r="J235" s="42" t="s">
        <v>3099</v>
      </c>
      <c r="K235" s="42" t="s">
        <v>89</v>
      </c>
      <c r="L235" s="42" t="s">
        <v>3094</v>
      </c>
      <c r="M235" s="42" t="s">
        <v>533</v>
      </c>
      <c r="N235" s="52"/>
    </row>
    <row r="236" spans="1:14" ht="20.100000000000001" customHeight="1" x14ac:dyDescent="0.25">
      <c r="A236" s="39"/>
      <c r="B236" s="67" t="s">
        <v>3095</v>
      </c>
      <c r="C236" s="42" t="s">
        <v>3171</v>
      </c>
      <c r="D236" s="52"/>
      <c r="E236" s="19"/>
      <c r="F236" s="19"/>
      <c r="G236" s="19"/>
      <c r="H236" s="42"/>
      <c r="I236" s="42">
        <v>1</v>
      </c>
      <c r="J236" s="42" t="s">
        <v>3099</v>
      </c>
      <c r="K236" s="42" t="s">
        <v>89</v>
      </c>
      <c r="L236" s="42" t="s">
        <v>3094</v>
      </c>
      <c r="M236" s="42" t="s">
        <v>533</v>
      </c>
      <c r="N236" s="52"/>
    </row>
    <row r="237" spans="1:14" ht="20.100000000000001" customHeight="1" x14ac:dyDescent="0.25">
      <c r="A237" s="39"/>
      <c r="B237" s="67" t="s">
        <v>3095</v>
      </c>
      <c r="C237" s="42" t="s">
        <v>3172</v>
      </c>
      <c r="D237" s="52"/>
      <c r="E237" s="19"/>
      <c r="F237" s="19"/>
      <c r="G237" s="19"/>
      <c r="H237" s="42"/>
      <c r="I237" s="42">
        <v>1</v>
      </c>
      <c r="J237" s="42" t="s">
        <v>3099</v>
      </c>
      <c r="K237" s="42" t="s">
        <v>89</v>
      </c>
      <c r="L237" s="42" t="s">
        <v>3094</v>
      </c>
      <c r="M237" s="42" t="s">
        <v>533</v>
      </c>
      <c r="N237" s="52"/>
    </row>
    <row r="238" spans="1:14" ht="20.100000000000001" customHeight="1" x14ac:dyDescent="0.25">
      <c r="A238" s="39"/>
      <c r="B238" s="67" t="s">
        <v>3095</v>
      </c>
      <c r="C238" s="42" t="s">
        <v>3173</v>
      </c>
      <c r="D238" s="52"/>
      <c r="E238" s="19"/>
      <c r="F238" s="19"/>
      <c r="G238" s="19"/>
      <c r="H238" s="42"/>
      <c r="I238" s="42">
        <v>1</v>
      </c>
      <c r="J238" s="42" t="s">
        <v>3099</v>
      </c>
      <c r="K238" s="42" t="s">
        <v>89</v>
      </c>
      <c r="L238" s="42" t="s">
        <v>3094</v>
      </c>
      <c r="M238" s="42" t="s">
        <v>533</v>
      </c>
      <c r="N238" s="52"/>
    </row>
    <row r="239" spans="1:14" ht="20.100000000000001" customHeight="1" x14ac:dyDescent="0.25">
      <c r="A239" s="39"/>
      <c r="B239" s="67" t="s">
        <v>3095</v>
      </c>
      <c r="C239" s="42" t="s">
        <v>3174</v>
      </c>
      <c r="D239" s="52"/>
      <c r="E239" s="19"/>
      <c r="F239" s="19"/>
      <c r="G239" s="19"/>
      <c r="H239" s="42"/>
      <c r="I239" s="42">
        <v>1</v>
      </c>
      <c r="J239" s="42" t="s">
        <v>3099</v>
      </c>
      <c r="K239" s="42" t="s">
        <v>89</v>
      </c>
      <c r="L239" s="42" t="s">
        <v>3094</v>
      </c>
      <c r="M239" s="42" t="s">
        <v>533</v>
      </c>
      <c r="N239" s="52"/>
    </row>
    <row r="240" spans="1:14" ht="20.100000000000001" customHeight="1" x14ac:dyDescent="0.25">
      <c r="A240" s="39"/>
      <c r="B240" s="67" t="s">
        <v>3095</v>
      </c>
      <c r="C240" s="42" t="s">
        <v>3175</v>
      </c>
      <c r="D240" s="52"/>
      <c r="E240" s="19"/>
      <c r="F240" s="19"/>
      <c r="G240" s="19"/>
      <c r="H240" s="42"/>
      <c r="I240" s="42">
        <v>1</v>
      </c>
      <c r="J240" s="42" t="s">
        <v>3099</v>
      </c>
      <c r="K240" s="42" t="s">
        <v>89</v>
      </c>
      <c r="L240" s="42" t="s">
        <v>3094</v>
      </c>
      <c r="M240" s="42" t="s">
        <v>533</v>
      </c>
      <c r="N240" s="52"/>
    </row>
    <row r="241" spans="1:14" ht="20.100000000000001" customHeight="1" x14ac:dyDescent="0.25">
      <c r="A241" s="39"/>
      <c r="B241" s="67" t="s">
        <v>3097</v>
      </c>
      <c r="C241" s="42" t="s">
        <v>3176</v>
      </c>
      <c r="D241" s="52"/>
      <c r="E241" s="19"/>
      <c r="F241" s="19"/>
      <c r="G241" s="19"/>
      <c r="H241" s="42"/>
      <c r="I241" s="42">
        <v>1</v>
      </c>
      <c r="J241" s="42" t="s">
        <v>3100</v>
      </c>
      <c r="K241" s="42" t="s">
        <v>89</v>
      </c>
      <c r="L241" s="42" t="s">
        <v>3096</v>
      </c>
      <c r="M241" s="42" t="s">
        <v>533</v>
      </c>
      <c r="N241" s="52"/>
    </row>
    <row r="242" spans="1:14" ht="20.100000000000001" customHeight="1" x14ac:dyDescent="0.25">
      <c r="A242" s="39"/>
      <c r="B242" s="67" t="s">
        <v>3097</v>
      </c>
      <c r="C242" s="42" t="s">
        <v>3177</v>
      </c>
      <c r="D242" s="52"/>
      <c r="E242" s="19"/>
      <c r="F242" s="19"/>
      <c r="G242" s="19"/>
      <c r="H242" s="42"/>
      <c r="I242" s="42">
        <v>1</v>
      </c>
      <c r="J242" s="42" t="s">
        <v>3100</v>
      </c>
      <c r="K242" s="42" t="s">
        <v>89</v>
      </c>
      <c r="L242" s="42" t="s">
        <v>3096</v>
      </c>
      <c r="M242" s="42" t="s">
        <v>533</v>
      </c>
      <c r="N242" s="52"/>
    </row>
    <row r="243" spans="1:14" ht="20.100000000000001" customHeight="1" x14ac:dyDescent="0.25">
      <c r="A243" s="39"/>
      <c r="B243" s="67" t="s">
        <v>3097</v>
      </c>
      <c r="C243" s="42" t="s">
        <v>3178</v>
      </c>
      <c r="D243" s="52"/>
      <c r="E243" s="19"/>
      <c r="F243" s="19"/>
      <c r="G243" s="19"/>
      <c r="H243" s="42"/>
      <c r="I243" s="42">
        <v>1</v>
      </c>
      <c r="J243" s="42" t="s">
        <v>3100</v>
      </c>
      <c r="K243" s="42" t="s">
        <v>89</v>
      </c>
      <c r="L243" s="42" t="s">
        <v>3096</v>
      </c>
      <c r="M243" s="42" t="s">
        <v>533</v>
      </c>
      <c r="N243" s="52"/>
    </row>
    <row r="244" spans="1:14" ht="20.100000000000001" customHeight="1" x14ac:dyDescent="0.25">
      <c r="A244" s="39"/>
      <c r="B244" s="67" t="s">
        <v>3097</v>
      </c>
      <c r="C244" s="42" t="s">
        <v>3179</v>
      </c>
      <c r="D244" s="52"/>
      <c r="E244" s="19"/>
      <c r="F244" s="19"/>
      <c r="G244" s="19"/>
      <c r="H244" s="42"/>
      <c r="I244" s="42">
        <v>1</v>
      </c>
      <c r="J244" s="42" t="s">
        <v>3100</v>
      </c>
      <c r="K244" s="42" t="s">
        <v>89</v>
      </c>
      <c r="L244" s="42" t="s">
        <v>3096</v>
      </c>
      <c r="M244" s="42" t="s">
        <v>533</v>
      </c>
      <c r="N244" s="52"/>
    </row>
    <row r="245" spans="1:14" ht="20.100000000000001" customHeight="1" x14ac:dyDescent="0.25">
      <c r="A245" s="39"/>
      <c r="B245" s="67" t="s">
        <v>3097</v>
      </c>
      <c r="C245" s="42" t="s">
        <v>3180</v>
      </c>
      <c r="D245" s="52"/>
      <c r="E245" s="19"/>
      <c r="F245" s="19"/>
      <c r="G245" s="19"/>
      <c r="H245" s="42"/>
      <c r="I245" s="42">
        <v>1</v>
      </c>
      <c r="J245" s="42" t="s">
        <v>3100</v>
      </c>
      <c r="K245" s="42" t="s">
        <v>89</v>
      </c>
      <c r="L245" s="42" t="s">
        <v>3096</v>
      </c>
      <c r="M245" s="42" t="s">
        <v>533</v>
      </c>
      <c r="N245" s="52"/>
    </row>
    <row r="246" spans="1:14" ht="20.100000000000001" customHeight="1" x14ac:dyDescent="0.25">
      <c r="A246" s="39"/>
      <c r="B246" s="67" t="s">
        <v>3097</v>
      </c>
      <c r="C246" s="42" t="s">
        <v>3181</v>
      </c>
      <c r="D246" s="52"/>
      <c r="E246" s="19"/>
      <c r="F246" s="19"/>
      <c r="G246" s="19"/>
      <c r="H246" s="42"/>
      <c r="I246" s="42">
        <v>1</v>
      </c>
      <c r="J246" s="42" t="s">
        <v>3100</v>
      </c>
      <c r="K246" s="42" t="s">
        <v>89</v>
      </c>
      <c r="L246" s="42" t="s">
        <v>3096</v>
      </c>
      <c r="M246" s="42" t="s">
        <v>533</v>
      </c>
      <c r="N246" s="52"/>
    </row>
    <row r="247" spans="1:14" ht="20.100000000000001" customHeight="1" x14ac:dyDescent="0.25">
      <c r="A247" s="39"/>
      <c r="B247" s="67"/>
      <c r="C247" s="42" t="s">
        <v>3182</v>
      </c>
      <c r="D247" s="52"/>
      <c r="E247" s="19"/>
      <c r="F247" s="19"/>
      <c r="G247" s="19"/>
      <c r="H247" s="42"/>
      <c r="I247" s="42">
        <v>1</v>
      </c>
      <c r="J247" s="42" t="s">
        <v>3101</v>
      </c>
      <c r="K247" s="42" t="s">
        <v>89</v>
      </c>
      <c r="L247" s="42" t="s">
        <v>1023</v>
      </c>
      <c r="M247" s="42" t="s">
        <v>533</v>
      </c>
      <c r="N247" s="52"/>
    </row>
    <row r="248" spans="1:14" ht="20.100000000000001" customHeight="1" x14ac:dyDescent="0.25">
      <c r="A248" s="39"/>
      <c r="B248" s="67"/>
      <c r="C248" s="42" t="s">
        <v>3183</v>
      </c>
      <c r="D248" s="52"/>
      <c r="E248" s="19"/>
      <c r="F248" s="19"/>
      <c r="G248" s="19"/>
      <c r="H248" s="42"/>
      <c r="I248" s="42">
        <v>1</v>
      </c>
      <c r="J248" s="42" t="s">
        <v>3101</v>
      </c>
      <c r="K248" s="42" t="s">
        <v>89</v>
      </c>
      <c r="L248" s="42" t="s">
        <v>1023</v>
      </c>
      <c r="M248" s="42" t="s">
        <v>533</v>
      </c>
      <c r="N248" s="52"/>
    </row>
    <row r="249" spans="1:14" ht="20.100000000000001" customHeight="1" x14ac:dyDescent="0.25">
      <c r="A249" s="39"/>
      <c r="B249" s="67"/>
      <c r="C249" s="42" t="s">
        <v>3184</v>
      </c>
      <c r="D249" s="52"/>
      <c r="E249" s="19"/>
      <c r="F249" s="19"/>
      <c r="G249" s="19"/>
      <c r="H249" s="42"/>
      <c r="I249" s="42">
        <v>1</v>
      </c>
      <c r="J249" s="42" t="s">
        <v>3101</v>
      </c>
      <c r="K249" s="42" t="s">
        <v>89</v>
      </c>
      <c r="L249" s="42" t="s">
        <v>1023</v>
      </c>
      <c r="M249" s="42" t="s">
        <v>533</v>
      </c>
      <c r="N249" s="52"/>
    </row>
    <row r="250" spans="1:14" ht="20.100000000000001" customHeight="1" x14ac:dyDescent="0.25">
      <c r="A250" s="39"/>
      <c r="B250" s="67"/>
      <c r="C250" s="42" t="s">
        <v>3185</v>
      </c>
      <c r="D250" s="52"/>
      <c r="E250" s="19"/>
      <c r="F250" s="19"/>
      <c r="G250" s="19"/>
      <c r="H250" s="42"/>
      <c r="I250" s="42">
        <v>1</v>
      </c>
      <c r="J250" s="42" t="s">
        <v>3101</v>
      </c>
      <c r="K250" s="42" t="s">
        <v>89</v>
      </c>
      <c r="L250" s="42" t="s">
        <v>1023</v>
      </c>
      <c r="M250" s="42" t="s">
        <v>533</v>
      </c>
      <c r="N250" s="52"/>
    </row>
    <row r="251" spans="1:14" ht="20.100000000000001" customHeight="1" x14ac:dyDescent="0.25">
      <c r="A251" s="39"/>
      <c r="B251" s="67"/>
      <c r="C251" s="42" t="s">
        <v>3186</v>
      </c>
      <c r="D251" s="52"/>
      <c r="E251" s="19"/>
      <c r="F251" s="19"/>
      <c r="G251" s="19"/>
      <c r="H251" s="42"/>
      <c r="I251" s="42">
        <v>1</v>
      </c>
      <c r="J251" s="42" t="s">
        <v>3101</v>
      </c>
      <c r="K251" s="42" t="s">
        <v>89</v>
      </c>
      <c r="L251" s="42" t="s">
        <v>1023</v>
      </c>
      <c r="M251" s="42" t="s">
        <v>533</v>
      </c>
      <c r="N251" s="52"/>
    </row>
    <row r="252" spans="1:14" ht="20.100000000000001" customHeight="1" x14ac:dyDescent="0.25">
      <c r="A252" s="39"/>
      <c r="B252" s="67"/>
      <c r="C252" s="42" t="s">
        <v>3187</v>
      </c>
      <c r="D252" s="52"/>
      <c r="E252" s="19"/>
      <c r="F252" s="19"/>
      <c r="G252" s="19"/>
      <c r="H252" s="42"/>
      <c r="I252" s="42">
        <v>1</v>
      </c>
      <c r="J252" s="42" t="s">
        <v>3101</v>
      </c>
      <c r="K252" s="42" t="s">
        <v>89</v>
      </c>
      <c r="L252" s="42" t="s">
        <v>1023</v>
      </c>
      <c r="M252" s="42" t="s">
        <v>533</v>
      </c>
      <c r="N252" s="52"/>
    </row>
    <row r="253" spans="1:14" ht="20.100000000000001" customHeight="1" x14ac:dyDescent="0.25">
      <c r="A253" s="39"/>
      <c r="B253" s="67" t="s">
        <v>3098</v>
      </c>
      <c r="C253" s="42" t="s">
        <v>3188</v>
      </c>
      <c r="D253" s="52"/>
      <c r="E253" s="19"/>
      <c r="F253" s="19"/>
      <c r="G253" s="19"/>
      <c r="H253" s="42"/>
      <c r="I253" s="42">
        <v>1</v>
      </c>
      <c r="J253" s="42" t="s">
        <v>3102</v>
      </c>
      <c r="K253" s="42" t="s">
        <v>89</v>
      </c>
      <c r="L253" s="42" t="s">
        <v>3096</v>
      </c>
      <c r="M253" s="42" t="s">
        <v>533</v>
      </c>
      <c r="N253" s="52"/>
    </row>
    <row r="254" spans="1:14" ht="20.100000000000001" customHeight="1" x14ac:dyDescent="0.25">
      <c r="A254" s="39"/>
      <c r="B254" s="67" t="s">
        <v>3098</v>
      </c>
      <c r="C254" s="42" t="s">
        <v>3189</v>
      </c>
      <c r="D254" s="52"/>
      <c r="E254" s="19"/>
      <c r="F254" s="19"/>
      <c r="G254" s="19"/>
      <c r="H254" s="42"/>
      <c r="I254" s="42">
        <v>1</v>
      </c>
      <c r="J254" s="42" t="s">
        <v>3102</v>
      </c>
      <c r="K254" s="42" t="s">
        <v>89</v>
      </c>
      <c r="L254" s="42" t="s">
        <v>3096</v>
      </c>
      <c r="M254" s="42" t="s">
        <v>533</v>
      </c>
      <c r="N254" s="52"/>
    </row>
    <row r="255" spans="1:14" ht="20.100000000000001" customHeight="1" x14ac:dyDescent="0.25">
      <c r="A255" s="39"/>
      <c r="B255" s="67" t="s">
        <v>3098</v>
      </c>
      <c r="C255" s="42" t="s">
        <v>3190</v>
      </c>
      <c r="D255" s="52"/>
      <c r="E255" s="19"/>
      <c r="F255" s="19"/>
      <c r="G255" s="19"/>
      <c r="H255" s="42"/>
      <c r="I255" s="42">
        <v>1</v>
      </c>
      <c r="J255" s="42" t="s">
        <v>3102</v>
      </c>
      <c r="K255" s="42" t="s">
        <v>89</v>
      </c>
      <c r="L255" s="42" t="s">
        <v>3096</v>
      </c>
      <c r="M255" s="42" t="s">
        <v>533</v>
      </c>
      <c r="N255" s="52"/>
    </row>
    <row r="256" spans="1:14" ht="20.100000000000001" customHeight="1" x14ac:dyDescent="0.25">
      <c r="A256" s="39"/>
      <c r="B256" s="67" t="s">
        <v>3098</v>
      </c>
      <c r="C256" s="42" t="s">
        <v>3191</v>
      </c>
      <c r="D256" s="52"/>
      <c r="E256" s="19"/>
      <c r="F256" s="19"/>
      <c r="G256" s="19"/>
      <c r="H256" s="42"/>
      <c r="I256" s="42">
        <v>1</v>
      </c>
      <c r="J256" s="42" t="s">
        <v>3102</v>
      </c>
      <c r="K256" s="42" t="s">
        <v>89</v>
      </c>
      <c r="L256" s="42" t="s">
        <v>3096</v>
      </c>
      <c r="M256" s="42" t="s">
        <v>533</v>
      </c>
      <c r="N256" s="52"/>
    </row>
    <row r="257" spans="1:14" ht="20.100000000000001" customHeight="1" x14ac:dyDescent="0.25">
      <c r="A257" s="39"/>
      <c r="B257" s="67" t="s">
        <v>3098</v>
      </c>
      <c r="C257" s="42" t="s">
        <v>3192</v>
      </c>
      <c r="D257" s="52"/>
      <c r="E257" s="19"/>
      <c r="F257" s="19"/>
      <c r="G257" s="19"/>
      <c r="H257" s="42"/>
      <c r="I257" s="42">
        <v>1</v>
      </c>
      <c r="J257" s="42" t="s">
        <v>3102</v>
      </c>
      <c r="K257" s="42" t="s">
        <v>89</v>
      </c>
      <c r="L257" s="42" t="s">
        <v>3096</v>
      </c>
      <c r="M257" s="42" t="s">
        <v>533</v>
      </c>
      <c r="N257" s="52"/>
    </row>
    <row r="258" spans="1:14" ht="20.100000000000001" customHeight="1" x14ac:dyDescent="0.25">
      <c r="A258" s="39"/>
      <c r="B258" s="67" t="s">
        <v>3098</v>
      </c>
      <c r="C258" s="42" t="s">
        <v>3193</v>
      </c>
      <c r="D258" s="52"/>
      <c r="E258" s="19"/>
      <c r="F258" s="19"/>
      <c r="G258" s="19"/>
      <c r="H258" s="42"/>
      <c r="I258" s="42">
        <v>1</v>
      </c>
      <c r="J258" s="42" t="s">
        <v>3102</v>
      </c>
      <c r="K258" s="42" t="s">
        <v>89</v>
      </c>
      <c r="L258" s="42" t="s">
        <v>3096</v>
      </c>
      <c r="M258" s="42" t="s">
        <v>533</v>
      </c>
      <c r="N258" s="52"/>
    </row>
    <row r="259" spans="1:14" ht="20.100000000000001" customHeight="1" x14ac:dyDescent="0.25">
      <c r="A259" s="39"/>
      <c r="B259" s="67" t="s">
        <v>3095</v>
      </c>
      <c r="C259" s="42" t="s">
        <v>3194</v>
      </c>
      <c r="D259" s="52"/>
      <c r="E259" s="19"/>
      <c r="F259" s="19"/>
      <c r="G259" s="19"/>
      <c r="H259" s="42"/>
      <c r="I259" s="42">
        <v>1</v>
      </c>
      <c r="J259" s="42" t="s">
        <v>3099</v>
      </c>
      <c r="K259" s="42" t="s">
        <v>90</v>
      </c>
      <c r="L259" s="42" t="s">
        <v>3094</v>
      </c>
      <c r="M259" s="42" t="s">
        <v>533</v>
      </c>
      <c r="N259" s="52"/>
    </row>
    <row r="260" spans="1:14" ht="20.100000000000001" customHeight="1" x14ac:dyDescent="0.25">
      <c r="A260" s="39"/>
      <c r="B260" s="67" t="s">
        <v>3095</v>
      </c>
      <c r="C260" s="42" t="s">
        <v>3195</v>
      </c>
      <c r="D260" s="52"/>
      <c r="E260" s="19"/>
      <c r="F260" s="19"/>
      <c r="G260" s="19"/>
      <c r="H260" s="42"/>
      <c r="I260" s="42">
        <v>1</v>
      </c>
      <c r="J260" s="42" t="s">
        <v>3099</v>
      </c>
      <c r="K260" s="42" t="s">
        <v>90</v>
      </c>
      <c r="L260" s="42" t="s">
        <v>3094</v>
      </c>
      <c r="M260" s="42" t="s">
        <v>533</v>
      </c>
      <c r="N260" s="52"/>
    </row>
    <row r="261" spans="1:14" ht="20.100000000000001" customHeight="1" x14ac:dyDescent="0.25">
      <c r="A261" s="39"/>
      <c r="B261" s="67" t="s">
        <v>3095</v>
      </c>
      <c r="C261" s="42" t="s">
        <v>3196</v>
      </c>
      <c r="D261" s="52"/>
      <c r="E261" s="19"/>
      <c r="F261" s="19"/>
      <c r="G261" s="19"/>
      <c r="H261" s="42"/>
      <c r="I261" s="42">
        <v>1</v>
      </c>
      <c r="J261" s="42" t="s">
        <v>3099</v>
      </c>
      <c r="K261" s="42" t="s">
        <v>90</v>
      </c>
      <c r="L261" s="42" t="s">
        <v>3094</v>
      </c>
      <c r="M261" s="42" t="s">
        <v>533</v>
      </c>
      <c r="N261" s="52"/>
    </row>
    <row r="262" spans="1:14" ht="20.100000000000001" customHeight="1" x14ac:dyDescent="0.25">
      <c r="A262" s="39"/>
      <c r="B262" s="67" t="s">
        <v>3095</v>
      </c>
      <c r="C262" s="42" t="s">
        <v>3197</v>
      </c>
      <c r="D262" s="52"/>
      <c r="E262" s="19"/>
      <c r="F262" s="19"/>
      <c r="G262" s="19"/>
      <c r="H262" s="42"/>
      <c r="I262" s="42">
        <v>1</v>
      </c>
      <c r="J262" s="42" t="s">
        <v>3099</v>
      </c>
      <c r="K262" s="42" t="s">
        <v>90</v>
      </c>
      <c r="L262" s="42" t="s">
        <v>3094</v>
      </c>
      <c r="M262" s="42" t="s">
        <v>533</v>
      </c>
      <c r="N262" s="52"/>
    </row>
    <row r="263" spans="1:14" ht="20.100000000000001" customHeight="1" x14ac:dyDescent="0.25">
      <c r="A263" s="39"/>
      <c r="B263" s="67" t="s">
        <v>3097</v>
      </c>
      <c r="C263" s="42" t="s">
        <v>3198</v>
      </c>
      <c r="D263" s="52"/>
      <c r="E263" s="19"/>
      <c r="F263" s="19"/>
      <c r="G263" s="19"/>
      <c r="H263" s="42"/>
      <c r="I263" s="42">
        <v>1</v>
      </c>
      <c r="J263" s="42" t="s">
        <v>3100</v>
      </c>
      <c r="K263" s="42" t="s">
        <v>90</v>
      </c>
      <c r="L263" s="42" t="s">
        <v>3096</v>
      </c>
      <c r="M263" s="42" t="s">
        <v>533</v>
      </c>
      <c r="N263" s="52"/>
    </row>
    <row r="264" spans="1:14" ht="20.100000000000001" customHeight="1" x14ac:dyDescent="0.25">
      <c r="A264" s="39"/>
      <c r="B264" s="67" t="s">
        <v>3097</v>
      </c>
      <c r="C264" s="42" t="s">
        <v>3199</v>
      </c>
      <c r="D264" s="52"/>
      <c r="E264" s="19"/>
      <c r="F264" s="19"/>
      <c r="G264" s="19"/>
      <c r="H264" s="42"/>
      <c r="I264" s="42">
        <v>1</v>
      </c>
      <c r="J264" s="42" t="s">
        <v>3100</v>
      </c>
      <c r="K264" s="42" t="s">
        <v>90</v>
      </c>
      <c r="L264" s="42" t="s">
        <v>3096</v>
      </c>
      <c r="M264" s="42" t="s">
        <v>533</v>
      </c>
      <c r="N264" s="52"/>
    </row>
    <row r="265" spans="1:14" ht="20.100000000000001" customHeight="1" x14ac:dyDescent="0.25">
      <c r="A265" s="39"/>
      <c r="B265" s="67" t="s">
        <v>3097</v>
      </c>
      <c r="C265" s="42" t="s">
        <v>3200</v>
      </c>
      <c r="D265" s="52"/>
      <c r="E265" s="19"/>
      <c r="F265" s="19"/>
      <c r="G265" s="19"/>
      <c r="H265" s="42"/>
      <c r="I265" s="42">
        <v>1</v>
      </c>
      <c r="J265" s="42" t="s">
        <v>3100</v>
      </c>
      <c r="K265" s="42" t="s">
        <v>90</v>
      </c>
      <c r="L265" s="42" t="s">
        <v>3096</v>
      </c>
      <c r="M265" s="42" t="s">
        <v>533</v>
      </c>
      <c r="N265" s="52"/>
    </row>
    <row r="266" spans="1:14" ht="20.100000000000001" customHeight="1" x14ac:dyDescent="0.25">
      <c r="A266" s="39"/>
      <c r="B266" s="67" t="s">
        <v>3097</v>
      </c>
      <c r="C266" s="42" t="s">
        <v>3201</v>
      </c>
      <c r="D266" s="52"/>
      <c r="E266" s="19"/>
      <c r="F266" s="19"/>
      <c r="G266" s="19"/>
      <c r="H266" s="42"/>
      <c r="I266" s="42">
        <v>1</v>
      </c>
      <c r="J266" s="42" t="s">
        <v>3100</v>
      </c>
      <c r="K266" s="42" t="s">
        <v>90</v>
      </c>
      <c r="L266" s="42" t="s">
        <v>3096</v>
      </c>
      <c r="M266" s="42" t="s">
        <v>533</v>
      </c>
      <c r="N266" s="52"/>
    </row>
    <row r="267" spans="1:14" ht="20.100000000000001" customHeight="1" x14ac:dyDescent="0.25">
      <c r="A267" s="39"/>
      <c r="B267" s="67" t="s">
        <v>3095</v>
      </c>
      <c r="C267" s="42" t="s">
        <v>3202</v>
      </c>
      <c r="D267" s="52"/>
      <c r="E267" s="19"/>
      <c r="F267" s="19"/>
      <c r="G267" s="19"/>
      <c r="H267" s="42"/>
      <c r="I267" s="42">
        <v>1</v>
      </c>
      <c r="J267" s="42" t="s">
        <v>3099</v>
      </c>
      <c r="K267" s="42" t="s">
        <v>91</v>
      </c>
      <c r="L267" s="42" t="s">
        <v>3094</v>
      </c>
      <c r="M267" s="42" t="s">
        <v>533</v>
      </c>
      <c r="N267" s="52"/>
    </row>
    <row r="268" spans="1:14" ht="20.100000000000001" customHeight="1" x14ac:dyDescent="0.25">
      <c r="A268" s="39"/>
      <c r="B268" s="67" t="s">
        <v>3095</v>
      </c>
      <c r="C268" s="42" t="s">
        <v>3203</v>
      </c>
      <c r="D268" s="52"/>
      <c r="E268" s="19"/>
      <c r="F268" s="19"/>
      <c r="G268" s="19"/>
      <c r="H268" s="42"/>
      <c r="I268" s="42">
        <v>1</v>
      </c>
      <c r="J268" s="42" t="s">
        <v>3099</v>
      </c>
      <c r="K268" s="42" t="s">
        <v>91</v>
      </c>
      <c r="L268" s="42" t="s">
        <v>3094</v>
      </c>
      <c r="M268" s="42" t="s">
        <v>533</v>
      </c>
      <c r="N268" s="52"/>
    </row>
    <row r="269" spans="1:14" ht="20.100000000000001" customHeight="1" x14ac:dyDescent="0.25">
      <c r="A269" s="39"/>
      <c r="B269" s="67" t="s">
        <v>3095</v>
      </c>
      <c r="C269" s="42" t="s">
        <v>3204</v>
      </c>
      <c r="D269" s="52"/>
      <c r="E269" s="19"/>
      <c r="F269" s="19"/>
      <c r="G269" s="19"/>
      <c r="H269" s="42"/>
      <c r="I269" s="42">
        <v>1</v>
      </c>
      <c r="J269" s="42" t="s">
        <v>3099</v>
      </c>
      <c r="K269" s="42" t="s">
        <v>91</v>
      </c>
      <c r="L269" s="42" t="s">
        <v>3094</v>
      </c>
      <c r="M269" s="42" t="s">
        <v>533</v>
      </c>
      <c r="N269" s="52"/>
    </row>
    <row r="270" spans="1:14" ht="20.100000000000001" customHeight="1" x14ac:dyDescent="0.25">
      <c r="A270" s="39"/>
      <c r="B270" s="67" t="s">
        <v>3095</v>
      </c>
      <c r="C270" s="42" t="s">
        <v>3205</v>
      </c>
      <c r="D270" s="52"/>
      <c r="E270" s="19"/>
      <c r="F270" s="19"/>
      <c r="G270" s="19"/>
      <c r="H270" s="42"/>
      <c r="I270" s="42">
        <v>1</v>
      </c>
      <c r="J270" s="42" t="s">
        <v>3099</v>
      </c>
      <c r="K270" s="42" t="s">
        <v>91</v>
      </c>
      <c r="L270" s="42" t="s">
        <v>3094</v>
      </c>
      <c r="M270" s="42" t="s">
        <v>533</v>
      </c>
      <c r="N270" s="52"/>
    </row>
    <row r="271" spans="1:14" ht="20.100000000000001" customHeight="1" x14ac:dyDescent="0.25">
      <c r="A271" s="39"/>
      <c r="B271" s="67" t="s">
        <v>3095</v>
      </c>
      <c r="C271" s="42" t="s">
        <v>3206</v>
      </c>
      <c r="D271" s="52"/>
      <c r="E271" s="19"/>
      <c r="F271" s="19"/>
      <c r="G271" s="19"/>
      <c r="H271" s="42"/>
      <c r="I271" s="42">
        <v>1</v>
      </c>
      <c r="J271" s="42" t="s">
        <v>3099</v>
      </c>
      <c r="K271" s="42" t="s">
        <v>91</v>
      </c>
      <c r="L271" s="42" t="s">
        <v>3094</v>
      </c>
      <c r="M271" s="42" t="s">
        <v>533</v>
      </c>
      <c r="N271" s="52"/>
    </row>
    <row r="272" spans="1:14" ht="20.100000000000001" customHeight="1" x14ac:dyDescent="0.25">
      <c r="A272" s="39"/>
      <c r="B272" s="67" t="s">
        <v>3095</v>
      </c>
      <c r="C272" s="42" t="s">
        <v>3207</v>
      </c>
      <c r="D272" s="52"/>
      <c r="E272" s="19"/>
      <c r="F272" s="19"/>
      <c r="G272" s="19"/>
      <c r="H272" s="42"/>
      <c r="I272" s="42">
        <v>1</v>
      </c>
      <c r="J272" s="42" t="s">
        <v>3099</v>
      </c>
      <c r="K272" s="42" t="s">
        <v>91</v>
      </c>
      <c r="L272" s="42" t="s">
        <v>3094</v>
      </c>
      <c r="M272" s="42" t="s">
        <v>533</v>
      </c>
      <c r="N272" s="52"/>
    </row>
    <row r="273" spans="1:14" ht="20.100000000000001" customHeight="1" x14ac:dyDescent="0.25">
      <c r="A273" s="39"/>
      <c r="B273" s="67" t="s">
        <v>3097</v>
      </c>
      <c r="C273" s="42" t="s">
        <v>3208</v>
      </c>
      <c r="D273" s="52"/>
      <c r="E273" s="19"/>
      <c r="F273" s="19"/>
      <c r="G273" s="19"/>
      <c r="H273" s="42"/>
      <c r="I273" s="42">
        <v>1</v>
      </c>
      <c r="J273" s="42" t="s">
        <v>3100</v>
      </c>
      <c r="K273" s="42" t="s">
        <v>91</v>
      </c>
      <c r="L273" s="42" t="s">
        <v>3096</v>
      </c>
      <c r="M273" s="42" t="s">
        <v>533</v>
      </c>
      <c r="N273" s="52"/>
    </row>
    <row r="274" spans="1:14" ht="20.100000000000001" customHeight="1" x14ac:dyDescent="0.25">
      <c r="A274" s="39"/>
      <c r="B274" s="67" t="s">
        <v>3097</v>
      </c>
      <c r="C274" s="42" t="s">
        <v>3209</v>
      </c>
      <c r="D274" s="52"/>
      <c r="E274" s="19"/>
      <c r="F274" s="19"/>
      <c r="G274" s="19"/>
      <c r="H274" s="42"/>
      <c r="I274" s="42">
        <v>1</v>
      </c>
      <c r="J274" s="42" t="s">
        <v>3100</v>
      </c>
      <c r="K274" s="42" t="s">
        <v>91</v>
      </c>
      <c r="L274" s="42" t="s">
        <v>3096</v>
      </c>
      <c r="M274" s="42" t="s">
        <v>533</v>
      </c>
      <c r="N274" s="52"/>
    </row>
    <row r="275" spans="1:14" ht="20.100000000000001" customHeight="1" x14ac:dyDescent="0.25">
      <c r="A275" s="39"/>
      <c r="B275" s="67" t="s">
        <v>3097</v>
      </c>
      <c r="C275" s="42" t="s">
        <v>3210</v>
      </c>
      <c r="D275" s="52"/>
      <c r="E275" s="19"/>
      <c r="F275" s="19"/>
      <c r="G275" s="19"/>
      <c r="H275" s="42"/>
      <c r="I275" s="42">
        <v>1</v>
      </c>
      <c r="J275" s="42" t="s">
        <v>3100</v>
      </c>
      <c r="K275" s="42" t="s">
        <v>91</v>
      </c>
      <c r="L275" s="42" t="s">
        <v>3096</v>
      </c>
      <c r="M275" s="42" t="s">
        <v>533</v>
      </c>
      <c r="N275" s="52"/>
    </row>
    <row r="276" spans="1:14" ht="20.100000000000001" customHeight="1" x14ac:dyDescent="0.25">
      <c r="A276" s="39"/>
      <c r="B276" s="67" t="s">
        <v>3097</v>
      </c>
      <c r="C276" s="42" t="s">
        <v>3211</v>
      </c>
      <c r="D276" s="52"/>
      <c r="E276" s="19"/>
      <c r="F276" s="19"/>
      <c r="G276" s="19"/>
      <c r="H276" s="42"/>
      <c r="I276" s="42">
        <v>1</v>
      </c>
      <c r="J276" s="42" t="s">
        <v>3100</v>
      </c>
      <c r="K276" s="42" t="s">
        <v>91</v>
      </c>
      <c r="L276" s="42" t="s">
        <v>3096</v>
      </c>
      <c r="M276" s="42" t="s">
        <v>533</v>
      </c>
      <c r="N276" s="52"/>
    </row>
    <row r="277" spans="1:14" ht="20.100000000000001" customHeight="1" x14ac:dyDescent="0.25">
      <c r="A277" s="39"/>
      <c r="B277" s="67" t="s">
        <v>3097</v>
      </c>
      <c r="C277" s="42" t="s">
        <v>3212</v>
      </c>
      <c r="D277" s="52"/>
      <c r="E277" s="19"/>
      <c r="F277" s="19"/>
      <c r="G277" s="19"/>
      <c r="H277" s="42"/>
      <c r="I277" s="42">
        <v>1</v>
      </c>
      <c r="J277" s="42" t="s">
        <v>3100</v>
      </c>
      <c r="K277" s="42" t="s">
        <v>91</v>
      </c>
      <c r="L277" s="42" t="s">
        <v>3096</v>
      </c>
      <c r="M277" s="42" t="s">
        <v>533</v>
      </c>
      <c r="N277" s="52"/>
    </row>
    <row r="278" spans="1:14" ht="20.100000000000001" customHeight="1" x14ac:dyDescent="0.25">
      <c r="A278" s="39"/>
      <c r="B278" s="67" t="s">
        <v>3097</v>
      </c>
      <c r="C278" s="42" t="s">
        <v>3213</v>
      </c>
      <c r="D278" s="52"/>
      <c r="E278" s="19"/>
      <c r="F278" s="19"/>
      <c r="G278" s="19"/>
      <c r="H278" s="42"/>
      <c r="I278" s="42">
        <v>1</v>
      </c>
      <c r="J278" s="42" t="s">
        <v>3100</v>
      </c>
      <c r="K278" s="42" t="s">
        <v>91</v>
      </c>
      <c r="L278" s="42" t="s">
        <v>3096</v>
      </c>
      <c r="M278" s="42" t="s">
        <v>533</v>
      </c>
      <c r="N278" s="52"/>
    </row>
    <row r="279" spans="1:14" ht="20.100000000000001" customHeight="1" x14ac:dyDescent="0.25">
      <c r="A279" s="39"/>
      <c r="B279" s="67" t="s">
        <v>3095</v>
      </c>
      <c r="C279" s="42" t="s">
        <v>3214</v>
      </c>
      <c r="D279" s="52"/>
      <c r="E279" s="19"/>
      <c r="F279" s="19"/>
      <c r="G279" s="19"/>
      <c r="H279" s="42"/>
      <c r="I279" s="42">
        <v>1</v>
      </c>
      <c r="J279" s="42" t="s">
        <v>3099</v>
      </c>
      <c r="K279" s="42" t="s">
        <v>92</v>
      </c>
      <c r="L279" s="42" t="s">
        <v>3094</v>
      </c>
      <c r="M279" s="42" t="s">
        <v>533</v>
      </c>
      <c r="N279" s="52"/>
    </row>
    <row r="280" spans="1:14" ht="20.100000000000001" customHeight="1" x14ac:dyDescent="0.25">
      <c r="A280" s="39"/>
      <c r="B280" s="67" t="s">
        <v>3095</v>
      </c>
      <c r="C280" s="42" t="s">
        <v>3215</v>
      </c>
      <c r="D280" s="52"/>
      <c r="E280" s="19"/>
      <c r="F280" s="19"/>
      <c r="G280" s="19"/>
      <c r="H280" s="42"/>
      <c r="I280" s="42">
        <v>1</v>
      </c>
      <c r="J280" s="42" t="s">
        <v>3099</v>
      </c>
      <c r="K280" s="42" t="s">
        <v>92</v>
      </c>
      <c r="L280" s="42" t="s">
        <v>3094</v>
      </c>
      <c r="M280" s="42" t="s">
        <v>533</v>
      </c>
      <c r="N280" s="52"/>
    </row>
    <row r="281" spans="1:14" ht="20.100000000000001" customHeight="1" x14ac:dyDescent="0.25">
      <c r="A281" s="39"/>
      <c r="B281" s="67" t="s">
        <v>3095</v>
      </c>
      <c r="C281" s="42" t="s">
        <v>3216</v>
      </c>
      <c r="D281" s="52"/>
      <c r="E281" s="19"/>
      <c r="F281" s="19"/>
      <c r="G281" s="19"/>
      <c r="H281" s="42"/>
      <c r="I281" s="42">
        <v>1</v>
      </c>
      <c r="J281" s="42" t="s">
        <v>3099</v>
      </c>
      <c r="K281" s="42" t="s">
        <v>92</v>
      </c>
      <c r="L281" s="42" t="s">
        <v>3094</v>
      </c>
      <c r="M281" s="42" t="s">
        <v>533</v>
      </c>
      <c r="N281" s="52"/>
    </row>
    <row r="282" spans="1:14" ht="20.100000000000001" customHeight="1" x14ac:dyDescent="0.25">
      <c r="A282" s="39"/>
      <c r="B282" s="67" t="s">
        <v>3095</v>
      </c>
      <c r="C282" s="42" t="s">
        <v>3217</v>
      </c>
      <c r="D282" s="52"/>
      <c r="E282" s="19"/>
      <c r="F282" s="19"/>
      <c r="G282" s="19"/>
      <c r="H282" s="42"/>
      <c r="I282" s="42">
        <v>1</v>
      </c>
      <c r="J282" s="42" t="s">
        <v>3099</v>
      </c>
      <c r="K282" s="42" t="s">
        <v>92</v>
      </c>
      <c r="L282" s="42" t="s">
        <v>3094</v>
      </c>
      <c r="M282" s="42" t="s">
        <v>533</v>
      </c>
      <c r="N282" s="52"/>
    </row>
    <row r="283" spans="1:14" ht="20.100000000000001" customHeight="1" x14ac:dyDescent="0.25">
      <c r="A283" s="39"/>
      <c r="B283" s="67" t="s">
        <v>3097</v>
      </c>
      <c r="C283" s="42" t="s">
        <v>3218</v>
      </c>
      <c r="D283" s="52"/>
      <c r="E283" s="19"/>
      <c r="F283" s="19"/>
      <c r="G283" s="19"/>
      <c r="H283" s="42"/>
      <c r="I283" s="42">
        <v>1</v>
      </c>
      <c r="J283" s="42" t="s">
        <v>3100</v>
      </c>
      <c r="K283" s="42" t="s">
        <v>92</v>
      </c>
      <c r="L283" s="42" t="s">
        <v>3096</v>
      </c>
      <c r="M283" s="42" t="s">
        <v>533</v>
      </c>
      <c r="N283" s="52"/>
    </row>
    <row r="284" spans="1:14" ht="20.100000000000001" customHeight="1" x14ac:dyDescent="0.25">
      <c r="A284" s="39"/>
      <c r="B284" s="67" t="s">
        <v>3097</v>
      </c>
      <c r="C284" s="42" t="s">
        <v>3219</v>
      </c>
      <c r="D284" s="52"/>
      <c r="E284" s="19"/>
      <c r="F284" s="19"/>
      <c r="G284" s="19"/>
      <c r="H284" s="42"/>
      <c r="I284" s="42">
        <v>1</v>
      </c>
      <c r="J284" s="42" t="s">
        <v>3100</v>
      </c>
      <c r="K284" s="42" t="s">
        <v>92</v>
      </c>
      <c r="L284" s="42" t="s">
        <v>3096</v>
      </c>
      <c r="M284" s="42" t="s">
        <v>533</v>
      </c>
      <c r="N284" s="52"/>
    </row>
    <row r="285" spans="1:14" ht="20.100000000000001" customHeight="1" x14ac:dyDescent="0.25">
      <c r="A285" s="39"/>
      <c r="B285" s="67" t="s">
        <v>3097</v>
      </c>
      <c r="C285" s="42" t="s">
        <v>3220</v>
      </c>
      <c r="D285" s="52"/>
      <c r="E285" s="19"/>
      <c r="F285" s="19"/>
      <c r="G285" s="19"/>
      <c r="H285" s="42"/>
      <c r="I285" s="42">
        <v>1</v>
      </c>
      <c r="J285" s="42" t="s">
        <v>3100</v>
      </c>
      <c r="K285" s="42" t="s">
        <v>92</v>
      </c>
      <c r="L285" s="42" t="s">
        <v>3096</v>
      </c>
      <c r="M285" s="42" t="s">
        <v>533</v>
      </c>
      <c r="N285" s="52"/>
    </row>
    <row r="286" spans="1:14" ht="20.100000000000001" customHeight="1" x14ac:dyDescent="0.25">
      <c r="A286" s="39"/>
      <c r="B286" s="67" t="s">
        <v>3097</v>
      </c>
      <c r="C286" s="42" t="s">
        <v>3221</v>
      </c>
      <c r="D286" s="52"/>
      <c r="E286" s="19"/>
      <c r="F286" s="19"/>
      <c r="G286" s="19"/>
      <c r="H286" s="42"/>
      <c r="I286" s="42">
        <v>1</v>
      </c>
      <c r="J286" s="42" t="s">
        <v>3100</v>
      </c>
      <c r="K286" s="42" t="s">
        <v>92</v>
      </c>
      <c r="L286" s="42" t="s">
        <v>3096</v>
      </c>
      <c r="M286" s="42" t="s">
        <v>533</v>
      </c>
      <c r="N286" s="52"/>
    </row>
    <row r="287" spans="1:14" ht="20.100000000000001" customHeight="1" x14ac:dyDescent="0.25">
      <c r="A287" s="39"/>
      <c r="B287" s="67"/>
      <c r="C287" s="42" t="s">
        <v>3222</v>
      </c>
      <c r="D287" s="52"/>
      <c r="E287" s="19"/>
      <c r="F287" s="19"/>
      <c r="G287" s="19"/>
      <c r="H287" s="42"/>
      <c r="I287" s="42">
        <v>1</v>
      </c>
      <c r="J287" s="42" t="s">
        <v>2312</v>
      </c>
      <c r="K287" s="42" t="s">
        <v>92</v>
      </c>
      <c r="L287" s="42"/>
      <c r="M287" s="42" t="s">
        <v>533</v>
      </c>
      <c r="N287" s="52"/>
    </row>
    <row r="288" spans="1:14" ht="20.100000000000001" customHeight="1" x14ac:dyDescent="0.25">
      <c r="A288" s="39"/>
      <c r="B288" s="67" t="s">
        <v>3095</v>
      </c>
      <c r="C288" s="42" t="s">
        <v>3223</v>
      </c>
      <c r="D288" s="52"/>
      <c r="E288" s="19"/>
      <c r="F288" s="19"/>
      <c r="G288" s="19"/>
      <c r="H288" s="42"/>
      <c r="I288" s="42">
        <v>1</v>
      </c>
      <c r="J288" s="42" t="s">
        <v>3099</v>
      </c>
      <c r="K288" s="42" t="s">
        <v>93</v>
      </c>
      <c r="L288" s="42" t="s">
        <v>3094</v>
      </c>
      <c r="M288" s="42" t="s">
        <v>533</v>
      </c>
      <c r="N288" s="52"/>
    </row>
    <row r="289" spans="1:14" ht="20.100000000000001" customHeight="1" x14ac:dyDescent="0.25">
      <c r="A289" s="39"/>
      <c r="B289" s="67" t="s">
        <v>3095</v>
      </c>
      <c r="C289" s="42" t="s">
        <v>3224</v>
      </c>
      <c r="D289" s="52"/>
      <c r="E289" s="19"/>
      <c r="F289" s="19"/>
      <c r="G289" s="19"/>
      <c r="H289" s="42"/>
      <c r="I289" s="42">
        <v>1</v>
      </c>
      <c r="J289" s="42" t="s">
        <v>3099</v>
      </c>
      <c r="K289" s="42" t="s">
        <v>93</v>
      </c>
      <c r="L289" s="42" t="s">
        <v>3094</v>
      </c>
      <c r="M289" s="42" t="s">
        <v>533</v>
      </c>
      <c r="N289" s="52"/>
    </row>
    <row r="290" spans="1:14" ht="20.100000000000001" customHeight="1" x14ac:dyDescent="0.25">
      <c r="A290" s="39"/>
      <c r="B290" s="67" t="s">
        <v>3095</v>
      </c>
      <c r="C290" s="42" t="s">
        <v>3225</v>
      </c>
      <c r="D290" s="52"/>
      <c r="E290" s="19"/>
      <c r="F290" s="19"/>
      <c r="G290" s="19"/>
      <c r="H290" s="42"/>
      <c r="I290" s="42">
        <v>1</v>
      </c>
      <c r="J290" s="42" t="s">
        <v>3099</v>
      </c>
      <c r="K290" s="42" t="s">
        <v>93</v>
      </c>
      <c r="L290" s="42" t="s">
        <v>3094</v>
      </c>
      <c r="M290" s="42" t="s">
        <v>533</v>
      </c>
      <c r="N290" s="52"/>
    </row>
    <row r="291" spans="1:14" ht="20.100000000000001" customHeight="1" x14ac:dyDescent="0.25">
      <c r="A291" s="39"/>
      <c r="B291" s="67" t="s">
        <v>3095</v>
      </c>
      <c r="C291" s="42" t="s">
        <v>3226</v>
      </c>
      <c r="D291" s="52"/>
      <c r="E291" s="19"/>
      <c r="F291" s="19"/>
      <c r="G291" s="19"/>
      <c r="H291" s="42"/>
      <c r="I291" s="42">
        <v>1</v>
      </c>
      <c r="J291" s="42" t="s">
        <v>3099</v>
      </c>
      <c r="K291" s="42" t="s">
        <v>93</v>
      </c>
      <c r="L291" s="42" t="s">
        <v>3094</v>
      </c>
      <c r="M291" s="42" t="s">
        <v>533</v>
      </c>
      <c r="N291" s="52"/>
    </row>
    <row r="292" spans="1:14" ht="20.100000000000001" customHeight="1" x14ac:dyDescent="0.25">
      <c r="A292" s="39"/>
      <c r="B292" s="67" t="s">
        <v>3095</v>
      </c>
      <c r="C292" s="42" t="s">
        <v>3227</v>
      </c>
      <c r="D292" s="52"/>
      <c r="E292" s="19"/>
      <c r="F292" s="19"/>
      <c r="G292" s="19"/>
      <c r="H292" s="42"/>
      <c r="I292" s="42">
        <v>1</v>
      </c>
      <c r="J292" s="42" t="s">
        <v>3099</v>
      </c>
      <c r="K292" s="42" t="s">
        <v>93</v>
      </c>
      <c r="L292" s="42" t="s">
        <v>3094</v>
      </c>
      <c r="M292" s="42" t="s">
        <v>533</v>
      </c>
      <c r="N292" s="52"/>
    </row>
    <row r="293" spans="1:14" ht="20.100000000000001" customHeight="1" x14ac:dyDescent="0.25">
      <c r="A293" s="39"/>
      <c r="B293" s="67" t="s">
        <v>3095</v>
      </c>
      <c r="C293" s="42" t="s">
        <v>3228</v>
      </c>
      <c r="D293" s="52"/>
      <c r="E293" s="19"/>
      <c r="F293" s="19"/>
      <c r="G293" s="19"/>
      <c r="H293" s="42"/>
      <c r="I293" s="42">
        <v>1</v>
      </c>
      <c r="J293" s="42" t="s">
        <v>3099</v>
      </c>
      <c r="K293" s="42" t="s">
        <v>93</v>
      </c>
      <c r="L293" s="42" t="s">
        <v>3094</v>
      </c>
      <c r="M293" s="42" t="s">
        <v>533</v>
      </c>
      <c r="N293" s="52"/>
    </row>
    <row r="294" spans="1:14" ht="20.100000000000001" customHeight="1" x14ac:dyDescent="0.25">
      <c r="A294" s="39"/>
      <c r="B294" s="67" t="s">
        <v>3097</v>
      </c>
      <c r="C294" s="42" t="s">
        <v>3229</v>
      </c>
      <c r="D294" s="52"/>
      <c r="E294" s="19"/>
      <c r="F294" s="19"/>
      <c r="G294" s="19"/>
      <c r="H294" s="42"/>
      <c r="I294" s="42">
        <v>1</v>
      </c>
      <c r="J294" s="42" t="s">
        <v>3100</v>
      </c>
      <c r="K294" s="42" t="s">
        <v>93</v>
      </c>
      <c r="L294" s="42" t="s">
        <v>3096</v>
      </c>
      <c r="M294" s="42" t="s">
        <v>533</v>
      </c>
      <c r="N294" s="52"/>
    </row>
    <row r="295" spans="1:14" ht="20.100000000000001" customHeight="1" x14ac:dyDescent="0.25">
      <c r="A295" s="39"/>
      <c r="B295" s="67" t="s">
        <v>3097</v>
      </c>
      <c r="C295" s="42" t="s">
        <v>3230</v>
      </c>
      <c r="D295" s="52"/>
      <c r="E295" s="19"/>
      <c r="F295" s="19"/>
      <c r="G295" s="19"/>
      <c r="H295" s="42"/>
      <c r="I295" s="42">
        <v>1</v>
      </c>
      <c r="J295" s="42" t="s">
        <v>3100</v>
      </c>
      <c r="K295" s="42" t="s">
        <v>93</v>
      </c>
      <c r="L295" s="42" t="s">
        <v>3096</v>
      </c>
      <c r="M295" s="42" t="s">
        <v>533</v>
      </c>
      <c r="N295" s="52"/>
    </row>
    <row r="296" spans="1:14" ht="20.100000000000001" customHeight="1" x14ac:dyDescent="0.25">
      <c r="A296" s="39"/>
      <c r="B296" s="67" t="s">
        <v>3097</v>
      </c>
      <c r="C296" s="42" t="s">
        <v>3231</v>
      </c>
      <c r="D296" s="52"/>
      <c r="E296" s="19"/>
      <c r="F296" s="19"/>
      <c r="G296" s="19"/>
      <c r="H296" s="42"/>
      <c r="I296" s="42">
        <v>1</v>
      </c>
      <c r="J296" s="42" t="s">
        <v>3100</v>
      </c>
      <c r="K296" s="42" t="s">
        <v>93</v>
      </c>
      <c r="L296" s="42" t="s">
        <v>3096</v>
      </c>
      <c r="M296" s="42" t="s">
        <v>533</v>
      </c>
      <c r="N296" s="52"/>
    </row>
    <row r="297" spans="1:14" ht="20.100000000000001" customHeight="1" x14ac:dyDescent="0.25">
      <c r="A297" s="39"/>
      <c r="B297" s="67" t="s">
        <v>3097</v>
      </c>
      <c r="C297" s="42" t="s">
        <v>3232</v>
      </c>
      <c r="D297" s="52"/>
      <c r="E297" s="19"/>
      <c r="F297" s="19"/>
      <c r="G297" s="19"/>
      <c r="H297" s="42"/>
      <c r="I297" s="42">
        <v>1</v>
      </c>
      <c r="J297" s="42" t="s">
        <v>3100</v>
      </c>
      <c r="K297" s="42" t="s">
        <v>93</v>
      </c>
      <c r="L297" s="42" t="s">
        <v>3096</v>
      </c>
      <c r="M297" s="42" t="s">
        <v>533</v>
      </c>
      <c r="N297" s="52"/>
    </row>
    <row r="298" spans="1:14" ht="20.100000000000001" customHeight="1" x14ac:dyDescent="0.25">
      <c r="A298" s="39"/>
      <c r="B298" s="67" t="s">
        <v>3097</v>
      </c>
      <c r="C298" s="42" t="s">
        <v>3233</v>
      </c>
      <c r="D298" s="52"/>
      <c r="E298" s="19"/>
      <c r="F298" s="19"/>
      <c r="G298" s="19"/>
      <c r="H298" s="42"/>
      <c r="I298" s="42">
        <v>1</v>
      </c>
      <c r="J298" s="42" t="s">
        <v>3100</v>
      </c>
      <c r="K298" s="42" t="s">
        <v>93</v>
      </c>
      <c r="L298" s="42" t="s">
        <v>3096</v>
      </c>
      <c r="M298" s="42" t="s">
        <v>533</v>
      </c>
      <c r="N298" s="52"/>
    </row>
    <row r="299" spans="1:14" ht="20.100000000000001" customHeight="1" x14ac:dyDescent="0.25">
      <c r="A299" s="39"/>
      <c r="B299" s="67" t="s">
        <v>3097</v>
      </c>
      <c r="C299" s="42" t="s">
        <v>3234</v>
      </c>
      <c r="D299" s="52"/>
      <c r="E299" s="19"/>
      <c r="F299" s="19"/>
      <c r="G299" s="19"/>
      <c r="H299" s="42"/>
      <c r="I299" s="42">
        <v>1</v>
      </c>
      <c r="J299" s="42" t="s">
        <v>3100</v>
      </c>
      <c r="K299" s="42" t="s">
        <v>93</v>
      </c>
      <c r="L299" s="42" t="s">
        <v>3096</v>
      </c>
      <c r="M299" s="42" t="s">
        <v>533</v>
      </c>
      <c r="N299" s="52"/>
    </row>
    <row r="300" spans="1:14" ht="20.100000000000001" customHeight="1" x14ac:dyDescent="0.25">
      <c r="A300" s="39"/>
      <c r="B300" s="67"/>
      <c r="C300" s="42" t="s">
        <v>3235</v>
      </c>
      <c r="D300" s="52"/>
      <c r="E300" s="19"/>
      <c r="F300" s="19"/>
      <c r="G300" s="19"/>
      <c r="H300" s="42"/>
      <c r="I300" s="42">
        <v>1</v>
      </c>
      <c r="J300" s="42" t="s">
        <v>2312</v>
      </c>
      <c r="K300" s="42" t="s">
        <v>93</v>
      </c>
      <c r="L300" s="42"/>
      <c r="M300" s="42" t="s">
        <v>533</v>
      </c>
      <c r="N300" s="52"/>
    </row>
    <row r="301" spans="1:14" ht="20.100000000000001" customHeight="1" x14ac:dyDescent="0.25">
      <c r="A301" s="39"/>
      <c r="B301" s="67" t="s">
        <v>3095</v>
      </c>
      <c r="C301" s="42" t="s">
        <v>3236</v>
      </c>
      <c r="D301" s="52"/>
      <c r="E301" s="19"/>
      <c r="F301" s="19"/>
      <c r="G301" s="19"/>
      <c r="H301" s="42"/>
      <c r="I301" s="42">
        <v>1</v>
      </c>
      <c r="J301" s="42" t="s">
        <v>3099</v>
      </c>
      <c r="K301" s="42" t="s">
        <v>94</v>
      </c>
      <c r="L301" s="42" t="s">
        <v>3094</v>
      </c>
      <c r="M301" s="42" t="s">
        <v>533</v>
      </c>
      <c r="N301" s="52"/>
    </row>
    <row r="302" spans="1:14" ht="20.100000000000001" customHeight="1" x14ac:dyDescent="0.25">
      <c r="A302" s="39"/>
      <c r="B302" s="67" t="s">
        <v>3095</v>
      </c>
      <c r="C302" s="42" t="s">
        <v>3237</v>
      </c>
      <c r="D302" s="52"/>
      <c r="E302" s="19"/>
      <c r="F302" s="19"/>
      <c r="G302" s="19"/>
      <c r="H302" s="42"/>
      <c r="I302" s="42">
        <v>1</v>
      </c>
      <c r="J302" s="42" t="s">
        <v>3099</v>
      </c>
      <c r="K302" s="42" t="s">
        <v>94</v>
      </c>
      <c r="L302" s="42" t="s">
        <v>3094</v>
      </c>
      <c r="M302" s="42" t="s">
        <v>533</v>
      </c>
      <c r="N302" s="52"/>
    </row>
    <row r="303" spans="1:14" ht="20.100000000000001" customHeight="1" x14ac:dyDescent="0.25">
      <c r="A303" s="39"/>
      <c r="B303" s="67" t="s">
        <v>3095</v>
      </c>
      <c r="C303" s="42" t="s">
        <v>3238</v>
      </c>
      <c r="D303" s="52"/>
      <c r="E303" s="19"/>
      <c r="F303" s="19"/>
      <c r="G303" s="19"/>
      <c r="H303" s="42"/>
      <c r="I303" s="42">
        <v>1</v>
      </c>
      <c r="J303" s="42" t="s">
        <v>3099</v>
      </c>
      <c r="K303" s="42" t="s">
        <v>94</v>
      </c>
      <c r="L303" s="42" t="s">
        <v>3094</v>
      </c>
      <c r="M303" s="42" t="s">
        <v>533</v>
      </c>
      <c r="N303" s="52"/>
    </row>
    <row r="304" spans="1:14" ht="20.100000000000001" customHeight="1" x14ac:dyDescent="0.25">
      <c r="A304" s="39"/>
      <c r="B304" s="67" t="s">
        <v>3095</v>
      </c>
      <c r="C304" s="42" t="s">
        <v>3239</v>
      </c>
      <c r="D304" s="52"/>
      <c r="E304" s="19"/>
      <c r="F304" s="19"/>
      <c r="G304" s="19"/>
      <c r="H304" s="42"/>
      <c r="I304" s="42">
        <v>1</v>
      </c>
      <c r="J304" s="42" t="s">
        <v>3099</v>
      </c>
      <c r="K304" s="42" t="s">
        <v>94</v>
      </c>
      <c r="L304" s="42" t="s">
        <v>3094</v>
      </c>
      <c r="M304" s="42" t="s">
        <v>533</v>
      </c>
      <c r="N304" s="52"/>
    </row>
    <row r="305" spans="1:14" ht="20.100000000000001" customHeight="1" x14ac:dyDescent="0.25">
      <c r="A305" s="39"/>
      <c r="B305" s="67" t="s">
        <v>3097</v>
      </c>
      <c r="C305" s="42" t="s">
        <v>3240</v>
      </c>
      <c r="D305" s="52"/>
      <c r="E305" s="19"/>
      <c r="F305" s="19"/>
      <c r="G305" s="19"/>
      <c r="H305" s="42"/>
      <c r="I305" s="42">
        <v>1</v>
      </c>
      <c r="J305" s="42" t="s">
        <v>3100</v>
      </c>
      <c r="K305" s="42" t="s">
        <v>94</v>
      </c>
      <c r="L305" s="42" t="s">
        <v>3096</v>
      </c>
      <c r="M305" s="42" t="s">
        <v>533</v>
      </c>
      <c r="N305" s="52"/>
    </row>
    <row r="306" spans="1:14" ht="20.100000000000001" customHeight="1" x14ac:dyDescent="0.25">
      <c r="A306" s="39"/>
      <c r="B306" s="67" t="s">
        <v>3097</v>
      </c>
      <c r="C306" s="42" t="s">
        <v>3241</v>
      </c>
      <c r="D306" s="52"/>
      <c r="E306" s="19"/>
      <c r="F306" s="19"/>
      <c r="G306" s="19"/>
      <c r="H306" s="42"/>
      <c r="I306" s="42">
        <v>1</v>
      </c>
      <c r="J306" s="42" t="s">
        <v>3100</v>
      </c>
      <c r="K306" s="42" t="s">
        <v>94</v>
      </c>
      <c r="L306" s="42" t="s">
        <v>3096</v>
      </c>
      <c r="M306" s="42" t="s">
        <v>533</v>
      </c>
      <c r="N306" s="52"/>
    </row>
    <row r="307" spans="1:14" ht="20.100000000000001" customHeight="1" x14ac:dyDescent="0.25">
      <c r="A307" s="39"/>
      <c r="B307" s="67" t="s">
        <v>3097</v>
      </c>
      <c r="C307" s="42" t="s">
        <v>3242</v>
      </c>
      <c r="D307" s="52"/>
      <c r="E307" s="19"/>
      <c r="F307" s="19"/>
      <c r="G307" s="19"/>
      <c r="H307" s="42"/>
      <c r="I307" s="42">
        <v>1</v>
      </c>
      <c r="J307" s="42" t="s">
        <v>3100</v>
      </c>
      <c r="K307" s="42" t="s">
        <v>94</v>
      </c>
      <c r="L307" s="42" t="s">
        <v>3096</v>
      </c>
      <c r="M307" s="42" t="s">
        <v>533</v>
      </c>
      <c r="N307" s="52"/>
    </row>
    <row r="308" spans="1:14" ht="20.100000000000001" customHeight="1" x14ac:dyDescent="0.25">
      <c r="A308" s="39"/>
      <c r="B308" s="67" t="s">
        <v>3097</v>
      </c>
      <c r="C308" s="42" t="s">
        <v>3243</v>
      </c>
      <c r="D308" s="52"/>
      <c r="E308" s="19"/>
      <c r="F308" s="19"/>
      <c r="G308" s="19"/>
      <c r="H308" s="42"/>
      <c r="I308" s="42">
        <v>1</v>
      </c>
      <c r="J308" s="42" t="s">
        <v>3100</v>
      </c>
      <c r="K308" s="42" t="s">
        <v>94</v>
      </c>
      <c r="L308" s="42" t="s">
        <v>3096</v>
      </c>
      <c r="M308" s="42" t="s">
        <v>533</v>
      </c>
      <c r="N308" s="52"/>
    </row>
    <row r="309" spans="1:14" ht="20.100000000000001" customHeight="1" x14ac:dyDescent="0.25">
      <c r="A309" s="39"/>
      <c r="B309" s="67"/>
      <c r="C309" s="42" t="s">
        <v>3244</v>
      </c>
      <c r="D309" s="52"/>
      <c r="E309" s="19"/>
      <c r="F309" s="19"/>
      <c r="G309" s="19"/>
      <c r="H309" s="42"/>
      <c r="I309" s="42">
        <v>1</v>
      </c>
      <c r="J309" s="42" t="s">
        <v>2311</v>
      </c>
      <c r="K309" s="42" t="s">
        <v>94</v>
      </c>
      <c r="L309" s="42" t="s">
        <v>3103</v>
      </c>
      <c r="M309" s="42" t="s">
        <v>533</v>
      </c>
      <c r="N309" s="52"/>
    </row>
    <row r="310" spans="1:14" ht="20.100000000000001" customHeight="1" x14ac:dyDescent="0.25">
      <c r="A310" s="39"/>
      <c r="B310" s="67"/>
      <c r="C310" s="42" t="s">
        <v>3245</v>
      </c>
      <c r="D310" s="52"/>
      <c r="E310" s="19"/>
      <c r="F310" s="19"/>
      <c r="G310" s="19"/>
      <c r="H310" s="42"/>
      <c r="I310" s="42">
        <v>1</v>
      </c>
      <c r="J310" s="42" t="s">
        <v>2311</v>
      </c>
      <c r="K310" s="42" t="s">
        <v>94</v>
      </c>
      <c r="L310" s="42" t="s">
        <v>3103</v>
      </c>
      <c r="M310" s="42" t="s">
        <v>533</v>
      </c>
      <c r="N310" s="52"/>
    </row>
    <row r="311" spans="1:14" ht="20.100000000000001" customHeight="1" x14ac:dyDescent="0.25">
      <c r="A311" s="39"/>
      <c r="B311" s="67"/>
      <c r="C311" s="42" t="s">
        <v>3246</v>
      </c>
      <c r="D311" s="52"/>
      <c r="E311" s="19"/>
      <c r="F311" s="19"/>
      <c r="G311" s="19"/>
      <c r="H311" s="42"/>
      <c r="I311" s="42">
        <v>1</v>
      </c>
      <c r="J311" s="42" t="s">
        <v>2312</v>
      </c>
      <c r="K311" s="42" t="s">
        <v>94</v>
      </c>
      <c r="L311" s="42"/>
      <c r="M311" s="42" t="s">
        <v>533</v>
      </c>
      <c r="N311" s="52"/>
    </row>
    <row r="312" spans="1:14" ht="20.100000000000001" customHeight="1" x14ac:dyDescent="0.25">
      <c r="A312" s="39"/>
      <c r="B312" s="67" t="s">
        <v>3168</v>
      </c>
      <c r="C312" s="42" t="s">
        <v>3119</v>
      </c>
      <c r="D312" s="52"/>
      <c r="E312" s="19"/>
      <c r="F312" s="19"/>
      <c r="G312" s="19"/>
      <c r="H312" s="42"/>
      <c r="I312" s="42">
        <v>0</v>
      </c>
      <c r="J312" s="42" t="s">
        <v>3099</v>
      </c>
      <c r="K312" s="42" t="s">
        <v>3084</v>
      </c>
      <c r="L312" s="42" t="s">
        <v>2837</v>
      </c>
      <c r="M312" s="42" t="s">
        <v>304</v>
      </c>
      <c r="N312" s="52"/>
    </row>
    <row r="313" spans="1:14" ht="20.100000000000001" customHeight="1" x14ac:dyDescent="0.25">
      <c r="A313" s="39"/>
      <c r="B313" s="67" t="s">
        <v>3168</v>
      </c>
      <c r="C313" s="42" t="s">
        <v>3120</v>
      </c>
      <c r="D313" s="52"/>
      <c r="E313" s="19"/>
      <c r="F313" s="19"/>
      <c r="G313" s="19"/>
      <c r="H313" s="42"/>
      <c r="I313" s="42">
        <v>0</v>
      </c>
      <c r="J313" s="42" t="s">
        <v>3099</v>
      </c>
      <c r="K313" s="42" t="s">
        <v>3084</v>
      </c>
      <c r="L313" s="42" t="s">
        <v>2837</v>
      </c>
      <c r="M313" s="42" t="s">
        <v>304</v>
      </c>
      <c r="N313" s="52"/>
    </row>
    <row r="314" spans="1:14" ht="20.100000000000001" customHeight="1" x14ac:dyDescent="0.25">
      <c r="A314" s="39"/>
      <c r="B314" s="67" t="s">
        <v>3168</v>
      </c>
      <c r="C314" s="42" t="s">
        <v>3121</v>
      </c>
      <c r="D314" s="52"/>
      <c r="E314" s="19"/>
      <c r="F314" s="19"/>
      <c r="G314" s="19"/>
      <c r="H314" s="42"/>
      <c r="I314" s="42">
        <v>0</v>
      </c>
      <c r="J314" s="42" t="s">
        <v>3099</v>
      </c>
      <c r="K314" s="42" t="s">
        <v>3084</v>
      </c>
      <c r="L314" s="42" t="s">
        <v>2837</v>
      </c>
      <c r="M314" s="42" t="s">
        <v>304</v>
      </c>
      <c r="N314" s="52"/>
    </row>
    <row r="315" spans="1:14" ht="20.100000000000001" customHeight="1" x14ac:dyDescent="0.25">
      <c r="A315" s="39"/>
      <c r="B315" s="67" t="s">
        <v>3168</v>
      </c>
      <c r="C315" s="42" t="s">
        <v>3122</v>
      </c>
      <c r="D315" s="52"/>
      <c r="E315" s="19"/>
      <c r="F315" s="19"/>
      <c r="G315" s="19"/>
      <c r="H315" s="42"/>
      <c r="I315" s="42">
        <v>0</v>
      </c>
      <c r="J315" s="42" t="s">
        <v>3099</v>
      </c>
      <c r="K315" s="42" t="s">
        <v>3084</v>
      </c>
      <c r="L315" s="42" t="s">
        <v>2837</v>
      </c>
      <c r="M315" s="42" t="s">
        <v>304</v>
      </c>
      <c r="N315" s="52"/>
    </row>
    <row r="316" spans="1:14" ht="20.100000000000001" customHeight="1" x14ac:dyDescent="0.25">
      <c r="A316" s="39"/>
      <c r="B316" s="67" t="s">
        <v>3248</v>
      </c>
      <c r="C316" s="42" t="s">
        <v>3123</v>
      </c>
      <c r="D316" s="52"/>
      <c r="E316" s="19"/>
      <c r="F316" s="19"/>
      <c r="G316" s="19"/>
      <c r="H316" s="42"/>
      <c r="I316" s="42">
        <v>0</v>
      </c>
      <c r="J316" s="42" t="s">
        <v>3100</v>
      </c>
      <c r="K316" s="42" t="s">
        <v>3084</v>
      </c>
      <c r="L316" s="42" t="s">
        <v>3247</v>
      </c>
      <c r="M316" s="42" t="s">
        <v>304</v>
      </c>
      <c r="N316" s="52"/>
    </row>
    <row r="317" spans="1:14" ht="20.100000000000001" customHeight="1" x14ac:dyDescent="0.25">
      <c r="A317" s="39"/>
      <c r="B317" s="67" t="s">
        <v>3248</v>
      </c>
      <c r="C317" s="42" t="s">
        <v>3124</v>
      </c>
      <c r="D317" s="52"/>
      <c r="E317" s="19"/>
      <c r="F317" s="19"/>
      <c r="G317" s="19"/>
      <c r="H317" s="42"/>
      <c r="I317" s="42">
        <v>0</v>
      </c>
      <c r="J317" s="42" t="s">
        <v>3100</v>
      </c>
      <c r="K317" s="42" t="s">
        <v>3084</v>
      </c>
      <c r="L317" s="42" t="s">
        <v>3247</v>
      </c>
      <c r="M317" s="42" t="s">
        <v>304</v>
      </c>
      <c r="N317" s="52"/>
    </row>
    <row r="318" spans="1:14" ht="20.100000000000001" customHeight="1" x14ac:dyDescent="0.25">
      <c r="A318" s="39"/>
      <c r="B318" s="67" t="s">
        <v>3248</v>
      </c>
      <c r="C318" s="42" t="s">
        <v>3125</v>
      </c>
      <c r="D318" s="52"/>
      <c r="E318" s="19"/>
      <c r="F318" s="19"/>
      <c r="G318" s="19"/>
      <c r="H318" s="42"/>
      <c r="I318" s="42">
        <v>0</v>
      </c>
      <c r="J318" s="42" t="s">
        <v>3100</v>
      </c>
      <c r="K318" s="42" t="s">
        <v>3084</v>
      </c>
      <c r="L318" s="42" t="s">
        <v>3247</v>
      </c>
      <c r="M318" s="42" t="s">
        <v>304</v>
      </c>
      <c r="N318" s="52"/>
    </row>
    <row r="319" spans="1:14" ht="20.100000000000001" customHeight="1" x14ac:dyDescent="0.25">
      <c r="A319" s="39"/>
      <c r="B319" s="67" t="s">
        <v>3248</v>
      </c>
      <c r="C319" s="42" t="s">
        <v>3126</v>
      </c>
      <c r="D319" s="52"/>
      <c r="E319" s="19"/>
      <c r="F319" s="19"/>
      <c r="G319" s="19"/>
      <c r="H319" s="42"/>
      <c r="I319" s="42">
        <v>0</v>
      </c>
      <c r="J319" s="42" t="s">
        <v>3100</v>
      </c>
      <c r="K319" s="42" t="s">
        <v>3084</v>
      </c>
      <c r="L319" s="42" t="s">
        <v>3247</v>
      </c>
      <c r="M319" s="42" t="s">
        <v>304</v>
      </c>
      <c r="N319" s="52"/>
    </row>
    <row r="320" spans="1:14" ht="20.100000000000001" customHeight="1" x14ac:dyDescent="0.25">
      <c r="A320" s="39"/>
      <c r="B320" s="67"/>
      <c r="C320" s="42" t="s">
        <v>3250</v>
      </c>
      <c r="D320" s="52"/>
      <c r="E320" s="19"/>
      <c r="F320" s="19"/>
      <c r="G320" s="19"/>
      <c r="H320" s="42"/>
      <c r="I320" s="42">
        <v>0</v>
      </c>
      <c r="J320" s="42" t="s">
        <v>3101</v>
      </c>
      <c r="K320" s="42" t="s">
        <v>3084</v>
      </c>
      <c r="L320" s="42" t="s">
        <v>3249</v>
      </c>
      <c r="M320" s="42" t="s">
        <v>304</v>
      </c>
      <c r="N320" s="52"/>
    </row>
    <row r="321" spans="1:14" ht="20.100000000000001" customHeight="1" x14ac:dyDescent="0.25">
      <c r="A321" s="39"/>
      <c r="B321" s="67"/>
      <c r="C321" s="42" t="s">
        <v>3251</v>
      </c>
      <c r="D321" s="52"/>
      <c r="E321" s="19"/>
      <c r="F321" s="19"/>
      <c r="G321" s="19"/>
      <c r="H321" s="42"/>
      <c r="I321" s="42">
        <v>0</v>
      </c>
      <c r="J321" s="42" t="s">
        <v>3101</v>
      </c>
      <c r="K321" s="42" t="s">
        <v>3084</v>
      </c>
      <c r="L321" s="42" t="s">
        <v>3249</v>
      </c>
      <c r="M321" s="42" t="s">
        <v>304</v>
      </c>
      <c r="N321" s="52"/>
    </row>
    <row r="322" spans="1:14" ht="20.100000000000001" customHeight="1" x14ac:dyDescent="0.25">
      <c r="A322" s="39"/>
      <c r="B322" s="67"/>
      <c r="C322" s="42" t="s">
        <v>3252</v>
      </c>
      <c r="D322" s="52"/>
      <c r="E322" s="19"/>
      <c r="F322" s="19"/>
      <c r="G322" s="19"/>
      <c r="H322" s="42"/>
      <c r="I322" s="42">
        <v>0</v>
      </c>
      <c r="J322" s="42" t="s">
        <v>3101</v>
      </c>
      <c r="K322" s="42" t="s">
        <v>3084</v>
      </c>
      <c r="L322" s="42" t="s">
        <v>3249</v>
      </c>
      <c r="M322" s="42" t="s">
        <v>304</v>
      </c>
      <c r="N322" s="52"/>
    </row>
    <row r="323" spans="1:14" ht="20.100000000000001" customHeight="1" x14ac:dyDescent="0.25">
      <c r="A323" s="39"/>
      <c r="B323" s="67"/>
      <c r="C323" s="42" t="s">
        <v>3253</v>
      </c>
      <c r="D323" s="52"/>
      <c r="E323" s="19"/>
      <c r="F323" s="19"/>
      <c r="G323" s="19"/>
      <c r="H323" s="42"/>
      <c r="I323" s="42">
        <v>0</v>
      </c>
      <c r="J323" s="42" t="s">
        <v>3101</v>
      </c>
      <c r="K323" s="42" t="s">
        <v>3084</v>
      </c>
      <c r="L323" s="42" t="s">
        <v>3249</v>
      </c>
      <c r="M323" s="42" t="s">
        <v>304</v>
      </c>
      <c r="N323" s="52"/>
    </row>
    <row r="324" spans="1:14" ht="20.100000000000001" customHeight="1" x14ac:dyDescent="0.25">
      <c r="A324" s="39"/>
      <c r="B324" s="67"/>
      <c r="C324" s="42" t="s">
        <v>3255</v>
      </c>
      <c r="D324" s="52"/>
      <c r="E324" s="19"/>
      <c r="F324" s="19"/>
      <c r="G324" s="19"/>
      <c r="H324" s="42"/>
      <c r="I324" s="42">
        <v>0</v>
      </c>
      <c r="J324" s="42" t="s">
        <v>3102</v>
      </c>
      <c r="K324" s="42" t="s">
        <v>3084</v>
      </c>
      <c r="L324" s="42" t="s">
        <v>3254</v>
      </c>
      <c r="M324" s="42" t="s">
        <v>304</v>
      </c>
      <c r="N324" s="52"/>
    </row>
    <row r="325" spans="1:14" ht="20.100000000000001" customHeight="1" x14ac:dyDescent="0.25">
      <c r="A325" s="39"/>
      <c r="B325" s="67"/>
      <c r="C325" s="42" t="s">
        <v>3256</v>
      </c>
      <c r="D325" s="52"/>
      <c r="E325" s="19"/>
      <c r="F325" s="19"/>
      <c r="G325" s="19"/>
      <c r="H325" s="42"/>
      <c r="I325" s="42">
        <v>0</v>
      </c>
      <c r="J325" s="42" t="s">
        <v>3102</v>
      </c>
      <c r="K325" s="42" t="s">
        <v>3084</v>
      </c>
      <c r="L325" s="42" t="s">
        <v>3254</v>
      </c>
      <c r="M325" s="42" t="s">
        <v>304</v>
      </c>
      <c r="N325" s="52"/>
    </row>
    <row r="326" spans="1:14" ht="20.100000000000001" customHeight="1" x14ac:dyDescent="0.25">
      <c r="A326" s="39"/>
      <c r="B326" s="67"/>
      <c r="C326" s="42" t="s">
        <v>3257</v>
      </c>
      <c r="D326" s="52"/>
      <c r="E326" s="19"/>
      <c r="F326" s="19"/>
      <c r="G326" s="19"/>
      <c r="H326" s="42"/>
      <c r="I326" s="42">
        <v>0</v>
      </c>
      <c r="J326" s="42" t="s">
        <v>3102</v>
      </c>
      <c r="K326" s="42" t="s">
        <v>3084</v>
      </c>
      <c r="L326" s="42" t="s">
        <v>3254</v>
      </c>
      <c r="M326" s="42" t="s">
        <v>304</v>
      </c>
      <c r="N326" s="52"/>
    </row>
    <row r="327" spans="1:14" ht="20.100000000000001" customHeight="1" x14ac:dyDescent="0.25">
      <c r="A327" s="39"/>
      <c r="B327" s="67"/>
      <c r="C327" s="42" t="s">
        <v>3258</v>
      </c>
      <c r="D327" s="52"/>
      <c r="E327" s="19"/>
      <c r="F327" s="19"/>
      <c r="G327" s="19"/>
      <c r="H327" s="42"/>
      <c r="I327" s="42">
        <v>0</v>
      </c>
      <c r="J327" s="42" t="s">
        <v>3102</v>
      </c>
      <c r="K327" s="42" t="s">
        <v>3084</v>
      </c>
      <c r="L327" s="42" t="s">
        <v>3254</v>
      </c>
      <c r="M327" s="42" t="s">
        <v>304</v>
      </c>
      <c r="N327" s="52"/>
    </row>
    <row r="328" spans="1:14" ht="20.100000000000001" customHeight="1" x14ac:dyDescent="0.25">
      <c r="A328" s="39"/>
      <c r="B328" s="67" t="s">
        <v>3168</v>
      </c>
      <c r="C328" s="42" t="s">
        <v>3127</v>
      </c>
      <c r="D328" s="52"/>
      <c r="E328" s="19"/>
      <c r="F328" s="19"/>
      <c r="G328" s="19"/>
      <c r="H328" s="42"/>
      <c r="I328" s="42">
        <v>0</v>
      </c>
      <c r="J328" s="42" t="s">
        <v>3099</v>
      </c>
      <c r="K328" s="42" t="s">
        <v>3086</v>
      </c>
      <c r="L328" s="42" t="s">
        <v>2837</v>
      </c>
      <c r="M328" s="42" t="s">
        <v>304</v>
      </c>
      <c r="N328" s="52"/>
    </row>
    <row r="329" spans="1:14" ht="20.100000000000001" customHeight="1" x14ac:dyDescent="0.25">
      <c r="A329" s="39"/>
      <c r="B329" s="67" t="s">
        <v>3168</v>
      </c>
      <c r="C329" s="42" t="s">
        <v>3128</v>
      </c>
      <c r="D329" s="52"/>
      <c r="E329" s="19"/>
      <c r="F329" s="19"/>
      <c r="G329" s="19"/>
      <c r="H329" s="42"/>
      <c r="I329" s="42">
        <v>0</v>
      </c>
      <c r="J329" s="42" t="s">
        <v>3099</v>
      </c>
      <c r="K329" s="42" t="s">
        <v>3086</v>
      </c>
      <c r="L329" s="42" t="s">
        <v>2837</v>
      </c>
      <c r="M329" s="42" t="s">
        <v>304</v>
      </c>
      <c r="N329" s="52"/>
    </row>
    <row r="330" spans="1:14" ht="20.100000000000001" customHeight="1" x14ac:dyDescent="0.25">
      <c r="A330" s="39"/>
      <c r="B330" s="67" t="s">
        <v>3168</v>
      </c>
      <c r="C330" s="42" t="s">
        <v>3129</v>
      </c>
      <c r="D330" s="52"/>
      <c r="E330" s="19"/>
      <c r="F330" s="19"/>
      <c r="G330" s="19"/>
      <c r="H330" s="42"/>
      <c r="I330" s="42">
        <v>0</v>
      </c>
      <c r="J330" s="42" t="s">
        <v>3099</v>
      </c>
      <c r="K330" s="42" t="s">
        <v>3086</v>
      </c>
      <c r="L330" s="42" t="s">
        <v>2837</v>
      </c>
      <c r="M330" s="42" t="s">
        <v>304</v>
      </c>
      <c r="N330" s="52"/>
    </row>
    <row r="331" spans="1:14" ht="20.100000000000001" customHeight="1" x14ac:dyDescent="0.25">
      <c r="A331" s="39"/>
      <c r="B331" s="67" t="s">
        <v>3168</v>
      </c>
      <c r="C331" s="42" t="s">
        <v>3130</v>
      </c>
      <c r="D331" s="52"/>
      <c r="E331" s="19"/>
      <c r="F331" s="19"/>
      <c r="G331" s="19"/>
      <c r="H331" s="42"/>
      <c r="I331" s="42">
        <v>0</v>
      </c>
      <c r="J331" s="42" t="s">
        <v>3099</v>
      </c>
      <c r="K331" s="42" t="s">
        <v>3086</v>
      </c>
      <c r="L331" s="42" t="s">
        <v>2837</v>
      </c>
      <c r="M331" s="42" t="s">
        <v>304</v>
      </c>
      <c r="N331" s="52"/>
    </row>
    <row r="332" spans="1:14" ht="20.100000000000001" customHeight="1" x14ac:dyDescent="0.25">
      <c r="A332" s="39"/>
      <c r="B332" s="67" t="s">
        <v>3248</v>
      </c>
      <c r="C332" s="42" t="s">
        <v>3131</v>
      </c>
      <c r="D332" s="52"/>
      <c r="E332" s="19"/>
      <c r="F332" s="19"/>
      <c r="G332" s="19"/>
      <c r="H332" s="42"/>
      <c r="I332" s="42">
        <v>0</v>
      </c>
      <c r="J332" s="42" t="s">
        <v>3100</v>
      </c>
      <c r="K332" s="42" t="s">
        <v>3086</v>
      </c>
      <c r="L332" s="42" t="s">
        <v>3247</v>
      </c>
      <c r="M332" s="42" t="s">
        <v>304</v>
      </c>
      <c r="N332" s="52"/>
    </row>
    <row r="333" spans="1:14" ht="20.100000000000001" customHeight="1" x14ac:dyDescent="0.25">
      <c r="A333" s="39"/>
      <c r="B333" s="67" t="s">
        <v>3248</v>
      </c>
      <c r="C333" s="42" t="s">
        <v>3132</v>
      </c>
      <c r="D333" s="52"/>
      <c r="E333" s="19"/>
      <c r="F333" s="19"/>
      <c r="G333" s="19"/>
      <c r="H333" s="42"/>
      <c r="I333" s="42">
        <v>0</v>
      </c>
      <c r="J333" s="42" t="s">
        <v>3100</v>
      </c>
      <c r="K333" s="42" t="s">
        <v>3086</v>
      </c>
      <c r="L333" s="42" t="s">
        <v>3247</v>
      </c>
      <c r="M333" s="42" t="s">
        <v>304</v>
      </c>
      <c r="N333" s="52"/>
    </row>
    <row r="334" spans="1:14" ht="20.100000000000001" customHeight="1" x14ac:dyDescent="0.25">
      <c r="A334" s="39"/>
      <c r="B334" s="67" t="s">
        <v>3248</v>
      </c>
      <c r="C334" s="42" t="s">
        <v>3133</v>
      </c>
      <c r="D334" s="52"/>
      <c r="E334" s="19"/>
      <c r="F334" s="19"/>
      <c r="G334" s="19"/>
      <c r="H334" s="42"/>
      <c r="I334" s="42">
        <v>0</v>
      </c>
      <c r="J334" s="42" t="s">
        <v>3100</v>
      </c>
      <c r="K334" s="42" t="s">
        <v>3086</v>
      </c>
      <c r="L334" s="42" t="s">
        <v>3247</v>
      </c>
      <c r="M334" s="42" t="s">
        <v>304</v>
      </c>
      <c r="N334" s="52"/>
    </row>
    <row r="335" spans="1:14" ht="20.100000000000001" customHeight="1" x14ac:dyDescent="0.25">
      <c r="A335" s="39"/>
      <c r="B335" s="67" t="s">
        <v>3248</v>
      </c>
      <c r="C335" s="42" t="s">
        <v>3134</v>
      </c>
      <c r="D335" s="52"/>
      <c r="E335" s="19"/>
      <c r="F335" s="19"/>
      <c r="G335" s="19"/>
      <c r="H335" s="42"/>
      <c r="I335" s="42">
        <v>0</v>
      </c>
      <c r="J335" s="42" t="s">
        <v>3100</v>
      </c>
      <c r="K335" s="42" t="s">
        <v>3086</v>
      </c>
      <c r="L335" s="42" t="s">
        <v>3247</v>
      </c>
      <c r="M335" s="42" t="s">
        <v>304</v>
      </c>
      <c r="N335" s="52"/>
    </row>
    <row r="336" spans="1:14" ht="20.100000000000001" customHeight="1" x14ac:dyDescent="0.25">
      <c r="A336" s="39"/>
      <c r="B336" s="67">
        <v>1500</v>
      </c>
      <c r="C336" s="42" t="s">
        <v>3259</v>
      </c>
      <c r="D336" s="52"/>
      <c r="E336" s="19"/>
      <c r="F336" s="19"/>
      <c r="G336" s="19"/>
      <c r="H336" s="42"/>
      <c r="I336" s="42">
        <v>0</v>
      </c>
      <c r="J336" s="42" t="s">
        <v>2311</v>
      </c>
      <c r="K336" s="42" t="s">
        <v>3086</v>
      </c>
      <c r="L336" s="42" t="s">
        <v>3032</v>
      </c>
      <c r="M336" s="42" t="s">
        <v>304</v>
      </c>
      <c r="N336" s="52"/>
    </row>
    <row r="337" spans="1:14" ht="20.100000000000001" customHeight="1" x14ac:dyDescent="0.25">
      <c r="A337" s="39"/>
      <c r="B337" s="67">
        <v>1500</v>
      </c>
      <c r="C337" s="42" t="s">
        <v>3260</v>
      </c>
      <c r="D337" s="52"/>
      <c r="E337" s="19"/>
      <c r="F337" s="19"/>
      <c r="G337" s="19"/>
      <c r="H337" s="42"/>
      <c r="I337" s="42">
        <v>0</v>
      </c>
      <c r="J337" s="42" t="s">
        <v>2311</v>
      </c>
      <c r="K337" s="42" t="s">
        <v>3086</v>
      </c>
      <c r="L337" s="42" t="s">
        <v>3032</v>
      </c>
      <c r="M337" s="42" t="s">
        <v>304</v>
      </c>
      <c r="N337" s="52"/>
    </row>
    <row r="338" spans="1:14" ht="20.100000000000001" customHeight="1" x14ac:dyDescent="0.25">
      <c r="A338" s="39"/>
      <c r="B338" s="67" t="s">
        <v>3168</v>
      </c>
      <c r="C338" s="42" t="s">
        <v>3135</v>
      </c>
      <c r="D338" s="52"/>
      <c r="E338" s="19"/>
      <c r="F338" s="19"/>
      <c r="G338" s="19"/>
      <c r="H338" s="42"/>
      <c r="I338" s="42">
        <v>0</v>
      </c>
      <c r="J338" s="42" t="s">
        <v>3099</v>
      </c>
      <c r="K338" s="42" t="s">
        <v>3088</v>
      </c>
      <c r="L338" s="42" t="s">
        <v>2837</v>
      </c>
      <c r="M338" s="42" t="s">
        <v>304</v>
      </c>
      <c r="N338" s="52"/>
    </row>
    <row r="339" spans="1:14" ht="20.100000000000001" customHeight="1" x14ac:dyDescent="0.25">
      <c r="A339" s="39"/>
      <c r="B339" s="67" t="s">
        <v>3168</v>
      </c>
      <c r="C339" s="42" t="s">
        <v>3136</v>
      </c>
      <c r="D339" s="52"/>
      <c r="E339" s="19"/>
      <c r="F339" s="19"/>
      <c r="G339" s="19"/>
      <c r="H339" s="42"/>
      <c r="I339" s="42">
        <v>0</v>
      </c>
      <c r="J339" s="42" t="s">
        <v>3099</v>
      </c>
      <c r="K339" s="42" t="s">
        <v>3088</v>
      </c>
      <c r="L339" s="42" t="s">
        <v>2837</v>
      </c>
      <c r="M339" s="42" t="s">
        <v>304</v>
      </c>
      <c r="N339" s="52"/>
    </row>
    <row r="340" spans="1:14" ht="20.100000000000001" customHeight="1" x14ac:dyDescent="0.25">
      <c r="A340" s="39"/>
      <c r="B340" s="67" t="s">
        <v>3168</v>
      </c>
      <c r="C340" s="42" t="s">
        <v>3137</v>
      </c>
      <c r="D340" s="52"/>
      <c r="E340" s="19"/>
      <c r="F340" s="19"/>
      <c r="G340" s="19"/>
      <c r="H340" s="42"/>
      <c r="I340" s="42">
        <v>0</v>
      </c>
      <c r="J340" s="42" t="s">
        <v>3099</v>
      </c>
      <c r="K340" s="42" t="s">
        <v>3088</v>
      </c>
      <c r="L340" s="42" t="s">
        <v>2837</v>
      </c>
      <c r="M340" s="42" t="s">
        <v>304</v>
      </c>
      <c r="N340" s="52"/>
    </row>
    <row r="341" spans="1:14" ht="20.100000000000001" customHeight="1" x14ac:dyDescent="0.25">
      <c r="A341" s="39"/>
      <c r="B341" s="67" t="s">
        <v>3168</v>
      </c>
      <c r="C341" s="42" t="s">
        <v>3138</v>
      </c>
      <c r="D341" s="52"/>
      <c r="E341" s="19"/>
      <c r="F341" s="19"/>
      <c r="G341" s="19"/>
      <c r="H341" s="42"/>
      <c r="I341" s="42">
        <v>0</v>
      </c>
      <c r="J341" s="42" t="s">
        <v>3099</v>
      </c>
      <c r="K341" s="42" t="s">
        <v>3088</v>
      </c>
      <c r="L341" s="42" t="s">
        <v>2837</v>
      </c>
      <c r="M341" s="42" t="s">
        <v>304</v>
      </c>
      <c r="N341" s="52"/>
    </row>
    <row r="342" spans="1:14" ht="20.100000000000001" customHeight="1" x14ac:dyDescent="0.25">
      <c r="A342" s="39"/>
      <c r="B342" s="67" t="s">
        <v>3248</v>
      </c>
      <c r="C342" s="42" t="s">
        <v>3139</v>
      </c>
      <c r="D342" s="52"/>
      <c r="E342" s="19"/>
      <c r="F342" s="19"/>
      <c r="G342" s="19"/>
      <c r="H342" s="42"/>
      <c r="I342" s="42">
        <v>0</v>
      </c>
      <c r="J342" s="42" t="s">
        <v>3100</v>
      </c>
      <c r="K342" s="42" t="s">
        <v>3088</v>
      </c>
      <c r="L342" s="42" t="s">
        <v>3247</v>
      </c>
      <c r="M342" s="42" t="s">
        <v>304</v>
      </c>
      <c r="N342" s="52"/>
    </row>
    <row r="343" spans="1:14" ht="20.100000000000001" customHeight="1" x14ac:dyDescent="0.25">
      <c r="A343" s="39"/>
      <c r="B343" s="67" t="s">
        <v>3248</v>
      </c>
      <c r="C343" s="42" t="s">
        <v>3140</v>
      </c>
      <c r="D343" s="52"/>
      <c r="E343" s="19"/>
      <c r="F343" s="19"/>
      <c r="G343" s="19"/>
      <c r="H343" s="42"/>
      <c r="I343" s="42">
        <v>0</v>
      </c>
      <c r="J343" s="42" t="s">
        <v>3100</v>
      </c>
      <c r="K343" s="42" t="s">
        <v>3088</v>
      </c>
      <c r="L343" s="42" t="s">
        <v>3247</v>
      </c>
      <c r="M343" s="42" t="s">
        <v>304</v>
      </c>
      <c r="N343" s="52"/>
    </row>
    <row r="344" spans="1:14" ht="20.100000000000001" customHeight="1" x14ac:dyDescent="0.25">
      <c r="A344" s="39"/>
      <c r="B344" s="67" t="s">
        <v>3248</v>
      </c>
      <c r="C344" s="42" t="s">
        <v>3141</v>
      </c>
      <c r="D344" s="52"/>
      <c r="E344" s="19"/>
      <c r="F344" s="19"/>
      <c r="G344" s="19"/>
      <c r="H344" s="42"/>
      <c r="I344" s="42">
        <v>0</v>
      </c>
      <c r="J344" s="42" t="s">
        <v>3100</v>
      </c>
      <c r="K344" s="42" t="s">
        <v>3088</v>
      </c>
      <c r="L344" s="42" t="s">
        <v>3247</v>
      </c>
      <c r="M344" s="42" t="s">
        <v>304</v>
      </c>
      <c r="N344" s="52"/>
    </row>
    <row r="345" spans="1:14" ht="20.100000000000001" customHeight="1" x14ac:dyDescent="0.25">
      <c r="A345" s="39"/>
      <c r="B345" s="67" t="s">
        <v>3248</v>
      </c>
      <c r="C345" s="42" t="s">
        <v>3142</v>
      </c>
      <c r="D345" s="52"/>
      <c r="E345" s="19"/>
      <c r="F345" s="19"/>
      <c r="G345" s="19"/>
      <c r="H345" s="42"/>
      <c r="I345" s="42">
        <v>0</v>
      </c>
      <c r="J345" s="42" t="s">
        <v>3100</v>
      </c>
      <c r="K345" s="42" t="s">
        <v>3088</v>
      </c>
      <c r="L345" s="42" t="s">
        <v>3247</v>
      </c>
      <c r="M345" s="42" t="s">
        <v>304</v>
      </c>
      <c r="N345" s="52"/>
    </row>
    <row r="346" spans="1:14" ht="20.100000000000001" customHeight="1" x14ac:dyDescent="0.25">
      <c r="A346" s="39"/>
      <c r="B346" s="67">
        <v>1500</v>
      </c>
      <c r="C346" s="42" t="s">
        <v>3261</v>
      </c>
      <c r="D346" s="52"/>
      <c r="E346" s="19"/>
      <c r="F346" s="19"/>
      <c r="G346" s="19"/>
      <c r="H346" s="42"/>
      <c r="I346" s="42">
        <v>0</v>
      </c>
      <c r="J346" s="42" t="s">
        <v>2311</v>
      </c>
      <c r="K346" s="42" t="s">
        <v>3088</v>
      </c>
      <c r="L346" s="42" t="s">
        <v>3032</v>
      </c>
      <c r="M346" s="42" t="s">
        <v>304</v>
      </c>
      <c r="N346" s="52"/>
    </row>
    <row r="347" spans="1:14" ht="20.100000000000001" customHeight="1" x14ac:dyDescent="0.25">
      <c r="A347" s="39"/>
      <c r="B347" s="67">
        <v>1500</v>
      </c>
      <c r="C347" s="42" t="s">
        <v>3261</v>
      </c>
      <c r="D347" s="52"/>
      <c r="E347" s="19"/>
      <c r="F347" s="19"/>
      <c r="G347" s="19"/>
      <c r="H347" s="42"/>
      <c r="I347" s="42">
        <v>0</v>
      </c>
      <c r="J347" s="42" t="s">
        <v>2311</v>
      </c>
      <c r="K347" s="42" t="s">
        <v>3088</v>
      </c>
      <c r="L347" s="42" t="s">
        <v>3032</v>
      </c>
      <c r="M347" s="42" t="s">
        <v>304</v>
      </c>
      <c r="N347" s="52"/>
    </row>
    <row r="348" spans="1:14" ht="20.100000000000001" customHeight="1" x14ac:dyDescent="0.25">
      <c r="A348" s="39"/>
      <c r="B348" s="67">
        <v>1500</v>
      </c>
      <c r="C348" s="42" t="s">
        <v>3261</v>
      </c>
      <c r="D348" s="52"/>
      <c r="E348" s="19"/>
      <c r="F348" s="19"/>
      <c r="G348" s="19"/>
      <c r="H348" s="42"/>
      <c r="I348" s="42">
        <v>0</v>
      </c>
      <c r="J348" s="42" t="s">
        <v>2311</v>
      </c>
      <c r="K348" s="42" t="s">
        <v>3088</v>
      </c>
      <c r="L348" s="42" t="s">
        <v>3032</v>
      </c>
      <c r="M348" s="42" t="s">
        <v>304</v>
      </c>
      <c r="N348" s="52"/>
    </row>
    <row r="349" spans="1:14" ht="20.100000000000001" customHeight="1" x14ac:dyDescent="0.25">
      <c r="A349" s="39"/>
      <c r="B349" s="67" t="s">
        <v>3168</v>
      </c>
      <c r="C349" s="42" t="s">
        <v>3143</v>
      </c>
      <c r="D349" s="52"/>
      <c r="E349" s="19"/>
      <c r="F349" s="19"/>
      <c r="G349" s="19"/>
      <c r="H349" s="42"/>
      <c r="I349" s="42">
        <v>0</v>
      </c>
      <c r="J349" s="42" t="s">
        <v>3099</v>
      </c>
      <c r="K349" s="42" t="s">
        <v>3089</v>
      </c>
      <c r="L349" s="42" t="s">
        <v>2837</v>
      </c>
      <c r="M349" s="42" t="s">
        <v>304</v>
      </c>
      <c r="N349" s="52"/>
    </row>
    <row r="350" spans="1:14" ht="20.100000000000001" customHeight="1" x14ac:dyDescent="0.25">
      <c r="A350" s="39"/>
      <c r="B350" s="67" t="s">
        <v>3168</v>
      </c>
      <c r="C350" s="42" t="s">
        <v>3144</v>
      </c>
      <c r="D350" s="52"/>
      <c r="E350" s="19"/>
      <c r="F350" s="19"/>
      <c r="G350" s="19"/>
      <c r="H350" s="42"/>
      <c r="I350" s="42">
        <v>0</v>
      </c>
      <c r="J350" s="42" t="s">
        <v>3099</v>
      </c>
      <c r="K350" s="42" t="s">
        <v>3089</v>
      </c>
      <c r="L350" s="42" t="s">
        <v>2837</v>
      </c>
      <c r="M350" s="42" t="s">
        <v>304</v>
      </c>
      <c r="N350" s="52"/>
    </row>
    <row r="351" spans="1:14" ht="20.100000000000001" customHeight="1" x14ac:dyDescent="0.25">
      <c r="A351" s="39"/>
      <c r="B351" s="67" t="s">
        <v>3168</v>
      </c>
      <c r="C351" s="42" t="s">
        <v>3145</v>
      </c>
      <c r="D351" s="52"/>
      <c r="E351" s="19"/>
      <c r="F351" s="19"/>
      <c r="G351" s="19"/>
      <c r="H351" s="42"/>
      <c r="I351" s="42">
        <v>0</v>
      </c>
      <c r="J351" s="42" t="s">
        <v>3099</v>
      </c>
      <c r="K351" s="42" t="s">
        <v>3089</v>
      </c>
      <c r="L351" s="42" t="s">
        <v>2837</v>
      </c>
      <c r="M351" s="42" t="s">
        <v>304</v>
      </c>
      <c r="N351" s="52"/>
    </row>
    <row r="352" spans="1:14" ht="20.100000000000001" customHeight="1" x14ac:dyDescent="0.25">
      <c r="A352" s="39"/>
      <c r="B352" s="67" t="s">
        <v>3168</v>
      </c>
      <c r="C352" s="42" t="s">
        <v>3146</v>
      </c>
      <c r="D352" s="52"/>
      <c r="E352" s="19"/>
      <c r="F352" s="19"/>
      <c r="G352" s="19"/>
      <c r="H352" s="42"/>
      <c r="I352" s="42">
        <v>0</v>
      </c>
      <c r="J352" s="42" t="s">
        <v>3099</v>
      </c>
      <c r="K352" s="42" t="s">
        <v>3089</v>
      </c>
      <c r="L352" s="42" t="s">
        <v>2837</v>
      </c>
      <c r="M352" s="42" t="s">
        <v>304</v>
      </c>
      <c r="N352" s="52"/>
    </row>
    <row r="353" spans="1:14" ht="20.100000000000001" customHeight="1" x14ac:dyDescent="0.25">
      <c r="A353" s="39"/>
      <c r="B353" s="67" t="s">
        <v>3248</v>
      </c>
      <c r="C353" s="42" t="s">
        <v>3147</v>
      </c>
      <c r="D353" s="52"/>
      <c r="E353" s="19"/>
      <c r="F353" s="19"/>
      <c r="G353" s="19"/>
      <c r="H353" s="42"/>
      <c r="I353" s="42">
        <v>0</v>
      </c>
      <c r="J353" s="42" t="s">
        <v>3100</v>
      </c>
      <c r="K353" s="42" t="s">
        <v>3089</v>
      </c>
      <c r="L353" s="42" t="s">
        <v>3247</v>
      </c>
      <c r="M353" s="42" t="s">
        <v>304</v>
      </c>
      <c r="N353" s="52"/>
    </row>
    <row r="354" spans="1:14" ht="20.100000000000001" customHeight="1" x14ac:dyDescent="0.25">
      <c r="A354" s="39"/>
      <c r="B354" s="67" t="s">
        <v>3248</v>
      </c>
      <c r="C354" s="42" t="s">
        <v>3148</v>
      </c>
      <c r="D354" s="52"/>
      <c r="E354" s="19"/>
      <c r="F354" s="19"/>
      <c r="G354" s="19"/>
      <c r="H354" s="42"/>
      <c r="I354" s="42">
        <v>0</v>
      </c>
      <c r="J354" s="42" t="s">
        <v>3100</v>
      </c>
      <c r="K354" s="42" t="s">
        <v>3089</v>
      </c>
      <c r="L354" s="42" t="s">
        <v>3247</v>
      </c>
      <c r="M354" s="42" t="s">
        <v>304</v>
      </c>
      <c r="N354" s="52"/>
    </row>
    <row r="355" spans="1:14" ht="20.100000000000001" customHeight="1" x14ac:dyDescent="0.25">
      <c r="A355" s="39"/>
      <c r="B355" s="67" t="s">
        <v>3248</v>
      </c>
      <c r="C355" s="42" t="s">
        <v>3149</v>
      </c>
      <c r="D355" s="52"/>
      <c r="E355" s="19"/>
      <c r="F355" s="19"/>
      <c r="G355" s="19"/>
      <c r="H355" s="42"/>
      <c r="I355" s="42">
        <v>0</v>
      </c>
      <c r="J355" s="42" t="s">
        <v>3100</v>
      </c>
      <c r="K355" s="42" t="s">
        <v>3089</v>
      </c>
      <c r="L355" s="42" t="s">
        <v>3247</v>
      </c>
      <c r="M355" s="42" t="s">
        <v>304</v>
      </c>
      <c r="N355" s="52"/>
    </row>
    <row r="356" spans="1:14" ht="20.100000000000001" customHeight="1" x14ac:dyDescent="0.25">
      <c r="A356" s="39"/>
      <c r="B356" s="67" t="s">
        <v>3248</v>
      </c>
      <c r="C356" s="42" t="s">
        <v>3150</v>
      </c>
      <c r="D356" s="52"/>
      <c r="E356" s="19"/>
      <c r="F356" s="19"/>
      <c r="G356" s="19"/>
      <c r="H356" s="42"/>
      <c r="I356" s="42">
        <v>0</v>
      </c>
      <c r="J356" s="42" t="s">
        <v>3100</v>
      </c>
      <c r="K356" s="42" t="s">
        <v>3089</v>
      </c>
      <c r="L356" s="42" t="s">
        <v>3247</v>
      </c>
      <c r="M356" s="42" t="s">
        <v>304</v>
      </c>
      <c r="N356" s="52"/>
    </row>
    <row r="357" spans="1:14" ht="20.100000000000001" customHeight="1" x14ac:dyDescent="0.25">
      <c r="A357" s="39"/>
      <c r="B357" s="67">
        <v>1500</v>
      </c>
      <c r="C357" s="42" t="s">
        <v>3262</v>
      </c>
      <c r="D357" s="52"/>
      <c r="E357" s="19"/>
      <c r="F357" s="19"/>
      <c r="G357" s="19"/>
      <c r="H357" s="42"/>
      <c r="I357" s="42">
        <v>0</v>
      </c>
      <c r="J357" s="42" t="s">
        <v>2311</v>
      </c>
      <c r="K357" s="42" t="s">
        <v>3089</v>
      </c>
      <c r="L357" s="42" t="s">
        <v>3032</v>
      </c>
      <c r="M357" s="42" t="s">
        <v>304</v>
      </c>
      <c r="N357" s="52"/>
    </row>
    <row r="358" spans="1:14" ht="20.100000000000001" customHeight="1" x14ac:dyDescent="0.25">
      <c r="A358" s="39"/>
      <c r="B358" s="67">
        <v>1500</v>
      </c>
      <c r="C358" s="42" t="s">
        <v>3262</v>
      </c>
      <c r="D358" s="52"/>
      <c r="E358" s="19"/>
      <c r="F358" s="19"/>
      <c r="G358" s="19"/>
      <c r="H358" s="42"/>
      <c r="I358" s="42">
        <v>0</v>
      </c>
      <c r="J358" s="42" t="s">
        <v>2311</v>
      </c>
      <c r="K358" s="42" t="s">
        <v>3089</v>
      </c>
      <c r="L358" s="42" t="s">
        <v>3032</v>
      </c>
      <c r="M358" s="42" t="s">
        <v>304</v>
      </c>
      <c r="N358" s="52"/>
    </row>
    <row r="359" spans="1:14" ht="20.100000000000001" customHeight="1" x14ac:dyDescent="0.25">
      <c r="A359" s="39"/>
      <c r="B359" s="67" t="s">
        <v>3168</v>
      </c>
      <c r="C359" s="42" t="s">
        <v>3151</v>
      </c>
      <c r="D359" s="52"/>
      <c r="E359" s="19"/>
      <c r="F359" s="19"/>
      <c r="G359" s="19"/>
      <c r="H359" s="42"/>
      <c r="I359" s="42">
        <v>0</v>
      </c>
      <c r="J359" s="42" t="s">
        <v>3099</v>
      </c>
      <c r="K359" s="42" t="s">
        <v>3090</v>
      </c>
      <c r="L359" s="42" t="s">
        <v>2837</v>
      </c>
      <c r="M359" s="42" t="s">
        <v>304</v>
      </c>
      <c r="N359" s="52"/>
    </row>
    <row r="360" spans="1:14" ht="20.100000000000001" customHeight="1" x14ac:dyDescent="0.25">
      <c r="A360" s="39"/>
      <c r="B360" s="67" t="s">
        <v>3168</v>
      </c>
      <c r="C360" s="42" t="s">
        <v>3152</v>
      </c>
      <c r="D360" s="52"/>
      <c r="E360" s="19"/>
      <c r="F360" s="19"/>
      <c r="G360" s="19"/>
      <c r="H360" s="42"/>
      <c r="I360" s="42">
        <v>0</v>
      </c>
      <c r="J360" s="42" t="s">
        <v>3099</v>
      </c>
      <c r="K360" s="42" t="s">
        <v>3090</v>
      </c>
      <c r="L360" s="42" t="s">
        <v>2837</v>
      </c>
      <c r="M360" s="42" t="s">
        <v>304</v>
      </c>
      <c r="N360" s="52"/>
    </row>
    <row r="361" spans="1:14" ht="20.100000000000001" customHeight="1" x14ac:dyDescent="0.25">
      <c r="A361" s="39"/>
      <c r="B361" s="67" t="s">
        <v>3168</v>
      </c>
      <c r="C361" s="42" t="s">
        <v>3153</v>
      </c>
      <c r="D361" s="52"/>
      <c r="E361" s="19"/>
      <c r="F361" s="19"/>
      <c r="G361" s="19"/>
      <c r="H361" s="42"/>
      <c r="I361" s="42">
        <v>0</v>
      </c>
      <c r="J361" s="42" t="s">
        <v>3099</v>
      </c>
      <c r="K361" s="42" t="s">
        <v>3090</v>
      </c>
      <c r="L361" s="42" t="s">
        <v>2837</v>
      </c>
      <c r="M361" s="42" t="s">
        <v>304</v>
      </c>
      <c r="N361" s="52"/>
    </row>
    <row r="362" spans="1:14" ht="20.100000000000001" customHeight="1" x14ac:dyDescent="0.25">
      <c r="A362" s="39"/>
      <c r="B362" s="67" t="s">
        <v>3168</v>
      </c>
      <c r="C362" s="42" t="s">
        <v>3154</v>
      </c>
      <c r="D362" s="52"/>
      <c r="E362" s="19"/>
      <c r="F362" s="19"/>
      <c r="G362" s="19"/>
      <c r="H362" s="42"/>
      <c r="I362" s="42">
        <v>0</v>
      </c>
      <c r="J362" s="42" t="s">
        <v>3099</v>
      </c>
      <c r="K362" s="42" t="s">
        <v>3090</v>
      </c>
      <c r="L362" s="42" t="s">
        <v>2837</v>
      </c>
      <c r="M362" s="42" t="s">
        <v>304</v>
      </c>
      <c r="N362" s="52"/>
    </row>
    <row r="363" spans="1:14" ht="20.100000000000001" customHeight="1" x14ac:dyDescent="0.25">
      <c r="A363" s="39"/>
      <c r="B363" s="67" t="s">
        <v>3248</v>
      </c>
      <c r="C363" s="42" t="s">
        <v>3155</v>
      </c>
      <c r="D363" s="52"/>
      <c r="E363" s="19"/>
      <c r="F363" s="19"/>
      <c r="G363" s="19"/>
      <c r="H363" s="42"/>
      <c r="I363" s="42">
        <v>0</v>
      </c>
      <c r="J363" s="42" t="s">
        <v>3100</v>
      </c>
      <c r="K363" s="42" t="s">
        <v>3090</v>
      </c>
      <c r="L363" s="42" t="s">
        <v>3247</v>
      </c>
      <c r="M363" s="42" t="s">
        <v>304</v>
      </c>
      <c r="N363" s="52"/>
    </row>
    <row r="364" spans="1:14" ht="20.100000000000001" customHeight="1" x14ac:dyDescent="0.25">
      <c r="A364" s="39"/>
      <c r="B364" s="67" t="s">
        <v>3248</v>
      </c>
      <c r="C364" s="42" t="s">
        <v>3156</v>
      </c>
      <c r="D364" s="52"/>
      <c r="E364" s="19"/>
      <c r="F364" s="19"/>
      <c r="G364" s="19"/>
      <c r="H364" s="42"/>
      <c r="I364" s="42">
        <v>0</v>
      </c>
      <c r="J364" s="42" t="s">
        <v>3100</v>
      </c>
      <c r="K364" s="42" t="s">
        <v>3090</v>
      </c>
      <c r="L364" s="42" t="s">
        <v>3247</v>
      </c>
      <c r="M364" s="42" t="s">
        <v>304</v>
      </c>
      <c r="N364" s="52"/>
    </row>
    <row r="365" spans="1:14" ht="20.100000000000001" customHeight="1" x14ac:dyDescent="0.25">
      <c r="A365" s="39"/>
      <c r="B365" s="67" t="s">
        <v>3248</v>
      </c>
      <c r="C365" s="42" t="s">
        <v>3157</v>
      </c>
      <c r="D365" s="52"/>
      <c r="E365" s="19"/>
      <c r="F365" s="19"/>
      <c r="G365" s="19"/>
      <c r="H365" s="42"/>
      <c r="I365" s="42">
        <v>0</v>
      </c>
      <c r="J365" s="42" t="s">
        <v>3100</v>
      </c>
      <c r="K365" s="42" t="s">
        <v>3090</v>
      </c>
      <c r="L365" s="42" t="s">
        <v>3247</v>
      </c>
      <c r="M365" s="42" t="s">
        <v>304</v>
      </c>
      <c r="N365" s="52"/>
    </row>
    <row r="366" spans="1:14" ht="20.100000000000001" customHeight="1" x14ac:dyDescent="0.25">
      <c r="A366" s="39"/>
      <c r="B366" s="67" t="s">
        <v>3248</v>
      </c>
      <c r="C366" s="42" t="s">
        <v>3158</v>
      </c>
      <c r="D366" s="52"/>
      <c r="E366" s="19"/>
      <c r="F366" s="19"/>
      <c r="G366" s="19"/>
      <c r="H366" s="42"/>
      <c r="I366" s="42">
        <v>0</v>
      </c>
      <c r="J366" s="42" t="s">
        <v>3100</v>
      </c>
      <c r="K366" s="42" t="s">
        <v>3090</v>
      </c>
      <c r="L366" s="42" t="s">
        <v>3247</v>
      </c>
      <c r="M366" s="42" t="s">
        <v>304</v>
      </c>
      <c r="N366" s="52"/>
    </row>
    <row r="367" spans="1:14" ht="20.100000000000001" customHeight="1" x14ac:dyDescent="0.25">
      <c r="A367" s="39"/>
      <c r="B367" s="67">
        <v>1500</v>
      </c>
      <c r="C367" s="42" t="s">
        <v>3263</v>
      </c>
      <c r="D367" s="52"/>
      <c r="E367" s="19"/>
      <c r="F367" s="19"/>
      <c r="G367" s="19"/>
      <c r="H367" s="42"/>
      <c r="I367" s="42">
        <v>0</v>
      </c>
      <c r="J367" s="42" t="s">
        <v>2311</v>
      </c>
      <c r="K367" s="42" t="s">
        <v>3090</v>
      </c>
      <c r="L367" s="42" t="s">
        <v>3032</v>
      </c>
      <c r="M367" s="42" t="s">
        <v>304</v>
      </c>
      <c r="N367" s="52"/>
    </row>
    <row r="368" spans="1:14" ht="20.100000000000001" customHeight="1" x14ac:dyDescent="0.25">
      <c r="A368" s="39"/>
      <c r="B368" s="67">
        <v>1500</v>
      </c>
      <c r="C368" s="42" t="s">
        <v>3263</v>
      </c>
      <c r="D368" s="52"/>
      <c r="E368" s="19"/>
      <c r="F368" s="19"/>
      <c r="G368" s="19"/>
      <c r="H368" s="42"/>
      <c r="I368" s="42">
        <v>0</v>
      </c>
      <c r="J368" s="42" t="s">
        <v>2311</v>
      </c>
      <c r="K368" s="42" t="s">
        <v>3090</v>
      </c>
      <c r="L368" s="42" t="s">
        <v>3032</v>
      </c>
      <c r="M368" s="42" t="s">
        <v>304</v>
      </c>
      <c r="N368" s="52"/>
    </row>
    <row r="369" spans="1:14" ht="20.100000000000001" customHeight="1" x14ac:dyDescent="0.25">
      <c r="A369" s="39"/>
      <c r="B369" s="67" t="s">
        <v>3169</v>
      </c>
      <c r="C369" s="42" t="s">
        <v>3159</v>
      </c>
      <c r="D369" s="52"/>
      <c r="E369" s="19"/>
      <c r="F369" s="19"/>
      <c r="G369" s="19"/>
      <c r="H369" s="42"/>
      <c r="I369" s="42">
        <v>0</v>
      </c>
      <c r="J369" s="42" t="s">
        <v>3099</v>
      </c>
      <c r="K369" s="42" t="s">
        <v>3091</v>
      </c>
      <c r="L369" s="42" t="s">
        <v>2862</v>
      </c>
      <c r="M369" s="42" t="s">
        <v>304</v>
      </c>
      <c r="N369" s="52"/>
    </row>
    <row r="370" spans="1:14" ht="20.100000000000001" customHeight="1" x14ac:dyDescent="0.25">
      <c r="A370" s="39"/>
      <c r="B370" s="67" t="s">
        <v>3169</v>
      </c>
      <c r="C370" s="42" t="s">
        <v>3160</v>
      </c>
      <c r="D370" s="52"/>
      <c r="E370" s="19"/>
      <c r="F370" s="19"/>
      <c r="G370" s="19"/>
      <c r="H370" s="42"/>
      <c r="I370" s="42">
        <v>0</v>
      </c>
      <c r="J370" s="42" t="s">
        <v>3099</v>
      </c>
      <c r="K370" s="42" t="s">
        <v>3091</v>
      </c>
      <c r="L370" s="42" t="s">
        <v>2862</v>
      </c>
      <c r="M370" s="42" t="s">
        <v>304</v>
      </c>
      <c r="N370" s="52"/>
    </row>
    <row r="371" spans="1:14" ht="20.100000000000001" customHeight="1" x14ac:dyDescent="0.25">
      <c r="A371" s="39"/>
      <c r="B371" s="67" t="s">
        <v>3169</v>
      </c>
      <c r="C371" s="42" t="s">
        <v>3161</v>
      </c>
      <c r="D371" s="52"/>
      <c r="E371" s="19"/>
      <c r="F371" s="19"/>
      <c r="G371" s="19"/>
      <c r="H371" s="42"/>
      <c r="I371" s="42">
        <v>0</v>
      </c>
      <c r="J371" s="42" t="s">
        <v>3099</v>
      </c>
      <c r="K371" s="42" t="s">
        <v>3091</v>
      </c>
      <c r="L371" s="42" t="s">
        <v>2862</v>
      </c>
      <c r="M371" s="42" t="s">
        <v>304</v>
      </c>
      <c r="N371" s="52"/>
    </row>
    <row r="372" spans="1:14" ht="20.100000000000001" customHeight="1" x14ac:dyDescent="0.25">
      <c r="A372" s="39"/>
      <c r="B372" s="67" t="s">
        <v>3169</v>
      </c>
      <c r="C372" s="42" t="s">
        <v>3162</v>
      </c>
      <c r="D372" s="52"/>
      <c r="E372" s="19"/>
      <c r="F372" s="19"/>
      <c r="G372" s="19"/>
      <c r="H372" s="42"/>
      <c r="I372" s="42">
        <v>0</v>
      </c>
      <c r="J372" s="42" t="s">
        <v>3099</v>
      </c>
      <c r="K372" s="42" t="s">
        <v>3091</v>
      </c>
      <c r="L372" s="42" t="s">
        <v>2862</v>
      </c>
      <c r="M372" s="42" t="s">
        <v>304</v>
      </c>
      <c r="N372" s="52"/>
    </row>
    <row r="373" spans="1:14" ht="20.100000000000001" customHeight="1" x14ac:dyDescent="0.25">
      <c r="A373" s="39"/>
      <c r="B373" s="67" t="s">
        <v>3248</v>
      </c>
      <c r="C373" s="42" t="s">
        <v>3163</v>
      </c>
      <c r="D373" s="52"/>
      <c r="E373" s="19"/>
      <c r="F373" s="19"/>
      <c r="G373" s="19"/>
      <c r="H373" s="42"/>
      <c r="I373" s="42">
        <v>0</v>
      </c>
      <c r="J373" s="42" t="s">
        <v>3100</v>
      </c>
      <c r="K373" s="42" t="s">
        <v>3091</v>
      </c>
      <c r="L373" s="42" t="s">
        <v>3247</v>
      </c>
      <c r="M373" s="42" t="s">
        <v>304</v>
      </c>
      <c r="N373" s="52"/>
    </row>
    <row r="374" spans="1:14" ht="20.100000000000001" customHeight="1" x14ac:dyDescent="0.25">
      <c r="A374" s="39"/>
      <c r="B374" s="67" t="s">
        <v>3248</v>
      </c>
      <c r="C374" s="42" t="s">
        <v>3164</v>
      </c>
      <c r="D374" s="52"/>
      <c r="E374" s="19"/>
      <c r="F374" s="19"/>
      <c r="G374" s="19"/>
      <c r="H374" s="42"/>
      <c r="I374" s="42">
        <v>0</v>
      </c>
      <c r="J374" s="42" t="s">
        <v>3100</v>
      </c>
      <c r="K374" s="42" t="s">
        <v>3091</v>
      </c>
      <c r="L374" s="42" t="s">
        <v>3247</v>
      </c>
      <c r="M374" s="42" t="s">
        <v>304</v>
      </c>
      <c r="N374" s="52"/>
    </row>
    <row r="375" spans="1:14" ht="20.100000000000001" customHeight="1" x14ac:dyDescent="0.25">
      <c r="A375" s="39"/>
      <c r="B375" s="67" t="s">
        <v>3248</v>
      </c>
      <c r="C375" s="42" t="s">
        <v>3165</v>
      </c>
      <c r="D375" s="52"/>
      <c r="E375" s="19"/>
      <c r="F375" s="19"/>
      <c r="G375" s="19"/>
      <c r="H375" s="42"/>
      <c r="I375" s="42">
        <v>0</v>
      </c>
      <c r="J375" s="42" t="s">
        <v>3100</v>
      </c>
      <c r="K375" s="42" t="s">
        <v>3091</v>
      </c>
      <c r="L375" s="42" t="s">
        <v>3247</v>
      </c>
      <c r="M375" s="42" t="s">
        <v>304</v>
      </c>
      <c r="N375" s="52"/>
    </row>
    <row r="376" spans="1:14" ht="20.100000000000001" customHeight="1" x14ac:dyDescent="0.25">
      <c r="A376" s="39"/>
      <c r="B376" s="67" t="s">
        <v>3248</v>
      </c>
      <c r="C376" s="42" t="s">
        <v>3166</v>
      </c>
      <c r="D376" s="52"/>
      <c r="E376" s="19"/>
      <c r="F376" s="19"/>
      <c r="G376" s="19"/>
      <c r="H376" s="42"/>
      <c r="I376" s="42">
        <v>0</v>
      </c>
      <c r="J376" s="42" t="s">
        <v>3100</v>
      </c>
      <c r="K376" s="42" t="s">
        <v>3091</v>
      </c>
      <c r="L376" s="42" t="s">
        <v>3247</v>
      </c>
      <c r="M376" s="42" t="s">
        <v>304</v>
      </c>
      <c r="N376" s="52"/>
    </row>
    <row r="377" spans="1:14" ht="20.100000000000001" customHeight="1" x14ac:dyDescent="0.25">
      <c r="A377" s="39"/>
      <c r="B377" s="67">
        <v>1500</v>
      </c>
      <c r="C377" s="42" t="s">
        <v>3167</v>
      </c>
      <c r="D377" s="52"/>
      <c r="E377" s="19"/>
      <c r="F377" s="19"/>
      <c r="G377" s="19"/>
      <c r="H377" s="42"/>
      <c r="I377" s="42">
        <v>0</v>
      </c>
      <c r="J377" s="42" t="s">
        <v>2311</v>
      </c>
      <c r="K377" s="42" t="s">
        <v>3091</v>
      </c>
      <c r="L377" s="42" t="s">
        <v>3032</v>
      </c>
      <c r="M377" s="42" t="s">
        <v>304</v>
      </c>
      <c r="N377" s="52"/>
    </row>
    <row r="378" spans="1:14" ht="20.100000000000001" customHeight="1" x14ac:dyDescent="0.25">
      <c r="A378" s="39"/>
      <c r="B378" s="67">
        <v>1500</v>
      </c>
      <c r="C378" s="42" t="s">
        <v>3167</v>
      </c>
      <c r="D378" s="52"/>
      <c r="E378" s="19"/>
      <c r="F378" s="19"/>
      <c r="G378" s="19"/>
      <c r="H378" s="42"/>
      <c r="I378" s="42">
        <v>0</v>
      </c>
      <c r="J378" s="42" t="s">
        <v>2311</v>
      </c>
      <c r="K378" s="42" t="s">
        <v>3091</v>
      </c>
      <c r="L378" s="42" t="s">
        <v>3032</v>
      </c>
      <c r="M378" s="42" t="s">
        <v>304</v>
      </c>
      <c r="N378" s="52"/>
    </row>
    <row r="379" spans="1:14" ht="20.100000000000001" customHeight="1" x14ac:dyDescent="0.25">
      <c r="A379" s="39"/>
      <c r="B379" s="67" t="s">
        <v>3271</v>
      </c>
      <c r="C379" s="42" t="s">
        <v>3268</v>
      </c>
      <c r="D379" s="52"/>
      <c r="E379" s="19"/>
      <c r="F379" s="19"/>
      <c r="G379" s="19"/>
      <c r="H379" s="42"/>
      <c r="I379" s="42">
        <v>1</v>
      </c>
      <c r="J379" s="42" t="s">
        <v>3099</v>
      </c>
      <c r="K379" s="42" t="s">
        <v>95</v>
      </c>
      <c r="L379" s="42" t="s">
        <v>1030</v>
      </c>
      <c r="M379" s="42" t="s">
        <v>309</v>
      </c>
      <c r="N379" s="52"/>
    </row>
    <row r="380" spans="1:14" ht="20.100000000000001" customHeight="1" x14ac:dyDescent="0.25">
      <c r="A380" s="39"/>
      <c r="B380" s="67" t="s">
        <v>3271</v>
      </c>
      <c r="C380" s="42" t="s">
        <v>3269</v>
      </c>
      <c r="D380" s="52"/>
      <c r="E380" s="19"/>
      <c r="F380" s="19"/>
      <c r="G380" s="19"/>
      <c r="H380" s="42"/>
      <c r="I380" s="42">
        <v>1</v>
      </c>
      <c r="J380" s="42" t="s">
        <v>3099</v>
      </c>
      <c r="K380" s="42" t="s">
        <v>95</v>
      </c>
      <c r="L380" s="42" t="s">
        <v>1030</v>
      </c>
      <c r="M380" s="42" t="s">
        <v>309</v>
      </c>
      <c r="N380" s="52"/>
    </row>
    <row r="381" spans="1:14" ht="20.100000000000001" customHeight="1" x14ac:dyDescent="0.25">
      <c r="A381" s="39"/>
      <c r="B381" s="67" t="s">
        <v>3272</v>
      </c>
      <c r="C381" s="42" t="s">
        <v>3270</v>
      </c>
      <c r="D381" s="52"/>
      <c r="E381" s="19"/>
      <c r="F381" s="19"/>
      <c r="G381" s="19"/>
      <c r="H381" s="42"/>
      <c r="I381" s="42">
        <v>1</v>
      </c>
      <c r="J381" s="42" t="s">
        <v>3099</v>
      </c>
      <c r="K381" s="42" t="s">
        <v>95</v>
      </c>
      <c r="L381" s="42" t="s">
        <v>2375</v>
      </c>
      <c r="M381" s="42" t="s">
        <v>309</v>
      </c>
      <c r="N381" s="52"/>
    </row>
    <row r="382" spans="1:14" ht="20.100000000000001" customHeight="1" x14ac:dyDescent="0.25">
      <c r="A382" s="39"/>
      <c r="B382" s="67" t="s">
        <v>3277</v>
      </c>
      <c r="C382" s="42" t="s">
        <v>3274</v>
      </c>
      <c r="D382" s="52"/>
      <c r="E382" s="19"/>
      <c r="F382" s="19"/>
      <c r="G382" s="19"/>
      <c r="H382" s="42"/>
      <c r="I382" s="42">
        <v>1</v>
      </c>
      <c r="J382" s="42" t="s">
        <v>3100</v>
      </c>
      <c r="K382" s="42" t="s">
        <v>95</v>
      </c>
      <c r="L382" s="42" t="s">
        <v>3273</v>
      </c>
      <c r="M382" s="42" t="s">
        <v>309</v>
      </c>
      <c r="N382" s="52"/>
    </row>
    <row r="383" spans="1:14" ht="20.100000000000001" customHeight="1" x14ac:dyDescent="0.25">
      <c r="A383" s="39"/>
      <c r="B383" s="67" t="s">
        <v>3277</v>
      </c>
      <c r="C383" s="42" t="s">
        <v>3275</v>
      </c>
      <c r="D383" s="52"/>
      <c r="E383" s="19"/>
      <c r="F383" s="19"/>
      <c r="G383" s="19"/>
      <c r="H383" s="42"/>
      <c r="I383" s="42">
        <v>1</v>
      </c>
      <c r="J383" s="42" t="s">
        <v>3100</v>
      </c>
      <c r="K383" s="42" t="s">
        <v>95</v>
      </c>
      <c r="L383" s="42" t="s">
        <v>3273</v>
      </c>
      <c r="M383" s="42" t="s">
        <v>309</v>
      </c>
      <c r="N383" s="52"/>
    </row>
    <row r="384" spans="1:14" ht="20.100000000000001" customHeight="1" x14ac:dyDescent="0.25">
      <c r="A384" s="39"/>
      <c r="B384" s="67" t="s">
        <v>3277</v>
      </c>
      <c r="C384" s="42" t="s">
        <v>3276</v>
      </c>
      <c r="D384" s="52"/>
      <c r="E384" s="19"/>
      <c r="F384" s="19"/>
      <c r="G384" s="19"/>
      <c r="H384" s="42"/>
      <c r="I384" s="42">
        <v>1</v>
      </c>
      <c r="J384" s="42" t="s">
        <v>3100</v>
      </c>
      <c r="K384" s="42" t="s">
        <v>95</v>
      </c>
      <c r="L384" s="42" t="s">
        <v>2375</v>
      </c>
      <c r="M384" s="42" t="s">
        <v>309</v>
      </c>
      <c r="N384" s="52"/>
    </row>
    <row r="385" spans="1:14" ht="20.100000000000001" customHeight="1" x14ac:dyDescent="0.25">
      <c r="A385" s="39"/>
      <c r="B385" s="67" t="s">
        <v>3284</v>
      </c>
      <c r="C385" s="42" t="s">
        <v>3288</v>
      </c>
      <c r="D385" s="52"/>
      <c r="E385" s="19"/>
      <c r="F385" s="19"/>
      <c r="G385" s="19"/>
      <c r="H385" s="42"/>
      <c r="I385" s="42">
        <v>1</v>
      </c>
      <c r="J385" s="42" t="s">
        <v>3101</v>
      </c>
      <c r="K385" s="42" t="s">
        <v>95</v>
      </c>
      <c r="L385" s="42" t="s">
        <v>3278</v>
      </c>
      <c r="M385" s="42" t="s">
        <v>309</v>
      </c>
      <c r="N385" s="52"/>
    </row>
    <row r="386" spans="1:14" ht="20.100000000000001" customHeight="1" x14ac:dyDescent="0.25">
      <c r="A386" s="39"/>
      <c r="B386" s="67" t="s">
        <v>3284</v>
      </c>
      <c r="C386" s="42" t="s">
        <v>3289</v>
      </c>
      <c r="D386" s="52"/>
      <c r="E386" s="19"/>
      <c r="F386" s="19"/>
      <c r="G386" s="19"/>
      <c r="H386" s="42"/>
      <c r="I386" s="42">
        <v>1</v>
      </c>
      <c r="J386" s="42" t="s">
        <v>3101</v>
      </c>
      <c r="K386" s="42" t="s">
        <v>95</v>
      </c>
      <c r="L386" s="42" t="s">
        <v>3278</v>
      </c>
      <c r="M386" s="42" t="s">
        <v>309</v>
      </c>
      <c r="N386" s="52"/>
    </row>
    <row r="387" spans="1:14" ht="20.100000000000001" customHeight="1" x14ac:dyDescent="0.25">
      <c r="A387" s="39"/>
      <c r="B387" s="67" t="s">
        <v>3284</v>
      </c>
      <c r="C387" s="42" t="s">
        <v>3290</v>
      </c>
      <c r="D387" s="52"/>
      <c r="E387" s="19"/>
      <c r="F387" s="19"/>
      <c r="G387" s="19"/>
      <c r="H387" s="42"/>
      <c r="I387" s="42">
        <v>1</v>
      </c>
      <c r="J387" s="42" t="s">
        <v>3101</v>
      </c>
      <c r="K387" s="42" t="s">
        <v>95</v>
      </c>
      <c r="L387" s="42" t="s">
        <v>3278</v>
      </c>
      <c r="M387" s="42" t="s">
        <v>309</v>
      </c>
      <c r="N387" s="52"/>
    </row>
    <row r="388" spans="1:14" ht="20.100000000000001" customHeight="1" x14ac:dyDescent="0.25">
      <c r="A388" s="39"/>
      <c r="B388" s="67" t="s">
        <v>3285</v>
      </c>
      <c r="C388" s="42" t="s">
        <v>3291</v>
      </c>
      <c r="D388" s="52"/>
      <c r="E388" s="19"/>
      <c r="F388" s="19"/>
      <c r="G388" s="19"/>
      <c r="H388" s="42"/>
      <c r="I388" s="42">
        <v>1</v>
      </c>
      <c r="J388" s="42" t="s">
        <v>3101</v>
      </c>
      <c r="K388" s="42" t="s">
        <v>95</v>
      </c>
      <c r="L388" s="42" t="s">
        <v>1023</v>
      </c>
      <c r="M388" s="42" t="s">
        <v>309</v>
      </c>
      <c r="N388" s="52"/>
    </row>
    <row r="389" spans="1:14" ht="20.100000000000001" customHeight="1" x14ac:dyDescent="0.25">
      <c r="A389" s="39"/>
      <c r="B389" s="67" t="s">
        <v>3285</v>
      </c>
      <c r="C389" s="42" t="s">
        <v>3292</v>
      </c>
      <c r="D389" s="52"/>
      <c r="E389" s="19"/>
      <c r="F389" s="19"/>
      <c r="G389" s="19"/>
      <c r="H389" s="42"/>
      <c r="I389" s="42">
        <v>1</v>
      </c>
      <c r="J389" s="42" t="s">
        <v>3101</v>
      </c>
      <c r="K389" s="42" t="s">
        <v>95</v>
      </c>
      <c r="L389" s="42" t="s">
        <v>1023</v>
      </c>
      <c r="M389" s="42" t="s">
        <v>309</v>
      </c>
      <c r="N389" s="52"/>
    </row>
    <row r="390" spans="1:14" ht="20.100000000000001" customHeight="1" x14ac:dyDescent="0.25">
      <c r="A390" s="39"/>
      <c r="B390" s="67" t="s">
        <v>3293</v>
      </c>
      <c r="C390" s="42" t="s">
        <v>3279</v>
      </c>
      <c r="D390" s="52"/>
      <c r="E390" s="19"/>
      <c r="F390" s="19"/>
      <c r="G390" s="19"/>
      <c r="H390" s="42"/>
      <c r="I390" s="42">
        <v>1</v>
      </c>
      <c r="J390" s="42" t="s">
        <v>3102</v>
      </c>
      <c r="K390" s="42" t="s">
        <v>95</v>
      </c>
      <c r="L390" s="42" t="s">
        <v>3286</v>
      </c>
      <c r="M390" s="42" t="s">
        <v>309</v>
      </c>
      <c r="N390" s="52"/>
    </row>
    <row r="391" spans="1:14" ht="20.100000000000001" customHeight="1" x14ac:dyDescent="0.25">
      <c r="A391" s="39"/>
      <c r="B391" s="67" t="s">
        <v>3293</v>
      </c>
      <c r="C391" s="42" t="s">
        <v>3280</v>
      </c>
      <c r="D391" s="52"/>
      <c r="E391" s="19"/>
      <c r="F391" s="19"/>
      <c r="G391" s="19"/>
      <c r="H391" s="42"/>
      <c r="I391" s="42">
        <v>1</v>
      </c>
      <c r="J391" s="42" t="s">
        <v>3102</v>
      </c>
      <c r="K391" s="42" t="s">
        <v>95</v>
      </c>
      <c r="L391" s="42" t="s">
        <v>3286</v>
      </c>
      <c r="M391" s="42" t="s">
        <v>309</v>
      </c>
      <c r="N391" s="52"/>
    </row>
    <row r="392" spans="1:14" ht="20.100000000000001" customHeight="1" x14ac:dyDescent="0.25">
      <c r="A392" s="39"/>
      <c r="B392" s="67" t="s">
        <v>3293</v>
      </c>
      <c r="C392" s="42" t="s">
        <v>3281</v>
      </c>
      <c r="D392" s="52"/>
      <c r="E392" s="19"/>
      <c r="F392" s="19"/>
      <c r="G392" s="19"/>
      <c r="H392" s="42"/>
      <c r="I392" s="42">
        <v>1</v>
      </c>
      <c r="J392" s="42" t="s">
        <v>3102</v>
      </c>
      <c r="K392" s="42" t="s">
        <v>95</v>
      </c>
      <c r="L392" s="42" t="s">
        <v>3286</v>
      </c>
      <c r="M392" s="42" t="s">
        <v>309</v>
      </c>
      <c r="N392" s="52"/>
    </row>
    <row r="393" spans="1:14" ht="20.100000000000001" customHeight="1" x14ac:dyDescent="0.25">
      <c r="A393" s="39"/>
      <c r="B393" s="67" t="s">
        <v>3294</v>
      </c>
      <c r="C393" s="42" t="s">
        <v>3282</v>
      </c>
      <c r="D393" s="52"/>
      <c r="E393" s="19"/>
      <c r="F393" s="19"/>
      <c r="G393" s="19"/>
      <c r="H393" s="42"/>
      <c r="I393" s="42">
        <v>1</v>
      </c>
      <c r="J393" s="42" t="s">
        <v>3102</v>
      </c>
      <c r="K393" s="42" t="s">
        <v>95</v>
      </c>
      <c r="L393" s="42" t="s">
        <v>3287</v>
      </c>
      <c r="M393" s="42" t="s">
        <v>309</v>
      </c>
      <c r="N393" s="52"/>
    </row>
    <row r="394" spans="1:14" ht="20.100000000000001" customHeight="1" x14ac:dyDescent="0.25">
      <c r="A394" s="39"/>
      <c r="B394" s="67" t="s">
        <v>3294</v>
      </c>
      <c r="C394" s="42" t="s">
        <v>3283</v>
      </c>
      <c r="D394" s="52"/>
      <c r="E394" s="19"/>
      <c r="F394" s="19"/>
      <c r="G394" s="19"/>
      <c r="H394" s="42"/>
      <c r="I394" s="42">
        <v>1</v>
      </c>
      <c r="J394" s="42" t="s">
        <v>3102</v>
      </c>
      <c r="K394" s="42" t="s">
        <v>95</v>
      </c>
      <c r="L394" s="42" t="s">
        <v>3287</v>
      </c>
      <c r="M394" s="42" t="s">
        <v>309</v>
      </c>
      <c r="N394" s="52"/>
    </row>
    <row r="395" spans="1:14" ht="20.100000000000001" customHeight="1" x14ac:dyDescent="0.25">
      <c r="A395" s="39"/>
      <c r="B395" s="67"/>
      <c r="C395" s="42" t="s">
        <v>3296</v>
      </c>
      <c r="D395" s="52"/>
      <c r="E395" s="19"/>
      <c r="F395" s="19"/>
      <c r="G395" s="19"/>
      <c r="H395" s="42"/>
      <c r="I395" s="42">
        <v>1</v>
      </c>
      <c r="J395" s="42" t="s">
        <v>2311</v>
      </c>
      <c r="K395" s="42" t="s">
        <v>95</v>
      </c>
      <c r="L395" s="42" t="s">
        <v>3295</v>
      </c>
      <c r="M395" s="42" t="s">
        <v>309</v>
      </c>
      <c r="N395" s="52"/>
    </row>
    <row r="396" spans="1:14" ht="20.100000000000001" customHeight="1" x14ac:dyDescent="0.25">
      <c r="A396" s="39"/>
      <c r="B396" s="67"/>
      <c r="C396" s="42" t="s">
        <v>3297</v>
      </c>
      <c r="D396" s="52"/>
      <c r="E396" s="19"/>
      <c r="F396" s="19"/>
      <c r="G396" s="19"/>
      <c r="H396" s="42"/>
      <c r="I396" s="42">
        <v>1</v>
      </c>
      <c r="J396" s="42" t="s">
        <v>2311</v>
      </c>
      <c r="K396" s="42" t="s">
        <v>95</v>
      </c>
      <c r="L396" s="42" t="s">
        <v>3295</v>
      </c>
      <c r="M396" s="42" t="s">
        <v>309</v>
      </c>
      <c r="N396" s="52"/>
    </row>
    <row r="397" spans="1:14" ht="20.100000000000001" customHeight="1" x14ac:dyDescent="0.25">
      <c r="A397" s="39"/>
      <c r="B397" s="67"/>
      <c r="C397" s="42" t="s">
        <v>3298</v>
      </c>
      <c r="D397" s="52"/>
      <c r="E397" s="19"/>
      <c r="F397" s="19"/>
      <c r="G397" s="19"/>
      <c r="H397" s="42"/>
      <c r="I397" s="42">
        <v>1</v>
      </c>
      <c r="J397" s="42" t="s">
        <v>2311</v>
      </c>
      <c r="K397" s="42" t="s">
        <v>95</v>
      </c>
      <c r="L397" s="42" t="s">
        <v>3295</v>
      </c>
      <c r="M397" s="42" t="s">
        <v>309</v>
      </c>
      <c r="N397" s="52"/>
    </row>
    <row r="398" spans="1:14" ht="20.100000000000001" customHeight="1" x14ac:dyDescent="0.25">
      <c r="A398" s="39"/>
      <c r="B398" s="67"/>
      <c r="C398" s="42" t="s">
        <v>3299</v>
      </c>
      <c r="D398" s="52"/>
      <c r="E398" s="19"/>
      <c r="F398" s="19"/>
      <c r="G398" s="19"/>
      <c r="H398" s="42"/>
      <c r="I398" s="42">
        <v>1</v>
      </c>
      <c r="J398" s="42" t="s">
        <v>2312</v>
      </c>
      <c r="K398" s="42" t="s">
        <v>95</v>
      </c>
      <c r="L398" s="42"/>
      <c r="M398" s="42" t="s">
        <v>309</v>
      </c>
      <c r="N398" s="52"/>
    </row>
    <row r="399" spans="1:14" ht="20.100000000000001" customHeight="1" x14ac:dyDescent="0.25">
      <c r="A399" s="39"/>
      <c r="B399" s="67" t="s">
        <v>3350</v>
      </c>
      <c r="C399" s="42" t="s">
        <v>3352</v>
      </c>
      <c r="D399" s="52"/>
      <c r="E399" s="19"/>
      <c r="F399" s="19"/>
      <c r="G399" s="19"/>
      <c r="H399" s="42"/>
      <c r="I399" s="42">
        <v>1</v>
      </c>
      <c r="J399" s="42" t="s">
        <v>3099</v>
      </c>
      <c r="K399" s="42" t="s">
        <v>3351</v>
      </c>
      <c r="L399" s="42" t="s">
        <v>1023</v>
      </c>
      <c r="M399" s="42" t="s">
        <v>312</v>
      </c>
      <c r="N399" s="52"/>
    </row>
    <row r="400" spans="1:14" ht="20.100000000000001" customHeight="1" x14ac:dyDescent="0.25">
      <c r="A400" s="39"/>
      <c r="B400" s="67" t="s">
        <v>3350</v>
      </c>
      <c r="C400" s="42" t="s">
        <v>3353</v>
      </c>
      <c r="D400" s="52"/>
      <c r="E400" s="19"/>
      <c r="F400" s="19"/>
      <c r="G400" s="19"/>
      <c r="H400" s="42"/>
      <c r="I400" s="42">
        <v>1</v>
      </c>
      <c r="J400" s="42" t="s">
        <v>3099</v>
      </c>
      <c r="K400" s="42" t="s">
        <v>3351</v>
      </c>
      <c r="L400" s="42" t="s">
        <v>1023</v>
      </c>
      <c r="M400" s="42" t="s">
        <v>312</v>
      </c>
      <c r="N400" s="52"/>
    </row>
    <row r="401" spans="1:14" ht="20.100000000000001" customHeight="1" x14ac:dyDescent="0.25">
      <c r="A401" s="39"/>
      <c r="B401" s="67" t="s">
        <v>3350</v>
      </c>
      <c r="C401" s="42" t="s">
        <v>3354</v>
      </c>
      <c r="D401" s="52"/>
      <c r="E401" s="19"/>
      <c r="F401" s="19"/>
      <c r="G401" s="19"/>
      <c r="H401" s="42"/>
      <c r="I401" s="42">
        <v>1</v>
      </c>
      <c r="J401" s="42" t="s">
        <v>3099</v>
      </c>
      <c r="K401" s="42" t="s">
        <v>3351</v>
      </c>
      <c r="L401" s="42" t="s">
        <v>1023</v>
      </c>
      <c r="M401" s="42" t="s">
        <v>312</v>
      </c>
      <c r="N401" s="52"/>
    </row>
    <row r="402" spans="1:14" ht="20.100000000000001" customHeight="1" x14ac:dyDescent="0.25">
      <c r="A402" s="39"/>
      <c r="B402" s="67" t="s">
        <v>3350</v>
      </c>
      <c r="C402" s="42" t="s">
        <v>3355</v>
      </c>
      <c r="D402" s="52"/>
      <c r="E402" s="19"/>
      <c r="F402" s="19"/>
      <c r="G402" s="19"/>
      <c r="H402" s="42"/>
      <c r="I402" s="42">
        <v>1</v>
      </c>
      <c r="J402" s="42" t="s">
        <v>3099</v>
      </c>
      <c r="K402" s="42" t="s">
        <v>3351</v>
      </c>
      <c r="L402" s="42" t="s">
        <v>1023</v>
      </c>
      <c r="M402" s="42" t="s">
        <v>312</v>
      </c>
      <c r="N402" s="52"/>
    </row>
    <row r="403" spans="1:14" ht="20.100000000000001" customHeight="1" x14ac:dyDescent="0.25">
      <c r="A403" s="39"/>
      <c r="B403" s="67" t="s">
        <v>3350</v>
      </c>
      <c r="C403" s="42" t="s">
        <v>3356</v>
      </c>
      <c r="D403" s="52"/>
      <c r="E403" s="19"/>
      <c r="F403" s="19"/>
      <c r="G403" s="19"/>
      <c r="H403" s="42"/>
      <c r="I403" s="42">
        <v>1</v>
      </c>
      <c r="J403" s="42" t="s">
        <v>3099</v>
      </c>
      <c r="K403" s="42" t="s">
        <v>3351</v>
      </c>
      <c r="L403" s="42" t="s">
        <v>1023</v>
      </c>
      <c r="M403" s="42" t="s">
        <v>312</v>
      </c>
      <c r="N403" s="52"/>
    </row>
    <row r="404" spans="1:14" ht="20.100000000000001" customHeight="1" x14ac:dyDescent="0.25">
      <c r="A404" s="39"/>
      <c r="B404" s="67" t="s">
        <v>3357</v>
      </c>
      <c r="C404" s="42" t="s">
        <v>3359</v>
      </c>
      <c r="D404" s="52"/>
      <c r="E404" s="19"/>
      <c r="F404" s="19"/>
      <c r="G404" s="19"/>
      <c r="H404" s="42"/>
      <c r="I404" s="42">
        <v>1</v>
      </c>
      <c r="J404" s="42" t="s">
        <v>3100</v>
      </c>
      <c r="K404" s="42" t="s">
        <v>3351</v>
      </c>
      <c r="L404" s="42" t="s">
        <v>3358</v>
      </c>
      <c r="M404" s="42" t="s">
        <v>312</v>
      </c>
      <c r="N404" s="52"/>
    </row>
    <row r="405" spans="1:14" ht="20.100000000000001" customHeight="1" x14ac:dyDescent="0.25">
      <c r="A405" s="39"/>
      <c r="B405" s="67" t="s">
        <v>3357</v>
      </c>
      <c r="C405" s="42" t="s">
        <v>3360</v>
      </c>
      <c r="D405" s="52"/>
      <c r="E405" s="19"/>
      <c r="F405" s="19"/>
      <c r="G405" s="19"/>
      <c r="H405" s="42"/>
      <c r="I405" s="42">
        <v>1</v>
      </c>
      <c r="J405" s="42" t="s">
        <v>3100</v>
      </c>
      <c r="K405" s="42" t="s">
        <v>3351</v>
      </c>
      <c r="L405" s="42" t="s">
        <v>3358</v>
      </c>
      <c r="M405" s="42" t="s">
        <v>312</v>
      </c>
      <c r="N405" s="52"/>
    </row>
    <row r="406" spans="1:14" ht="20.100000000000001" customHeight="1" x14ac:dyDescent="0.25">
      <c r="A406" s="39"/>
      <c r="B406" s="67" t="s">
        <v>3357</v>
      </c>
      <c r="C406" s="42" t="s">
        <v>3361</v>
      </c>
      <c r="D406" s="52"/>
      <c r="E406" s="19"/>
      <c r="F406" s="19"/>
      <c r="G406" s="19"/>
      <c r="H406" s="42"/>
      <c r="I406" s="42">
        <v>1</v>
      </c>
      <c r="J406" s="42" t="s">
        <v>3100</v>
      </c>
      <c r="K406" s="42" t="s">
        <v>3351</v>
      </c>
      <c r="L406" s="42" t="s">
        <v>3358</v>
      </c>
      <c r="M406" s="42" t="s">
        <v>312</v>
      </c>
      <c r="N406" s="52"/>
    </row>
    <row r="407" spans="1:14" ht="20.100000000000001" customHeight="1" x14ac:dyDescent="0.25">
      <c r="A407" s="39"/>
      <c r="B407" s="67" t="s">
        <v>3357</v>
      </c>
      <c r="C407" s="42" t="s">
        <v>3362</v>
      </c>
      <c r="D407" s="52"/>
      <c r="E407" s="19"/>
      <c r="F407" s="19"/>
      <c r="G407" s="19"/>
      <c r="H407" s="42"/>
      <c r="I407" s="42">
        <v>1</v>
      </c>
      <c r="J407" s="42" t="s">
        <v>3100</v>
      </c>
      <c r="K407" s="42" t="s">
        <v>3351</v>
      </c>
      <c r="L407" s="42" t="s">
        <v>3358</v>
      </c>
      <c r="M407" s="42" t="s">
        <v>312</v>
      </c>
      <c r="N407" s="52"/>
    </row>
    <row r="408" spans="1:14" ht="20.100000000000001" customHeight="1" x14ac:dyDescent="0.25">
      <c r="A408" s="39"/>
      <c r="B408" s="67" t="s">
        <v>3357</v>
      </c>
      <c r="C408" s="42" t="s">
        <v>3363</v>
      </c>
      <c r="D408" s="52"/>
      <c r="E408" s="19"/>
      <c r="F408" s="19"/>
      <c r="G408" s="19"/>
      <c r="H408" s="42"/>
      <c r="I408" s="42">
        <v>1</v>
      </c>
      <c r="J408" s="42" t="s">
        <v>3100</v>
      </c>
      <c r="K408" s="42" t="s">
        <v>3351</v>
      </c>
      <c r="L408" s="42" t="s">
        <v>3358</v>
      </c>
      <c r="M408" s="42" t="s">
        <v>312</v>
      </c>
      <c r="N408" s="52"/>
    </row>
    <row r="409" spans="1:14" ht="20.100000000000001" customHeight="1" x14ac:dyDescent="0.25">
      <c r="A409" s="39"/>
      <c r="B409" s="67" t="s">
        <v>3364</v>
      </c>
      <c r="C409" s="42" t="s">
        <v>3365</v>
      </c>
      <c r="D409" s="52"/>
      <c r="E409" s="19"/>
      <c r="F409" s="19"/>
      <c r="G409" s="19"/>
      <c r="H409" s="42"/>
      <c r="I409" s="42">
        <v>1</v>
      </c>
      <c r="J409" s="42" t="s">
        <v>3101</v>
      </c>
      <c r="K409" s="42" t="s">
        <v>3351</v>
      </c>
      <c r="L409" s="42" t="s">
        <v>1023</v>
      </c>
      <c r="M409" s="42" t="s">
        <v>312</v>
      </c>
      <c r="N409" s="52"/>
    </row>
    <row r="410" spans="1:14" ht="20.100000000000001" customHeight="1" x14ac:dyDescent="0.25">
      <c r="A410" s="39"/>
      <c r="B410" s="67" t="s">
        <v>3364</v>
      </c>
      <c r="C410" s="42" t="s">
        <v>3366</v>
      </c>
      <c r="D410" s="52"/>
      <c r="E410" s="19"/>
      <c r="F410" s="19"/>
      <c r="G410" s="19"/>
      <c r="H410" s="42"/>
      <c r="I410" s="42">
        <v>1</v>
      </c>
      <c r="J410" s="42" t="s">
        <v>3101</v>
      </c>
      <c r="K410" s="42" t="s">
        <v>3351</v>
      </c>
      <c r="L410" s="42" t="s">
        <v>1023</v>
      </c>
      <c r="M410" s="42" t="s">
        <v>312</v>
      </c>
      <c r="N410" s="52"/>
    </row>
    <row r="411" spans="1:14" ht="20.100000000000001" customHeight="1" x14ac:dyDescent="0.25">
      <c r="A411" s="39"/>
      <c r="B411" s="67" t="s">
        <v>3364</v>
      </c>
      <c r="C411" s="42" t="s">
        <v>3367</v>
      </c>
      <c r="D411" s="52"/>
      <c r="E411" s="19"/>
      <c r="F411" s="19"/>
      <c r="G411" s="19"/>
      <c r="H411" s="42"/>
      <c r="I411" s="42">
        <v>1</v>
      </c>
      <c r="J411" s="42" t="s">
        <v>3101</v>
      </c>
      <c r="K411" s="42" t="s">
        <v>3351</v>
      </c>
      <c r="L411" s="42" t="s">
        <v>1023</v>
      </c>
      <c r="M411" s="42" t="s">
        <v>312</v>
      </c>
      <c r="N411" s="52"/>
    </row>
    <row r="412" spans="1:14" ht="20.100000000000001" customHeight="1" x14ac:dyDescent="0.25">
      <c r="A412" s="39"/>
      <c r="B412" s="67" t="s">
        <v>3364</v>
      </c>
      <c r="C412" s="42" t="s">
        <v>3368</v>
      </c>
      <c r="D412" s="52"/>
      <c r="E412" s="19"/>
      <c r="F412" s="19"/>
      <c r="G412" s="19"/>
      <c r="H412" s="42"/>
      <c r="I412" s="42">
        <v>1</v>
      </c>
      <c r="J412" s="42" t="s">
        <v>3101</v>
      </c>
      <c r="K412" s="42" t="s">
        <v>3351</v>
      </c>
      <c r="L412" s="42" t="s">
        <v>1023</v>
      </c>
      <c r="M412" s="42" t="s">
        <v>312</v>
      </c>
      <c r="N412" s="52"/>
    </row>
    <row r="413" spans="1:14" ht="20.100000000000001" customHeight="1" x14ac:dyDescent="0.25">
      <c r="A413" s="39"/>
      <c r="B413" s="67" t="s">
        <v>3357</v>
      </c>
      <c r="C413" s="42" t="s">
        <v>3369</v>
      </c>
      <c r="D413" s="52"/>
      <c r="E413" s="19"/>
      <c r="F413" s="19"/>
      <c r="G413" s="19"/>
      <c r="H413" s="42"/>
      <c r="I413" s="42">
        <v>1</v>
      </c>
      <c r="J413" s="42" t="s">
        <v>3100</v>
      </c>
      <c r="K413" s="42" t="s">
        <v>3351</v>
      </c>
      <c r="L413" s="42" t="s">
        <v>3358</v>
      </c>
      <c r="M413" s="42" t="s">
        <v>312</v>
      </c>
      <c r="N413" s="52"/>
    </row>
    <row r="414" spans="1:14" ht="20.100000000000001" customHeight="1" x14ac:dyDescent="0.25">
      <c r="A414" s="39"/>
      <c r="B414" s="67"/>
      <c r="C414" s="42"/>
      <c r="D414" s="52"/>
      <c r="E414" s="19"/>
      <c r="F414" s="19"/>
      <c r="G414" s="19"/>
      <c r="H414" s="42"/>
      <c r="I414" s="42"/>
      <c r="J414" s="42"/>
      <c r="K414" s="42"/>
      <c r="L414" s="42"/>
      <c r="M414" s="42"/>
      <c r="N414" s="52"/>
    </row>
    <row r="415" spans="1:14" ht="20.100000000000001" customHeight="1" x14ac:dyDescent="0.25">
      <c r="A415" s="39"/>
      <c r="B415" s="67"/>
      <c r="C415" s="42"/>
      <c r="D415" s="52"/>
      <c r="E415" s="19"/>
      <c r="F415" s="19"/>
      <c r="G415" s="19"/>
      <c r="H415" s="42"/>
      <c r="I415" s="42"/>
      <c r="J415" s="42"/>
      <c r="K415" s="42"/>
      <c r="L415" s="42"/>
      <c r="M415" s="42"/>
      <c r="N415" s="52"/>
    </row>
    <row r="416" spans="1:14" ht="20.100000000000001" customHeight="1" x14ac:dyDescent="0.25">
      <c r="A416" s="39"/>
      <c r="B416" s="67"/>
      <c r="C416" s="42"/>
      <c r="D416" s="52"/>
      <c r="E416" s="19"/>
      <c r="F416" s="19"/>
      <c r="G416" s="19"/>
      <c r="H416" s="42"/>
      <c r="I416" s="42"/>
      <c r="J416" s="42"/>
      <c r="K416" s="42"/>
      <c r="L416" s="42"/>
      <c r="M416" s="42"/>
      <c r="N416" s="52"/>
    </row>
    <row r="417" spans="1:14" ht="20.100000000000001" customHeight="1" x14ac:dyDescent="0.25">
      <c r="A417" s="39"/>
      <c r="B417" s="67"/>
      <c r="C417" s="42"/>
      <c r="D417" s="52"/>
      <c r="E417" s="19"/>
      <c r="F417" s="19"/>
      <c r="G417" s="19"/>
      <c r="H417" s="42"/>
      <c r="I417" s="42"/>
      <c r="J417" s="42"/>
      <c r="K417" s="42"/>
      <c r="L417" s="42"/>
      <c r="M417" s="42"/>
      <c r="N417" s="52"/>
    </row>
    <row r="418" spans="1:14" ht="20.100000000000001" customHeight="1" x14ac:dyDescent="0.25">
      <c r="A418" s="39"/>
      <c r="B418" s="67"/>
      <c r="C418" s="42"/>
      <c r="D418" s="52"/>
      <c r="E418" s="19"/>
      <c r="F418" s="19"/>
      <c r="G418" s="19"/>
      <c r="H418" s="42"/>
      <c r="I418" s="42"/>
      <c r="J418" s="42"/>
      <c r="K418" s="42"/>
      <c r="L418" s="42"/>
      <c r="M418" s="42"/>
      <c r="N418" s="52"/>
    </row>
    <row r="419" spans="1:14" ht="20.100000000000001" customHeight="1" x14ac:dyDescent="0.25">
      <c r="A419" s="39"/>
      <c r="B419" s="67"/>
      <c r="C419" s="42"/>
      <c r="D419" s="52"/>
      <c r="E419" s="19"/>
      <c r="F419" s="19"/>
      <c r="G419" s="19"/>
      <c r="H419" s="42"/>
      <c r="I419" s="42"/>
      <c r="J419" s="42"/>
      <c r="K419" s="42"/>
      <c r="L419" s="42"/>
      <c r="M419" s="42"/>
      <c r="N419" s="52"/>
    </row>
    <row r="420" spans="1:14" ht="20.100000000000001" customHeight="1" x14ac:dyDescent="0.25">
      <c r="A420" s="39"/>
      <c r="B420" s="67"/>
      <c r="C420" s="42"/>
      <c r="D420" s="52"/>
      <c r="E420" s="19"/>
      <c r="F420" s="19"/>
      <c r="G420" s="19"/>
      <c r="H420" s="42"/>
      <c r="I420" s="42"/>
      <c r="J420" s="42"/>
      <c r="K420" s="42"/>
      <c r="L420" s="42"/>
      <c r="M420" s="42"/>
      <c r="N420" s="52"/>
    </row>
    <row r="421" spans="1:14" ht="20.100000000000001" customHeight="1" x14ac:dyDescent="0.25">
      <c r="A421" s="39"/>
      <c r="B421" s="67"/>
      <c r="C421" s="42"/>
      <c r="D421" s="52"/>
      <c r="E421" s="19"/>
      <c r="F421" s="19"/>
      <c r="G421" s="19"/>
      <c r="H421" s="42"/>
      <c r="I421" s="42"/>
      <c r="J421" s="42"/>
      <c r="K421" s="42"/>
      <c r="L421" s="42"/>
      <c r="M421" s="42"/>
      <c r="N421" s="52"/>
    </row>
    <row r="422" spans="1:14" ht="20.100000000000001" customHeight="1" x14ac:dyDescent="0.25">
      <c r="A422" s="39"/>
      <c r="B422" s="67"/>
      <c r="C422" s="42"/>
      <c r="D422" s="52"/>
      <c r="E422" s="19"/>
      <c r="F422" s="19"/>
      <c r="G422" s="19"/>
      <c r="H422" s="42"/>
      <c r="I422" s="42"/>
      <c r="J422" s="42"/>
      <c r="K422" s="42"/>
      <c r="L422" s="42"/>
      <c r="M422" s="42"/>
      <c r="N422" s="52"/>
    </row>
    <row r="423" spans="1:14" ht="20.100000000000001" customHeight="1" x14ac:dyDescent="0.25">
      <c r="A423" s="39"/>
      <c r="B423" s="67"/>
      <c r="C423" s="42"/>
      <c r="D423" s="52"/>
      <c r="E423" s="19"/>
      <c r="F423" s="19"/>
      <c r="G423" s="19"/>
      <c r="H423" s="42"/>
      <c r="I423" s="42"/>
      <c r="J423" s="42"/>
      <c r="K423" s="42"/>
      <c r="L423" s="42"/>
      <c r="M423" s="42"/>
      <c r="N423" s="52"/>
    </row>
    <row r="424" spans="1:14" ht="20.100000000000001" customHeight="1" x14ac:dyDescent="0.25">
      <c r="A424" s="39"/>
      <c r="B424" s="67"/>
      <c r="C424" s="42"/>
      <c r="D424" s="52"/>
      <c r="E424" s="19"/>
      <c r="F424" s="19"/>
      <c r="G424" s="19"/>
      <c r="H424" s="42"/>
      <c r="I424" s="42"/>
      <c r="J424" s="42"/>
      <c r="K424" s="42"/>
      <c r="L424" s="42"/>
      <c r="M424" s="42"/>
      <c r="N424" s="52"/>
    </row>
    <row r="425" spans="1:14" ht="20.100000000000001" customHeight="1" x14ac:dyDescent="0.25">
      <c r="A425" s="39"/>
      <c r="B425" s="67"/>
      <c r="C425" s="42"/>
      <c r="D425" s="52"/>
      <c r="E425" s="19"/>
      <c r="F425" s="19"/>
      <c r="G425" s="19"/>
      <c r="H425" s="42"/>
      <c r="I425" s="42"/>
      <c r="J425" s="42"/>
      <c r="K425" s="42"/>
      <c r="L425" s="42"/>
      <c r="M425" s="42"/>
      <c r="N425" s="52"/>
    </row>
    <row r="426" spans="1:14" ht="20.100000000000001" customHeight="1" x14ac:dyDescent="0.25">
      <c r="A426" s="39"/>
      <c r="B426" s="67"/>
      <c r="C426" s="42"/>
      <c r="D426" s="52"/>
      <c r="E426" s="19"/>
      <c r="F426" s="19"/>
      <c r="G426" s="19"/>
      <c r="H426" s="42"/>
      <c r="I426" s="42"/>
      <c r="J426" s="42"/>
      <c r="K426" s="42"/>
      <c r="L426" s="42"/>
      <c r="M426" s="42"/>
      <c r="N426" s="52"/>
    </row>
    <row r="427" spans="1:14" ht="20.100000000000001" customHeight="1" x14ac:dyDescent="0.25">
      <c r="A427" s="39"/>
      <c r="B427" s="67"/>
      <c r="C427" s="42"/>
      <c r="D427" s="52"/>
      <c r="E427" s="19"/>
      <c r="F427" s="19"/>
      <c r="G427" s="19"/>
      <c r="H427" s="42"/>
      <c r="I427" s="42"/>
      <c r="J427" s="42"/>
      <c r="K427" s="42"/>
      <c r="L427" s="42"/>
      <c r="M427" s="42"/>
      <c r="N427" s="52"/>
    </row>
    <row r="428" spans="1:14" ht="20.100000000000001" customHeight="1" x14ac:dyDescent="0.25">
      <c r="A428" s="39"/>
      <c r="B428" s="67"/>
      <c r="C428" s="42"/>
      <c r="D428" s="52"/>
      <c r="E428" s="19"/>
      <c r="F428" s="19"/>
      <c r="G428" s="19"/>
      <c r="H428" s="42"/>
      <c r="I428" s="42"/>
      <c r="J428" s="42"/>
      <c r="K428" s="42"/>
      <c r="L428" s="42"/>
      <c r="M428" s="42"/>
      <c r="N428" s="52"/>
    </row>
    <row r="429" spans="1:14" ht="20.100000000000001" customHeight="1" x14ac:dyDescent="0.25">
      <c r="A429" s="39"/>
      <c r="B429" s="67"/>
      <c r="C429" s="42"/>
      <c r="D429" s="52"/>
      <c r="E429" s="19"/>
      <c r="F429" s="19"/>
      <c r="G429" s="19"/>
      <c r="H429" s="42"/>
      <c r="I429" s="42"/>
      <c r="J429" s="42"/>
      <c r="K429" s="42"/>
      <c r="L429" s="42"/>
      <c r="M429" s="42"/>
      <c r="N429" s="52"/>
    </row>
    <row r="430" spans="1:14" ht="20.100000000000001" customHeight="1" x14ac:dyDescent="0.25">
      <c r="A430" s="39"/>
      <c r="B430" s="67"/>
      <c r="C430" s="42"/>
      <c r="D430" s="52"/>
      <c r="E430" s="19"/>
      <c r="F430" s="19"/>
      <c r="G430" s="19"/>
      <c r="H430" s="42"/>
      <c r="I430" s="42"/>
      <c r="J430" s="42"/>
      <c r="K430" s="42"/>
      <c r="L430" s="42"/>
      <c r="M430" s="42"/>
      <c r="N430" s="52"/>
    </row>
    <row r="431" spans="1:14" ht="20.100000000000001" customHeight="1" x14ac:dyDescent="0.25">
      <c r="A431" s="39"/>
      <c r="B431" s="67"/>
      <c r="C431" s="42"/>
      <c r="D431" s="52"/>
      <c r="E431" s="19"/>
      <c r="F431" s="19"/>
      <c r="G431" s="19"/>
      <c r="H431" s="42"/>
      <c r="I431" s="42"/>
      <c r="J431" s="42"/>
      <c r="K431" s="42"/>
      <c r="L431" s="42"/>
      <c r="M431" s="42"/>
      <c r="N431" s="52"/>
    </row>
    <row r="432" spans="1:14" ht="20.100000000000001" customHeight="1" x14ac:dyDescent="0.25">
      <c r="A432" s="39"/>
      <c r="B432" s="67"/>
      <c r="C432" s="42"/>
      <c r="D432" s="52"/>
      <c r="E432" s="19"/>
      <c r="F432" s="19"/>
      <c r="G432" s="19"/>
      <c r="H432" s="42"/>
      <c r="I432" s="42"/>
      <c r="J432" s="42"/>
      <c r="K432" s="42"/>
      <c r="L432" s="42"/>
      <c r="M432" s="42"/>
      <c r="N432" s="52"/>
    </row>
    <row r="433" spans="1:14" ht="20.100000000000001" customHeight="1" x14ac:dyDescent="0.25">
      <c r="A433" s="39"/>
      <c r="B433" s="67"/>
      <c r="C433" s="42"/>
      <c r="D433" s="52"/>
      <c r="E433" s="19"/>
      <c r="F433" s="19"/>
      <c r="G433" s="19"/>
      <c r="H433" s="42"/>
      <c r="I433" s="42"/>
      <c r="J433" s="42"/>
      <c r="K433" s="42"/>
      <c r="L433" s="42"/>
      <c r="M433" s="42"/>
      <c r="N433" s="52"/>
    </row>
    <row r="434" spans="1:14" ht="20.100000000000001" customHeight="1" x14ac:dyDescent="0.25">
      <c r="A434" s="39"/>
      <c r="B434" s="67"/>
      <c r="C434" s="42"/>
      <c r="D434" s="52"/>
      <c r="E434" s="19"/>
      <c r="F434" s="19"/>
      <c r="G434" s="19"/>
      <c r="H434" s="42"/>
      <c r="I434" s="42"/>
      <c r="J434" s="42"/>
      <c r="K434" s="42"/>
      <c r="L434" s="42"/>
      <c r="M434" s="42"/>
      <c r="N434" s="52"/>
    </row>
    <row r="435" spans="1:14" ht="20.100000000000001" customHeight="1" x14ac:dyDescent="0.25">
      <c r="A435" s="39"/>
      <c r="B435" s="67"/>
      <c r="C435" s="42"/>
      <c r="D435" s="52"/>
      <c r="E435" s="19"/>
      <c r="F435" s="19"/>
      <c r="G435" s="19"/>
      <c r="H435" s="42"/>
      <c r="I435" s="42"/>
      <c r="J435" s="42"/>
      <c r="K435" s="42"/>
      <c r="L435" s="42"/>
      <c r="M435" s="42"/>
      <c r="N435" s="52"/>
    </row>
    <row r="436" spans="1:14" ht="20.100000000000001" customHeight="1" x14ac:dyDescent="0.25">
      <c r="A436" s="39"/>
      <c r="B436" s="67"/>
      <c r="C436" s="42"/>
      <c r="D436" s="52"/>
      <c r="E436" s="19"/>
      <c r="F436" s="19"/>
      <c r="G436" s="19"/>
      <c r="H436" s="42"/>
      <c r="I436" s="42"/>
      <c r="J436" s="42"/>
      <c r="K436" s="42"/>
      <c r="L436" s="42"/>
      <c r="M436" s="42"/>
      <c r="N436" s="52"/>
    </row>
    <row r="437" spans="1:14" ht="20.100000000000001" customHeight="1" x14ac:dyDescent="0.25">
      <c r="A437" s="39"/>
      <c r="B437" s="67"/>
      <c r="C437" s="42"/>
      <c r="D437" s="52"/>
      <c r="E437" s="19"/>
      <c r="F437" s="19"/>
      <c r="G437" s="19"/>
      <c r="H437" s="42"/>
      <c r="I437" s="42"/>
      <c r="J437" s="42"/>
      <c r="K437" s="42"/>
      <c r="L437" s="42"/>
      <c r="M437" s="42"/>
      <c r="N437" s="52"/>
    </row>
    <row r="438" spans="1:14" ht="20.100000000000001" customHeight="1" x14ac:dyDescent="0.25">
      <c r="A438" s="39"/>
      <c r="B438" s="67"/>
      <c r="C438" s="42"/>
      <c r="D438" s="52"/>
      <c r="E438" s="19"/>
      <c r="F438" s="19"/>
      <c r="G438" s="19"/>
      <c r="H438" s="42"/>
      <c r="I438" s="42"/>
      <c r="J438" s="42"/>
      <c r="K438" s="42"/>
      <c r="L438" s="42"/>
      <c r="M438" s="42"/>
      <c r="N438" s="52"/>
    </row>
    <row r="439" spans="1:14" ht="20.100000000000001" customHeight="1" x14ac:dyDescent="0.25">
      <c r="A439" s="39"/>
      <c r="B439" s="67"/>
      <c r="C439" s="42"/>
      <c r="D439" s="52"/>
      <c r="E439" s="19"/>
      <c r="F439" s="19"/>
      <c r="G439" s="19"/>
      <c r="H439" s="42"/>
      <c r="I439" s="42"/>
      <c r="J439" s="42"/>
      <c r="K439" s="42"/>
      <c r="L439" s="42"/>
      <c r="M439" s="42"/>
      <c r="N439" s="52"/>
    </row>
    <row r="440" spans="1:14" ht="20.100000000000001" customHeight="1" x14ac:dyDescent="0.25">
      <c r="A440" s="39"/>
      <c r="B440" s="67"/>
      <c r="C440" s="42"/>
      <c r="D440" s="52"/>
      <c r="E440" s="19"/>
      <c r="F440" s="19"/>
      <c r="G440" s="19"/>
      <c r="H440" s="42"/>
      <c r="I440" s="42"/>
      <c r="J440" s="42"/>
      <c r="K440" s="42"/>
      <c r="L440" s="42"/>
      <c r="M440" s="42"/>
      <c r="N440" s="52"/>
    </row>
    <row r="441" spans="1:14" ht="20.100000000000001" customHeight="1" x14ac:dyDescent="0.25">
      <c r="A441" s="39"/>
      <c r="B441" s="67"/>
      <c r="C441" s="42"/>
      <c r="D441" s="52"/>
      <c r="E441" s="19"/>
      <c r="F441" s="19"/>
      <c r="G441" s="19"/>
      <c r="H441" s="42"/>
      <c r="I441" s="42"/>
      <c r="J441" s="42"/>
      <c r="K441" s="42"/>
      <c r="L441" s="42"/>
      <c r="M441" s="42"/>
      <c r="N441" s="52"/>
    </row>
    <row r="442" spans="1:14" ht="20.100000000000001" customHeight="1" x14ac:dyDescent="0.25">
      <c r="A442" s="39"/>
      <c r="B442" s="67"/>
      <c r="C442" s="42"/>
      <c r="D442" s="52"/>
      <c r="E442" s="19"/>
      <c r="F442" s="19"/>
      <c r="G442" s="19"/>
      <c r="H442" s="42"/>
      <c r="I442" s="42"/>
      <c r="J442" s="42"/>
      <c r="K442" s="42"/>
      <c r="L442" s="42"/>
      <c r="M442" s="42"/>
      <c r="N442" s="52"/>
    </row>
    <row r="443" spans="1:14" ht="20.100000000000001" customHeight="1" x14ac:dyDescent="0.25">
      <c r="A443" s="39"/>
      <c r="B443" s="67"/>
      <c r="C443" s="42"/>
      <c r="D443" s="52"/>
      <c r="E443" s="19"/>
      <c r="F443" s="19"/>
      <c r="G443" s="19"/>
      <c r="H443" s="42"/>
      <c r="I443" s="42"/>
      <c r="J443" s="42"/>
      <c r="K443" s="42"/>
      <c r="L443" s="42"/>
      <c r="M443" s="42"/>
      <c r="N443" s="52"/>
    </row>
    <row r="444" spans="1:14" ht="20.100000000000001" customHeight="1" x14ac:dyDescent="0.25">
      <c r="A444" s="39"/>
      <c r="B444" s="67"/>
      <c r="C444" s="42"/>
      <c r="D444" s="52"/>
      <c r="E444" s="19"/>
      <c r="F444" s="19"/>
      <c r="G444" s="19"/>
      <c r="H444" s="42"/>
      <c r="I444" s="42"/>
      <c r="J444" s="42"/>
      <c r="K444" s="42"/>
      <c r="L444" s="42"/>
      <c r="M444" s="42"/>
      <c r="N444" s="52"/>
    </row>
    <row r="445" spans="1:14" ht="20.100000000000001" customHeight="1" x14ac:dyDescent="0.25">
      <c r="A445" s="39"/>
      <c r="B445" s="67"/>
      <c r="C445" s="42"/>
      <c r="D445" s="52"/>
      <c r="E445" s="19"/>
      <c r="F445" s="19"/>
      <c r="G445" s="19"/>
      <c r="H445" s="42"/>
      <c r="I445" s="42"/>
      <c r="J445" s="42"/>
      <c r="K445" s="42"/>
      <c r="L445" s="42"/>
      <c r="M445" s="42"/>
      <c r="N445" s="52"/>
    </row>
    <row r="446" spans="1:14" ht="20.100000000000001" customHeight="1" x14ac:dyDescent="0.25">
      <c r="A446" s="39"/>
      <c r="B446" s="67"/>
      <c r="C446" s="42"/>
      <c r="D446" s="52"/>
      <c r="E446" s="19"/>
      <c r="F446" s="19"/>
      <c r="G446" s="19"/>
      <c r="H446" s="42"/>
      <c r="I446" s="42"/>
      <c r="J446" s="42"/>
      <c r="K446" s="42"/>
      <c r="L446" s="42"/>
      <c r="M446" s="42"/>
      <c r="N446" s="52"/>
    </row>
    <row r="447" spans="1:14" ht="20.100000000000001" customHeight="1" x14ac:dyDescent="0.25">
      <c r="A447" s="39"/>
      <c r="B447" s="67"/>
      <c r="C447" s="42"/>
      <c r="D447" s="52"/>
      <c r="E447" s="19"/>
      <c r="F447" s="19"/>
      <c r="G447" s="19"/>
      <c r="H447" s="42"/>
      <c r="I447" s="42"/>
      <c r="J447" s="42"/>
      <c r="K447" s="42"/>
      <c r="L447" s="42"/>
      <c r="M447" s="42"/>
      <c r="N447" s="52"/>
    </row>
    <row r="448" spans="1:14" ht="20.100000000000001" customHeight="1" x14ac:dyDescent="0.25">
      <c r="A448" s="39"/>
      <c r="B448" s="67"/>
      <c r="C448" s="42"/>
      <c r="D448" s="52"/>
      <c r="E448" s="19"/>
      <c r="F448" s="19"/>
      <c r="G448" s="19"/>
      <c r="H448" s="42"/>
      <c r="I448" s="42"/>
      <c r="J448" s="42"/>
      <c r="K448" s="42"/>
      <c r="L448" s="42"/>
      <c r="M448" s="42"/>
      <c r="N448" s="52"/>
    </row>
    <row r="449" spans="1:14" ht="20.100000000000001" customHeight="1" x14ac:dyDescent="0.25">
      <c r="A449" s="39"/>
      <c r="B449" s="67"/>
      <c r="C449" s="42"/>
      <c r="D449" s="52"/>
      <c r="E449" s="19"/>
      <c r="F449" s="19"/>
      <c r="G449" s="19"/>
      <c r="H449" s="42"/>
      <c r="I449" s="42"/>
      <c r="J449" s="42"/>
      <c r="K449" s="42"/>
      <c r="L449" s="42"/>
      <c r="M449" s="42"/>
      <c r="N449" s="52"/>
    </row>
    <row r="450" spans="1:14" ht="20.100000000000001" customHeight="1" x14ac:dyDescent="0.25">
      <c r="A450" s="39"/>
      <c r="B450" s="67"/>
      <c r="C450" s="42"/>
      <c r="D450" s="52"/>
      <c r="E450" s="19"/>
      <c r="F450" s="19"/>
      <c r="G450" s="19"/>
      <c r="H450" s="42"/>
      <c r="I450" s="42"/>
      <c r="J450" s="42"/>
      <c r="K450" s="42"/>
      <c r="L450" s="42"/>
      <c r="M450" s="42"/>
      <c r="N450" s="52"/>
    </row>
    <row r="451" spans="1:14" ht="20.100000000000001" customHeight="1" x14ac:dyDescent="0.25">
      <c r="A451" s="39"/>
      <c r="B451" s="67"/>
      <c r="C451" s="42"/>
      <c r="D451" s="52"/>
      <c r="E451" s="19"/>
      <c r="F451" s="19"/>
      <c r="G451" s="19"/>
      <c r="H451" s="42"/>
      <c r="I451" s="42"/>
      <c r="J451" s="42"/>
      <c r="K451" s="42"/>
      <c r="L451" s="42"/>
      <c r="M451" s="42"/>
      <c r="N451" s="52"/>
    </row>
    <row r="452" spans="1:14" ht="20.100000000000001" customHeight="1" x14ac:dyDescent="0.25">
      <c r="A452" s="39"/>
      <c r="B452" s="67"/>
      <c r="C452" s="42"/>
      <c r="D452" s="52"/>
      <c r="E452" s="19"/>
      <c r="F452" s="19"/>
      <c r="G452" s="19"/>
      <c r="H452" s="42"/>
      <c r="I452" s="42"/>
      <c r="J452" s="42"/>
      <c r="K452" s="42"/>
      <c r="L452" s="42"/>
      <c r="M452" s="42"/>
      <c r="N452" s="52"/>
    </row>
    <row r="453" spans="1:14" ht="20.100000000000001" customHeight="1" x14ac:dyDescent="0.25">
      <c r="A453" s="39"/>
      <c r="B453" s="67"/>
      <c r="C453" s="42"/>
      <c r="D453" s="52"/>
      <c r="E453" s="19"/>
      <c r="F453" s="19"/>
      <c r="G453" s="19"/>
      <c r="H453" s="42"/>
      <c r="I453" s="42"/>
      <c r="J453" s="42"/>
      <c r="K453" s="42"/>
      <c r="L453" s="42"/>
      <c r="M453" s="42"/>
      <c r="N453" s="52"/>
    </row>
    <row r="454" spans="1:14" ht="20.100000000000001" customHeight="1" x14ac:dyDescent="0.25">
      <c r="A454" s="39"/>
      <c r="B454" s="67"/>
      <c r="C454" s="42"/>
      <c r="D454" s="52"/>
      <c r="E454" s="19"/>
      <c r="F454" s="19"/>
      <c r="G454" s="19"/>
      <c r="H454" s="42"/>
      <c r="I454" s="42"/>
      <c r="J454" s="42"/>
      <c r="K454" s="42"/>
      <c r="L454" s="42"/>
      <c r="M454" s="42"/>
      <c r="N454" s="52"/>
    </row>
    <row r="455" spans="1:14" ht="20.100000000000001" customHeight="1" x14ac:dyDescent="0.25">
      <c r="A455" s="39"/>
      <c r="B455" s="67"/>
      <c r="C455" s="42"/>
      <c r="D455" s="52"/>
      <c r="E455" s="19"/>
      <c r="F455" s="19"/>
      <c r="G455" s="19"/>
      <c r="H455" s="42"/>
      <c r="I455" s="42"/>
      <c r="J455" s="42"/>
      <c r="K455" s="42"/>
      <c r="L455" s="42"/>
      <c r="M455" s="42"/>
      <c r="N455" s="52"/>
    </row>
    <row r="456" spans="1:14" ht="20.100000000000001" customHeight="1" x14ac:dyDescent="0.25">
      <c r="A456" s="39"/>
      <c r="B456" s="67"/>
      <c r="C456" s="42"/>
      <c r="D456" s="52"/>
      <c r="E456" s="19"/>
      <c r="F456" s="19"/>
      <c r="G456" s="19"/>
      <c r="H456" s="42"/>
      <c r="I456" s="42"/>
      <c r="J456" s="42"/>
      <c r="K456" s="42"/>
      <c r="L456" s="42"/>
      <c r="M456" s="42"/>
      <c r="N456" s="52"/>
    </row>
    <row r="457" spans="1:14" ht="20.100000000000001" customHeight="1" x14ac:dyDescent="0.25">
      <c r="A457" s="39"/>
      <c r="B457" s="67"/>
      <c r="C457" s="42"/>
      <c r="D457" s="52"/>
      <c r="E457" s="19"/>
      <c r="F457" s="19"/>
      <c r="G457" s="19"/>
      <c r="H457" s="42"/>
      <c r="I457" s="42"/>
      <c r="J457" s="42"/>
      <c r="K457" s="42"/>
      <c r="L457" s="42"/>
      <c r="M457" s="42"/>
      <c r="N457" s="52"/>
    </row>
    <row r="458" spans="1:14" ht="20.100000000000001" customHeight="1" x14ac:dyDescent="0.25">
      <c r="A458" s="39"/>
      <c r="B458" s="67"/>
      <c r="C458" s="42"/>
      <c r="D458" s="52"/>
      <c r="E458" s="19"/>
      <c r="F458" s="19"/>
      <c r="G458" s="19"/>
      <c r="H458" s="42"/>
      <c r="I458" s="42"/>
      <c r="J458" s="42"/>
      <c r="K458" s="42"/>
      <c r="L458" s="42"/>
      <c r="M458" s="42"/>
      <c r="N458" s="52"/>
    </row>
    <row r="459" spans="1:14" ht="20.100000000000001" customHeight="1" x14ac:dyDescent="0.25">
      <c r="A459" s="39"/>
      <c r="B459" s="67"/>
      <c r="C459" s="42"/>
      <c r="D459" s="52"/>
      <c r="E459" s="19"/>
      <c r="F459" s="19"/>
      <c r="G459" s="19"/>
      <c r="H459" s="42"/>
      <c r="I459" s="42"/>
      <c r="J459" s="42"/>
      <c r="K459" s="42"/>
      <c r="L459" s="42"/>
      <c r="M459" s="42"/>
      <c r="N459" s="52"/>
    </row>
    <row r="460" spans="1:14" ht="20.100000000000001" customHeight="1" x14ac:dyDescent="0.25">
      <c r="A460" s="39"/>
      <c r="B460" s="67"/>
      <c r="C460" s="42"/>
      <c r="D460" s="52"/>
      <c r="E460" s="19"/>
      <c r="F460" s="19"/>
      <c r="G460" s="19"/>
      <c r="H460" s="42"/>
      <c r="I460" s="42"/>
      <c r="J460" s="42"/>
      <c r="K460" s="42"/>
      <c r="L460" s="42"/>
      <c r="M460" s="42"/>
      <c r="N460" s="52"/>
    </row>
    <row r="461" spans="1:14" ht="20.100000000000001" customHeight="1" x14ac:dyDescent="0.25">
      <c r="A461" s="39"/>
      <c r="B461" s="67"/>
      <c r="C461" s="42"/>
      <c r="D461" s="52"/>
      <c r="E461" s="19"/>
      <c r="F461" s="19"/>
      <c r="G461" s="19"/>
      <c r="H461" s="42"/>
      <c r="I461" s="42"/>
      <c r="J461" s="42"/>
      <c r="K461" s="42"/>
      <c r="L461" s="42"/>
      <c r="M461" s="42"/>
      <c r="N461" s="52"/>
    </row>
    <row r="462" spans="1:14" ht="20.100000000000001" customHeight="1" x14ac:dyDescent="0.25">
      <c r="A462" s="39"/>
      <c r="B462" s="67"/>
      <c r="C462" s="42"/>
      <c r="D462" s="52"/>
      <c r="E462" s="19"/>
      <c r="F462" s="19"/>
      <c r="G462" s="19"/>
      <c r="H462" s="42"/>
      <c r="I462" s="42"/>
      <c r="J462" s="42"/>
      <c r="K462" s="42"/>
      <c r="L462" s="42"/>
      <c r="M462" s="42"/>
      <c r="N462" s="52"/>
    </row>
    <row r="463" spans="1:14" ht="20.100000000000001" customHeight="1" x14ac:dyDescent="0.25">
      <c r="A463" s="39"/>
      <c r="B463" s="67"/>
      <c r="C463" s="42"/>
      <c r="D463" s="52"/>
      <c r="E463" s="19"/>
      <c r="F463" s="19"/>
      <c r="G463" s="19"/>
      <c r="H463" s="42"/>
      <c r="I463" s="42"/>
      <c r="J463" s="42"/>
      <c r="K463" s="42"/>
      <c r="L463" s="42"/>
      <c r="M463" s="42"/>
      <c r="N463" s="52"/>
    </row>
    <row r="464" spans="1:14" ht="20.100000000000001" customHeight="1" x14ac:dyDescent="0.25">
      <c r="A464" s="39"/>
      <c r="B464" s="67"/>
      <c r="C464" s="42"/>
      <c r="D464" s="52"/>
      <c r="E464" s="19"/>
      <c r="F464" s="19"/>
      <c r="G464" s="19"/>
      <c r="H464" s="42"/>
      <c r="I464" s="42"/>
      <c r="J464" s="42"/>
      <c r="K464" s="42"/>
      <c r="L464" s="42"/>
      <c r="M464" s="42"/>
      <c r="N464" s="52"/>
    </row>
    <row r="465" spans="1:14" ht="20.100000000000001" customHeight="1" x14ac:dyDescent="0.25">
      <c r="A465" s="39"/>
      <c r="B465" s="67"/>
      <c r="C465" s="42"/>
      <c r="D465" s="52"/>
      <c r="E465" s="19"/>
      <c r="F465" s="19"/>
      <c r="G465" s="19"/>
      <c r="H465" s="42"/>
      <c r="I465" s="42"/>
      <c r="J465" s="42"/>
      <c r="K465" s="42"/>
      <c r="L465" s="42"/>
      <c r="M465" s="42"/>
      <c r="N465" s="52"/>
    </row>
    <row r="466" spans="1:14" ht="20.100000000000001" customHeight="1" x14ac:dyDescent="0.25">
      <c r="A466" s="39"/>
      <c r="B466" s="67"/>
      <c r="C466" s="42"/>
      <c r="D466" s="52"/>
      <c r="E466" s="19"/>
      <c r="F466" s="19"/>
      <c r="G466" s="19"/>
      <c r="H466" s="42"/>
      <c r="I466" s="42"/>
      <c r="J466" s="42"/>
      <c r="K466" s="42"/>
      <c r="L466" s="42"/>
      <c r="M466" s="42"/>
      <c r="N466" s="52"/>
    </row>
    <row r="467" spans="1:14" ht="20.100000000000001" customHeight="1" x14ac:dyDescent="0.25">
      <c r="A467" s="39"/>
      <c r="B467" s="67"/>
      <c r="C467" s="42"/>
      <c r="D467" s="52"/>
      <c r="E467" s="19"/>
      <c r="F467" s="19"/>
      <c r="G467" s="19"/>
      <c r="H467" s="42"/>
      <c r="I467" s="42"/>
      <c r="J467" s="42"/>
      <c r="K467" s="42"/>
      <c r="L467" s="42"/>
      <c r="M467" s="42"/>
      <c r="N467" s="52"/>
    </row>
    <row r="468" spans="1:14" ht="20.100000000000001" customHeight="1" x14ac:dyDescent="0.25">
      <c r="A468" s="39"/>
      <c r="B468" s="67"/>
      <c r="C468" s="42"/>
      <c r="D468" s="52"/>
      <c r="E468" s="19"/>
      <c r="F468" s="19"/>
      <c r="G468" s="19"/>
      <c r="H468" s="42"/>
      <c r="I468" s="42"/>
      <c r="J468" s="42"/>
      <c r="K468" s="42"/>
      <c r="L468" s="42"/>
      <c r="M468" s="42"/>
      <c r="N468" s="52"/>
    </row>
    <row r="469" spans="1:14" ht="20.100000000000001" customHeight="1" x14ac:dyDescent="0.25">
      <c r="A469" s="39"/>
      <c r="B469" s="67"/>
      <c r="C469" s="42"/>
      <c r="D469" s="52"/>
      <c r="E469" s="19"/>
      <c r="F469" s="19"/>
      <c r="G469" s="19"/>
      <c r="H469" s="42"/>
      <c r="I469" s="42"/>
      <c r="J469" s="42"/>
      <c r="K469" s="42"/>
      <c r="L469" s="42"/>
      <c r="M469" s="42"/>
      <c r="N469" s="52"/>
    </row>
    <row r="470" spans="1:14" ht="20.100000000000001" customHeight="1" x14ac:dyDescent="0.25">
      <c r="A470" s="39"/>
      <c r="B470" s="67"/>
      <c r="C470" s="42"/>
      <c r="D470" s="52"/>
      <c r="E470" s="19"/>
      <c r="F470" s="19"/>
      <c r="G470" s="19"/>
      <c r="H470" s="42"/>
      <c r="I470" s="42"/>
      <c r="J470" s="42"/>
      <c r="K470" s="42"/>
      <c r="L470" s="42"/>
      <c r="M470" s="42"/>
      <c r="N470" s="52"/>
    </row>
    <row r="471" spans="1:14" ht="20.100000000000001" customHeight="1" x14ac:dyDescent="0.25">
      <c r="A471" s="39"/>
      <c r="B471" s="67"/>
      <c r="C471" s="42"/>
      <c r="D471" s="52"/>
      <c r="E471" s="19"/>
      <c r="F471" s="19"/>
      <c r="G471" s="19"/>
      <c r="H471" s="42"/>
      <c r="I471" s="42"/>
      <c r="J471" s="42"/>
      <c r="K471" s="42"/>
      <c r="L471" s="42"/>
      <c r="M471" s="42"/>
      <c r="N471" s="52"/>
    </row>
    <row r="472" spans="1:14" ht="20.100000000000001" customHeight="1" x14ac:dyDescent="0.25">
      <c r="A472" s="39"/>
      <c r="B472" s="67"/>
      <c r="C472" s="42"/>
      <c r="D472" s="52"/>
      <c r="E472" s="19"/>
      <c r="F472" s="19"/>
      <c r="G472" s="19"/>
      <c r="H472" s="42"/>
      <c r="I472" s="42"/>
      <c r="J472" s="42"/>
      <c r="K472" s="42"/>
      <c r="L472" s="42"/>
      <c r="M472" s="42"/>
      <c r="N472" s="52"/>
    </row>
    <row r="473" spans="1:14" ht="20.100000000000001" customHeight="1" x14ac:dyDescent="0.25">
      <c r="A473" s="39"/>
      <c r="B473" s="67"/>
      <c r="C473" s="42"/>
      <c r="D473" s="52"/>
      <c r="E473" s="19"/>
      <c r="F473" s="19"/>
      <c r="G473" s="19"/>
      <c r="H473" s="42"/>
      <c r="I473" s="42"/>
      <c r="J473" s="42"/>
      <c r="K473" s="42"/>
      <c r="L473" s="42"/>
      <c r="M473" s="42"/>
      <c r="N473" s="52"/>
    </row>
    <row r="474" spans="1:14" ht="20.100000000000001" customHeight="1" x14ac:dyDescent="0.25">
      <c r="A474" s="39"/>
      <c r="B474" s="67"/>
      <c r="C474" s="42"/>
      <c r="D474" s="52"/>
      <c r="E474" s="19"/>
      <c r="F474" s="19"/>
      <c r="G474" s="19"/>
      <c r="H474" s="42"/>
      <c r="I474" s="42"/>
      <c r="J474" s="42"/>
      <c r="K474" s="42"/>
      <c r="L474" s="42"/>
      <c r="M474" s="42"/>
      <c r="N474" s="52"/>
    </row>
    <row r="475" spans="1:14" ht="20.100000000000001" customHeight="1" x14ac:dyDescent="0.25">
      <c r="A475" s="39"/>
      <c r="B475" s="67"/>
      <c r="C475" s="42"/>
      <c r="D475" s="52"/>
      <c r="E475" s="19"/>
      <c r="F475" s="19"/>
      <c r="G475" s="19"/>
      <c r="H475" s="42"/>
      <c r="I475" s="42"/>
      <c r="J475" s="42"/>
      <c r="K475" s="42"/>
      <c r="L475" s="42"/>
      <c r="M475" s="42"/>
      <c r="N475" s="52"/>
    </row>
    <row r="476" spans="1:14" ht="20.100000000000001" customHeight="1" x14ac:dyDescent="0.25">
      <c r="A476" s="39"/>
      <c r="B476" s="67"/>
      <c r="C476" s="42"/>
      <c r="D476" s="52"/>
      <c r="E476" s="19"/>
      <c r="F476" s="19"/>
      <c r="G476" s="19"/>
      <c r="H476" s="42"/>
      <c r="I476" s="42"/>
      <c r="J476" s="42"/>
      <c r="K476" s="42"/>
      <c r="L476" s="42"/>
      <c r="M476" s="42"/>
      <c r="N476" s="52"/>
    </row>
    <row r="477" spans="1:14" ht="20.100000000000001" customHeight="1" x14ac:dyDescent="0.25">
      <c r="A477" s="39"/>
      <c r="B477" s="67"/>
      <c r="C477" s="42"/>
      <c r="D477" s="52"/>
      <c r="E477" s="19"/>
      <c r="F477" s="19"/>
      <c r="G477" s="19"/>
      <c r="H477" s="42"/>
      <c r="I477" s="42"/>
      <c r="J477" s="42"/>
      <c r="K477" s="42"/>
      <c r="L477" s="42"/>
      <c r="M477" s="42"/>
      <c r="N477" s="52"/>
    </row>
    <row r="478" spans="1:14" ht="20.100000000000001" customHeight="1" x14ac:dyDescent="0.25">
      <c r="A478" s="39"/>
      <c r="B478" s="67"/>
      <c r="C478" s="42"/>
      <c r="D478" s="52"/>
      <c r="E478" s="19"/>
      <c r="F478" s="19"/>
      <c r="G478" s="19"/>
      <c r="H478" s="42"/>
      <c r="I478" s="42"/>
      <c r="J478" s="42"/>
      <c r="K478" s="42"/>
      <c r="L478" s="42"/>
      <c r="M478" s="42"/>
      <c r="N478" s="52"/>
    </row>
    <row r="479" spans="1:14" ht="20.100000000000001" customHeight="1" x14ac:dyDescent="0.25">
      <c r="A479" s="39"/>
      <c r="B479" s="67"/>
      <c r="C479" s="42"/>
      <c r="D479" s="52"/>
      <c r="E479" s="19"/>
      <c r="F479" s="19"/>
      <c r="G479" s="19"/>
      <c r="H479" s="42"/>
      <c r="I479" s="42"/>
      <c r="J479" s="42"/>
      <c r="K479" s="42"/>
      <c r="L479" s="42"/>
      <c r="M479" s="42"/>
      <c r="N479" s="52"/>
    </row>
    <row r="480" spans="1:14" ht="20.100000000000001" customHeight="1" x14ac:dyDescent="0.25">
      <c r="A480" s="39"/>
      <c r="B480" s="67"/>
      <c r="C480" s="42"/>
      <c r="D480" s="52"/>
      <c r="E480" s="19"/>
      <c r="F480" s="19"/>
      <c r="G480" s="19"/>
      <c r="H480" s="42"/>
      <c r="I480" s="42"/>
      <c r="J480" s="42"/>
      <c r="K480" s="42"/>
      <c r="L480" s="42"/>
      <c r="M480" s="42"/>
      <c r="N480" s="52"/>
    </row>
    <row r="481" spans="1:14" ht="20.100000000000001" customHeight="1" x14ac:dyDescent="0.25">
      <c r="A481" s="39"/>
      <c r="B481" s="67"/>
      <c r="C481" s="42"/>
      <c r="D481" s="52"/>
      <c r="E481" s="19"/>
      <c r="F481" s="19"/>
      <c r="G481" s="19"/>
      <c r="H481" s="42"/>
      <c r="I481" s="42"/>
      <c r="J481" s="42"/>
      <c r="K481" s="42"/>
      <c r="L481" s="42"/>
      <c r="M481" s="42"/>
      <c r="N481" s="52"/>
    </row>
    <row r="482" spans="1:14" ht="20.100000000000001" customHeight="1" x14ac:dyDescent="0.25">
      <c r="A482" s="39"/>
      <c r="B482" s="67"/>
      <c r="C482" s="42"/>
      <c r="D482" s="52"/>
      <c r="E482" s="19"/>
      <c r="F482" s="19"/>
      <c r="G482" s="19"/>
      <c r="H482" s="42"/>
      <c r="I482" s="42"/>
      <c r="J482" s="42"/>
      <c r="K482" s="42"/>
      <c r="L482" s="42"/>
      <c r="M482" s="42"/>
      <c r="N482" s="52"/>
    </row>
    <row r="483" spans="1:14" ht="20.100000000000001" customHeight="1" x14ac:dyDescent="0.25">
      <c r="A483" s="39"/>
      <c r="B483" s="67"/>
      <c r="C483" s="42"/>
      <c r="D483" s="52"/>
      <c r="E483" s="19"/>
      <c r="F483" s="19"/>
      <c r="G483" s="19"/>
      <c r="H483" s="42"/>
      <c r="I483" s="42"/>
      <c r="J483" s="42"/>
      <c r="K483" s="42"/>
      <c r="L483" s="42"/>
      <c r="M483" s="42"/>
      <c r="N483" s="52"/>
    </row>
    <row r="484" spans="1:14" ht="20.100000000000001" customHeight="1" x14ac:dyDescent="0.25">
      <c r="A484" s="39"/>
      <c r="B484" s="67"/>
      <c r="C484" s="42"/>
      <c r="D484" s="52"/>
      <c r="E484" s="19"/>
      <c r="F484" s="19"/>
      <c r="G484" s="19"/>
      <c r="H484" s="42"/>
      <c r="I484" s="42"/>
      <c r="J484" s="42"/>
      <c r="K484" s="42"/>
      <c r="L484" s="42"/>
      <c r="M484" s="42"/>
      <c r="N484" s="52"/>
    </row>
    <row r="485" spans="1:14" ht="20.100000000000001" customHeight="1" x14ac:dyDescent="0.25">
      <c r="A485" s="39"/>
      <c r="B485" s="67"/>
      <c r="C485" s="42"/>
      <c r="D485" s="52"/>
      <c r="E485" s="19"/>
      <c r="F485" s="19"/>
      <c r="G485" s="19"/>
      <c r="H485" s="42"/>
      <c r="I485" s="42"/>
      <c r="J485" s="42"/>
      <c r="K485" s="42"/>
      <c r="L485" s="42"/>
      <c r="M485" s="42"/>
      <c r="N485" s="52"/>
    </row>
    <row r="486" spans="1:14" ht="20.100000000000001" customHeight="1" x14ac:dyDescent="0.25">
      <c r="A486" s="39"/>
      <c r="B486" s="67"/>
      <c r="C486" s="42"/>
      <c r="D486" s="52"/>
      <c r="E486" s="19"/>
      <c r="F486" s="19"/>
      <c r="G486" s="19"/>
      <c r="H486" s="42"/>
      <c r="I486" s="42"/>
      <c r="J486" s="42"/>
      <c r="K486" s="42"/>
      <c r="L486" s="42"/>
      <c r="M486" s="42"/>
      <c r="N486" s="52"/>
    </row>
    <row r="487" spans="1:14" ht="20.100000000000001" customHeight="1" x14ac:dyDescent="0.25">
      <c r="A487" s="39"/>
      <c r="B487" s="67"/>
      <c r="C487" s="42"/>
      <c r="D487" s="52"/>
      <c r="E487" s="19"/>
      <c r="F487" s="19"/>
      <c r="G487" s="19"/>
      <c r="H487" s="42"/>
      <c r="I487" s="42"/>
      <c r="J487" s="42"/>
      <c r="K487" s="42"/>
      <c r="L487" s="42"/>
      <c r="M487" s="42"/>
      <c r="N487" s="52"/>
    </row>
    <row r="488" spans="1:14" ht="20.100000000000001" customHeight="1" x14ac:dyDescent="0.25">
      <c r="A488" s="39"/>
      <c r="B488" s="67"/>
      <c r="C488" s="42"/>
      <c r="D488" s="52"/>
      <c r="E488" s="19"/>
      <c r="F488" s="19"/>
      <c r="G488" s="19"/>
      <c r="H488" s="42"/>
      <c r="I488" s="42"/>
      <c r="J488" s="42"/>
      <c r="K488" s="42"/>
      <c r="L488" s="42"/>
      <c r="M488" s="42"/>
      <c r="N488" s="52"/>
    </row>
    <row r="489" spans="1:14" ht="20.100000000000001" customHeight="1" x14ac:dyDescent="0.25">
      <c r="A489" s="39"/>
      <c r="B489" s="67"/>
      <c r="C489" s="42"/>
      <c r="D489" s="52"/>
      <c r="E489" s="19"/>
      <c r="F489" s="19"/>
      <c r="G489" s="19"/>
      <c r="H489" s="42"/>
      <c r="I489" s="42"/>
      <c r="J489" s="42"/>
      <c r="K489" s="42"/>
      <c r="L489" s="42"/>
      <c r="M489" s="42"/>
      <c r="N489" s="52"/>
    </row>
    <row r="490" spans="1:14" ht="20.100000000000001" customHeight="1" x14ac:dyDescent="0.25">
      <c r="A490" s="39"/>
      <c r="B490" s="67"/>
      <c r="C490" s="42"/>
      <c r="D490" s="52"/>
      <c r="E490" s="19"/>
      <c r="F490" s="19"/>
      <c r="G490" s="19"/>
      <c r="H490" s="42"/>
      <c r="I490" s="42"/>
      <c r="J490" s="42"/>
      <c r="K490" s="42"/>
      <c r="L490" s="42"/>
      <c r="M490" s="42"/>
      <c r="N490" s="52"/>
    </row>
    <row r="491" spans="1:14" ht="20.100000000000001" customHeight="1" x14ac:dyDescent="0.25">
      <c r="A491" s="39"/>
      <c r="B491" s="67"/>
      <c r="C491" s="42"/>
      <c r="D491" s="52"/>
      <c r="E491" s="19"/>
      <c r="F491" s="19"/>
      <c r="G491" s="19"/>
      <c r="H491" s="42"/>
      <c r="I491" s="42"/>
      <c r="J491" s="42"/>
      <c r="K491" s="42"/>
      <c r="L491" s="42"/>
      <c r="M491" s="42"/>
      <c r="N491" s="52"/>
    </row>
    <row r="492" spans="1:14" ht="20.100000000000001" customHeight="1" x14ac:dyDescent="0.25">
      <c r="A492" s="39"/>
      <c r="B492" s="67"/>
      <c r="C492" s="42"/>
      <c r="D492" s="52"/>
      <c r="E492" s="19"/>
      <c r="F492" s="19"/>
      <c r="G492" s="19"/>
      <c r="H492" s="42"/>
      <c r="I492" s="42"/>
      <c r="J492" s="42"/>
      <c r="K492" s="42"/>
      <c r="L492" s="42"/>
      <c r="M492" s="42"/>
      <c r="N492" s="52"/>
    </row>
    <row r="493" spans="1:14" ht="20.100000000000001" customHeight="1" x14ac:dyDescent="0.25">
      <c r="A493" s="39"/>
      <c r="B493" s="67"/>
      <c r="C493" s="42"/>
      <c r="D493" s="52"/>
      <c r="E493" s="19"/>
      <c r="F493" s="19"/>
      <c r="G493" s="19"/>
      <c r="H493" s="42"/>
      <c r="I493" s="42"/>
      <c r="J493" s="42"/>
      <c r="K493" s="42"/>
      <c r="L493" s="42"/>
      <c r="M493" s="42"/>
      <c r="N493" s="52"/>
    </row>
    <row r="494" spans="1:14" ht="20.100000000000001" customHeight="1" x14ac:dyDescent="0.25">
      <c r="A494" s="39"/>
      <c r="B494" s="67"/>
      <c r="C494" s="42"/>
      <c r="D494" s="52"/>
      <c r="E494" s="19"/>
      <c r="F494" s="19"/>
      <c r="G494" s="19"/>
      <c r="H494" s="42"/>
      <c r="I494" s="42"/>
      <c r="J494" s="42"/>
      <c r="K494" s="42"/>
      <c r="L494" s="42"/>
      <c r="M494" s="42"/>
      <c r="N494" s="52"/>
    </row>
    <row r="495" spans="1:14" ht="20.100000000000001" customHeight="1" x14ac:dyDescent="0.25">
      <c r="A495" s="39"/>
      <c r="B495" s="67"/>
      <c r="C495" s="42"/>
      <c r="D495" s="52"/>
      <c r="E495" s="19"/>
      <c r="F495" s="19"/>
      <c r="G495" s="19"/>
      <c r="H495" s="42"/>
      <c r="I495" s="42"/>
      <c r="J495" s="42"/>
      <c r="K495" s="42"/>
      <c r="L495" s="42"/>
      <c r="M495" s="42"/>
      <c r="N495" s="52"/>
    </row>
    <row r="496" spans="1:14" ht="20.100000000000001" customHeight="1" x14ac:dyDescent="0.25">
      <c r="A496" s="39"/>
      <c r="B496" s="67"/>
      <c r="C496" s="42"/>
      <c r="D496" s="52"/>
      <c r="E496" s="19"/>
      <c r="F496" s="19"/>
      <c r="G496" s="19"/>
      <c r="H496" s="42"/>
      <c r="I496" s="42"/>
      <c r="J496" s="42"/>
      <c r="K496" s="42"/>
      <c r="L496" s="42"/>
      <c r="M496" s="42"/>
      <c r="N496" s="52"/>
    </row>
    <row r="497" spans="1:14" ht="20.100000000000001" customHeight="1" x14ac:dyDescent="0.25">
      <c r="A497" s="39"/>
      <c r="B497" s="67"/>
      <c r="C497" s="42"/>
      <c r="D497" s="52"/>
      <c r="E497" s="19"/>
      <c r="F497" s="19"/>
      <c r="G497" s="19"/>
      <c r="H497" s="42"/>
      <c r="I497" s="42"/>
      <c r="J497" s="42"/>
      <c r="K497" s="42"/>
      <c r="L497" s="42"/>
      <c r="M497" s="42"/>
      <c r="N497" s="52"/>
    </row>
    <row r="498" spans="1:14" ht="20.100000000000001" customHeight="1" x14ac:dyDescent="0.25">
      <c r="A498" s="39"/>
      <c r="B498" s="67"/>
      <c r="C498" s="42"/>
      <c r="D498" s="52"/>
      <c r="E498" s="19"/>
      <c r="F498" s="19"/>
      <c r="G498" s="19"/>
      <c r="H498" s="42"/>
      <c r="I498" s="42"/>
      <c r="J498" s="42"/>
      <c r="K498" s="42"/>
      <c r="L498" s="42"/>
      <c r="M498" s="42"/>
      <c r="N498" s="52"/>
    </row>
    <row r="499" spans="1:14" ht="20.100000000000001" customHeight="1" x14ac:dyDescent="0.25">
      <c r="A499" s="39"/>
      <c r="B499" s="67"/>
      <c r="C499" s="42"/>
      <c r="D499" s="52"/>
      <c r="E499" s="19"/>
      <c r="F499" s="19"/>
      <c r="G499" s="19"/>
      <c r="H499" s="42"/>
      <c r="I499" s="42"/>
      <c r="J499" s="42"/>
      <c r="K499" s="42"/>
      <c r="L499" s="42"/>
      <c r="M499" s="42"/>
      <c r="N499" s="52"/>
    </row>
    <row r="500" spans="1:14" ht="20.100000000000001" customHeight="1" x14ac:dyDescent="0.25">
      <c r="A500" s="39"/>
      <c r="B500" s="67"/>
      <c r="C500" s="42"/>
      <c r="D500" s="52"/>
      <c r="E500" s="19"/>
      <c r="F500" s="19"/>
      <c r="G500" s="19"/>
      <c r="H500" s="42"/>
      <c r="I500" s="42"/>
      <c r="J500" s="42"/>
      <c r="K500" s="42"/>
      <c r="L500" s="42"/>
      <c r="M500" s="42"/>
      <c r="N500" s="52"/>
    </row>
    <row r="501" spans="1:14" ht="20.100000000000001" customHeight="1" x14ac:dyDescent="0.25">
      <c r="A501" s="39"/>
      <c r="B501" s="67"/>
      <c r="C501" s="42"/>
      <c r="D501" s="52"/>
      <c r="E501" s="19"/>
      <c r="F501" s="19"/>
      <c r="G501" s="19"/>
      <c r="H501" s="42"/>
      <c r="I501" s="42"/>
      <c r="J501" s="42"/>
      <c r="K501" s="42"/>
      <c r="L501" s="42"/>
      <c r="M501" s="42"/>
      <c r="N501" s="52"/>
    </row>
    <row r="502" spans="1:14" ht="20.100000000000001" customHeight="1" x14ac:dyDescent="0.25">
      <c r="A502" s="39"/>
      <c r="B502" s="67"/>
      <c r="C502" s="42"/>
      <c r="D502" s="52"/>
      <c r="E502" s="19"/>
      <c r="F502" s="19"/>
      <c r="G502" s="19"/>
      <c r="H502" s="42"/>
      <c r="I502" s="42"/>
      <c r="J502" s="42"/>
      <c r="K502" s="42"/>
      <c r="L502" s="42"/>
      <c r="M502" s="42"/>
      <c r="N502" s="52"/>
    </row>
    <row r="503" spans="1:14" ht="20.100000000000001" customHeight="1" x14ac:dyDescent="0.25">
      <c r="A503" s="39"/>
      <c r="B503" s="67"/>
      <c r="C503" s="42"/>
      <c r="D503" s="52"/>
      <c r="E503" s="19"/>
      <c r="F503" s="19"/>
      <c r="G503" s="19"/>
      <c r="H503" s="42"/>
      <c r="I503" s="42"/>
      <c r="J503" s="42"/>
      <c r="K503" s="42"/>
      <c r="L503" s="42"/>
      <c r="M503" s="42"/>
      <c r="N503" s="52"/>
    </row>
    <row r="504" spans="1:14" ht="20.100000000000001" customHeight="1" x14ac:dyDescent="0.25">
      <c r="A504" s="39"/>
      <c r="B504" s="67"/>
      <c r="C504" s="42"/>
      <c r="D504" s="52"/>
      <c r="E504" s="19"/>
      <c r="F504" s="19"/>
      <c r="G504" s="19"/>
      <c r="H504" s="42"/>
      <c r="I504" s="42"/>
      <c r="J504" s="42"/>
      <c r="K504" s="42"/>
      <c r="L504" s="42"/>
      <c r="M504" s="42"/>
      <c r="N504" s="52"/>
    </row>
    <row r="505" spans="1:14" ht="20.100000000000001" customHeight="1" x14ac:dyDescent="0.25">
      <c r="A505" s="39"/>
      <c r="B505" s="67"/>
      <c r="C505" s="42"/>
      <c r="D505" s="52"/>
      <c r="E505" s="19"/>
      <c r="F505" s="19"/>
      <c r="G505" s="19"/>
      <c r="H505" s="42"/>
      <c r="I505" s="42"/>
      <c r="J505" s="42"/>
      <c r="K505" s="42"/>
      <c r="L505" s="42"/>
      <c r="M505" s="42"/>
      <c r="N505" s="52"/>
    </row>
    <row r="506" spans="1:14" ht="20.100000000000001" customHeight="1" x14ac:dyDescent="0.25">
      <c r="A506" s="39"/>
      <c r="B506" s="67"/>
      <c r="C506" s="42"/>
      <c r="D506" s="52"/>
      <c r="E506" s="19"/>
      <c r="F506" s="19"/>
      <c r="G506" s="19"/>
      <c r="H506" s="42"/>
      <c r="I506" s="42"/>
      <c r="J506" s="42"/>
      <c r="K506" s="42"/>
      <c r="L506" s="42"/>
      <c r="M506" s="42"/>
      <c r="N506" s="52"/>
    </row>
    <row r="507" spans="1:14" ht="20.100000000000001" customHeight="1" x14ac:dyDescent="0.25">
      <c r="A507" s="39"/>
      <c r="B507" s="67"/>
      <c r="C507" s="42"/>
      <c r="D507" s="52"/>
      <c r="E507" s="19"/>
      <c r="F507" s="19"/>
      <c r="G507" s="19"/>
      <c r="H507" s="42"/>
      <c r="I507" s="42"/>
      <c r="J507" s="42"/>
      <c r="K507" s="42"/>
      <c r="L507" s="42"/>
      <c r="M507" s="42"/>
      <c r="N507" s="52"/>
    </row>
    <row r="508" spans="1:14" ht="20.100000000000001" customHeight="1" x14ac:dyDescent="0.25">
      <c r="A508" s="39"/>
      <c r="B508" s="67"/>
      <c r="C508" s="42"/>
      <c r="D508" s="52"/>
      <c r="E508" s="19"/>
      <c r="F508" s="19"/>
      <c r="G508" s="19"/>
      <c r="H508" s="42"/>
      <c r="I508" s="42"/>
      <c r="J508" s="42"/>
      <c r="K508" s="42"/>
      <c r="L508" s="42"/>
      <c r="M508" s="42"/>
      <c r="N508" s="52"/>
    </row>
    <row r="509" spans="1:14" ht="20.100000000000001" customHeight="1" x14ac:dyDescent="0.25">
      <c r="A509" s="39"/>
      <c r="B509" s="67"/>
      <c r="C509" s="42"/>
      <c r="D509" s="52"/>
      <c r="E509" s="19"/>
      <c r="F509" s="19"/>
      <c r="G509" s="19"/>
      <c r="H509" s="42"/>
      <c r="I509" s="42"/>
      <c r="J509" s="42"/>
      <c r="K509" s="42"/>
      <c r="L509" s="42"/>
      <c r="M509" s="42"/>
      <c r="N509" s="52"/>
    </row>
    <row r="510" spans="1:14" ht="20.100000000000001" customHeight="1" x14ac:dyDescent="0.25">
      <c r="A510" s="39"/>
      <c r="B510" s="67"/>
      <c r="C510" s="42"/>
      <c r="D510" s="52"/>
      <c r="E510" s="19"/>
      <c r="F510" s="19"/>
      <c r="G510" s="19"/>
      <c r="H510" s="42"/>
      <c r="I510" s="42"/>
      <c r="J510" s="42"/>
      <c r="K510" s="42"/>
      <c r="L510" s="42"/>
      <c r="M510" s="42"/>
      <c r="N510" s="52"/>
    </row>
    <row r="511" spans="1:14" ht="20.100000000000001" customHeight="1" x14ac:dyDescent="0.25">
      <c r="A511" s="39"/>
      <c r="B511" s="67"/>
      <c r="C511" s="42"/>
      <c r="D511" s="52"/>
      <c r="E511" s="19"/>
      <c r="F511" s="19"/>
      <c r="G511" s="19"/>
      <c r="H511" s="42"/>
      <c r="I511" s="42"/>
      <c r="J511" s="42"/>
      <c r="K511" s="42"/>
      <c r="L511" s="42"/>
      <c r="M511" s="42"/>
      <c r="N511" s="52"/>
    </row>
    <row r="512" spans="1:14" ht="20.100000000000001" customHeight="1" x14ac:dyDescent="0.25">
      <c r="A512" s="39"/>
      <c r="B512" s="67"/>
      <c r="C512" s="42"/>
      <c r="D512" s="52"/>
      <c r="E512" s="19"/>
      <c r="F512" s="19"/>
      <c r="G512" s="19"/>
      <c r="H512" s="42"/>
      <c r="I512" s="42"/>
      <c r="J512" s="42"/>
      <c r="K512" s="42"/>
      <c r="L512" s="42"/>
      <c r="M512" s="42"/>
      <c r="N512" s="52"/>
    </row>
    <row r="513" spans="1:14" ht="20.100000000000001" customHeight="1" x14ac:dyDescent="0.25">
      <c r="A513" s="39"/>
      <c r="B513" s="67"/>
      <c r="C513" s="42"/>
      <c r="D513" s="52"/>
      <c r="E513" s="19"/>
      <c r="F513" s="19"/>
      <c r="G513" s="19"/>
      <c r="H513" s="42"/>
      <c r="I513" s="42"/>
      <c r="J513" s="42"/>
      <c r="K513" s="42"/>
      <c r="L513" s="42"/>
      <c r="M513" s="42"/>
      <c r="N513" s="52"/>
    </row>
    <row r="514" spans="1:14" ht="20.100000000000001" customHeight="1" x14ac:dyDescent="0.25">
      <c r="A514" s="39"/>
      <c r="B514" s="67"/>
      <c r="C514" s="42"/>
      <c r="D514" s="52"/>
      <c r="E514" s="19"/>
      <c r="F514" s="19"/>
      <c r="G514" s="19"/>
      <c r="H514" s="42"/>
      <c r="I514" s="42"/>
      <c r="J514" s="42"/>
      <c r="K514" s="42"/>
      <c r="L514" s="42"/>
      <c r="M514" s="42"/>
      <c r="N514" s="52"/>
    </row>
    <row r="515" spans="1:14" ht="20.100000000000001" customHeight="1" x14ac:dyDescent="0.25">
      <c r="A515" s="39"/>
      <c r="B515" s="67"/>
      <c r="C515" s="42"/>
      <c r="D515" s="52"/>
      <c r="E515" s="19"/>
      <c r="F515" s="19"/>
      <c r="G515" s="19"/>
      <c r="H515" s="42"/>
      <c r="I515" s="42"/>
      <c r="J515" s="42"/>
      <c r="K515" s="42"/>
      <c r="L515" s="42"/>
      <c r="M515" s="42"/>
      <c r="N515" s="52"/>
    </row>
    <row r="516" spans="1:14" ht="20.100000000000001" customHeight="1" x14ac:dyDescent="0.25">
      <c r="A516" s="39"/>
      <c r="B516" s="67"/>
      <c r="C516" s="42"/>
      <c r="D516" s="52"/>
      <c r="E516" s="19"/>
      <c r="F516" s="19"/>
      <c r="G516" s="19"/>
      <c r="H516" s="42"/>
      <c r="I516" s="42"/>
      <c r="J516" s="42"/>
      <c r="K516" s="42"/>
      <c r="L516" s="42"/>
      <c r="M516" s="42"/>
      <c r="N516" s="52"/>
    </row>
    <row r="517" spans="1:14" ht="20.100000000000001" customHeight="1" x14ac:dyDescent="0.25">
      <c r="A517" s="39"/>
      <c r="B517" s="67"/>
      <c r="C517" s="42"/>
      <c r="D517" s="52"/>
      <c r="E517" s="19"/>
      <c r="F517" s="19"/>
      <c r="G517" s="19"/>
      <c r="H517" s="42"/>
      <c r="I517" s="42"/>
      <c r="J517" s="42"/>
      <c r="K517" s="42"/>
      <c r="L517" s="42"/>
      <c r="M517" s="42"/>
      <c r="N517" s="52"/>
    </row>
    <row r="518" spans="1:14" ht="20.100000000000001" customHeight="1" x14ac:dyDescent="0.25">
      <c r="A518" s="39"/>
      <c r="B518" s="67"/>
      <c r="C518" s="42"/>
      <c r="D518" s="52"/>
      <c r="E518" s="19"/>
      <c r="F518" s="19"/>
      <c r="G518" s="19"/>
      <c r="H518" s="42"/>
      <c r="I518" s="42"/>
      <c r="J518" s="42"/>
      <c r="K518" s="42"/>
      <c r="L518" s="42"/>
      <c r="M518" s="42"/>
      <c r="N518" s="52"/>
    </row>
    <row r="519" spans="1:14" ht="20.100000000000001" customHeight="1" x14ac:dyDescent="0.25">
      <c r="A519" s="39"/>
      <c r="B519" s="67"/>
      <c r="C519" s="42"/>
      <c r="D519" s="52"/>
      <c r="E519" s="19"/>
      <c r="F519" s="19"/>
      <c r="G519" s="19"/>
      <c r="H519" s="42"/>
      <c r="I519" s="42"/>
      <c r="J519" s="42"/>
      <c r="K519" s="42"/>
      <c r="L519" s="42"/>
      <c r="M519" s="42"/>
      <c r="N519" s="52"/>
    </row>
    <row r="520" spans="1:14" ht="20.100000000000001" customHeight="1" x14ac:dyDescent="0.25">
      <c r="A520" s="39"/>
      <c r="B520" s="67"/>
      <c r="C520" s="42"/>
      <c r="D520" s="52"/>
      <c r="E520" s="19"/>
      <c r="F520" s="19"/>
      <c r="G520" s="19"/>
      <c r="H520" s="42"/>
      <c r="I520" s="42"/>
      <c r="J520" s="42"/>
      <c r="K520" s="42"/>
      <c r="L520" s="42"/>
      <c r="M520" s="42"/>
      <c r="N520" s="52"/>
    </row>
    <row r="521" spans="1:14" ht="20.100000000000001" customHeight="1" x14ac:dyDescent="0.25">
      <c r="A521" s="39"/>
      <c r="B521" s="67"/>
      <c r="C521" s="42"/>
      <c r="D521" s="52"/>
      <c r="E521" s="19"/>
      <c r="F521" s="19"/>
      <c r="G521" s="19"/>
      <c r="H521" s="42"/>
      <c r="I521" s="42"/>
      <c r="J521" s="42"/>
      <c r="K521" s="42"/>
      <c r="L521" s="42"/>
      <c r="M521" s="42"/>
      <c r="N521" s="52"/>
    </row>
    <row r="522" spans="1:14" ht="20.100000000000001" customHeight="1" x14ac:dyDescent="0.25">
      <c r="A522" s="39"/>
      <c r="B522" s="67"/>
      <c r="C522" s="42"/>
      <c r="D522" s="52"/>
      <c r="E522" s="19"/>
      <c r="F522" s="19"/>
      <c r="G522" s="19"/>
      <c r="H522" s="42"/>
      <c r="I522" s="42"/>
      <c r="J522" s="42"/>
      <c r="K522" s="42"/>
      <c r="L522" s="42"/>
      <c r="M522" s="42"/>
      <c r="N522" s="52"/>
    </row>
    <row r="523" spans="1:14" ht="20.100000000000001" customHeight="1" x14ac:dyDescent="0.25">
      <c r="A523" s="39"/>
      <c r="B523" s="67"/>
      <c r="C523" s="42"/>
      <c r="D523" s="52"/>
      <c r="E523" s="19"/>
      <c r="F523" s="19"/>
      <c r="G523" s="19"/>
      <c r="H523" s="42"/>
      <c r="I523" s="42"/>
      <c r="J523" s="42"/>
      <c r="K523" s="42"/>
      <c r="L523" s="42"/>
      <c r="M523" s="42"/>
      <c r="N523" s="52"/>
    </row>
    <row r="524" spans="1:14" ht="20.100000000000001" customHeight="1" x14ac:dyDescent="0.25">
      <c r="A524" s="39"/>
      <c r="B524" s="67"/>
      <c r="C524" s="42"/>
      <c r="D524" s="52"/>
      <c r="E524" s="19"/>
      <c r="F524" s="19"/>
      <c r="G524" s="19"/>
      <c r="H524" s="42"/>
      <c r="I524" s="42"/>
      <c r="J524" s="42"/>
      <c r="K524" s="42"/>
      <c r="L524" s="42"/>
      <c r="M524" s="42"/>
      <c r="N524" s="52"/>
    </row>
    <row r="525" spans="1:14" ht="20.100000000000001" customHeight="1" x14ac:dyDescent="0.25">
      <c r="A525" s="39"/>
      <c r="B525" s="67"/>
      <c r="C525" s="42"/>
      <c r="D525" s="52"/>
      <c r="E525" s="19"/>
      <c r="F525" s="19"/>
      <c r="G525" s="19"/>
      <c r="H525" s="42"/>
      <c r="I525" s="42"/>
      <c r="J525" s="42"/>
      <c r="K525" s="42"/>
      <c r="L525" s="42"/>
      <c r="M525" s="42"/>
      <c r="N525" s="52"/>
    </row>
    <row r="526" spans="1:14" ht="20.100000000000001" customHeight="1" x14ac:dyDescent="0.25">
      <c r="A526" s="39"/>
      <c r="B526" s="67"/>
      <c r="C526" s="42"/>
      <c r="D526" s="52"/>
      <c r="E526" s="19"/>
      <c r="F526" s="19"/>
      <c r="G526" s="19"/>
      <c r="H526" s="42"/>
      <c r="I526" s="42"/>
      <c r="J526" s="42"/>
      <c r="K526" s="42"/>
      <c r="L526" s="42"/>
      <c r="M526" s="42"/>
      <c r="N526" s="52"/>
    </row>
    <row r="527" spans="1:14" ht="20.100000000000001" customHeight="1" x14ac:dyDescent="0.25">
      <c r="A527" s="39"/>
      <c r="B527" s="67"/>
      <c r="C527" s="42"/>
      <c r="D527" s="52"/>
      <c r="E527" s="19"/>
      <c r="F527" s="19"/>
      <c r="G527" s="19"/>
      <c r="H527" s="42"/>
      <c r="I527" s="42"/>
      <c r="J527" s="42"/>
      <c r="K527" s="42"/>
      <c r="L527" s="42"/>
      <c r="M527" s="42"/>
      <c r="N527" s="52"/>
    </row>
    <row r="528" spans="1:14" ht="20.100000000000001" customHeight="1" x14ac:dyDescent="0.25">
      <c r="A528" s="39"/>
      <c r="B528" s="67"/>
      <c r="C528" s="42"/>
      <c r="D528" s="52"/>
      <c r="E528" s="19"/>
      <c r="F528" s="19"/>
      <c r="G528" s="19"/>
      <c r="H528" s="42"/>
      <c r="I528" s="42"/>
      <c r="J528" s="42"/>
      <c r="K528" s="42"/>
      <c r="L528" s="42"/>
      <c r="M528" s="42"/>
      <c r="N528" s="52"/>
    </row>
    <row r="529" spans="1:14" ht="20.100000000000001" customHeight="1" x14ac:dyDescent="0.25">
      <c r="A529" s="39"/>
      <c r="B529" s="67"/>
      <c r="C529" s="42"/>
      <c r="D529" s="52"/>
      <c r="E529" s="19"/>
      <c r="F529" s="19"/>
      <c r="G529" s="19"/>
      <c r="H529" s="42"/>
      <c r="I529" s="42"/>
      <c r="J529" s="42"/>
      <c r="K529" s="42"/>
      <c r="L529" s="42"/>
      <c r="M529" s="42"/>
      <c r="N529" s="52"/>
    </row>
    <row r="530" spans="1:14" ht="20.100000000000001" customHeight="1" x14ac:dyDescent="0.25">
      <c r="A530" s="39"/>
      <c r="B530" s="67"/>
      <c r="C530" s="42"/>
      <c r="D530" s="52"/>
      <c r="E530" s="19"/>
      <c r="F530" s="19"/>
      <c r="G530" s="19"/>
      <c r="H530" s="42"/>
      <c r="I530" s="42"/>
      <c r="J530" s="42"/>
      <c r="K530" s="42"/>
      <c r="L530" s="42"/>
      <c r="M530" s="42"/>
      <c r="N530" s="52"/>
    </row>
    <row r="531" spans="1:14" ht="20.100000000000001" customHeight="1" x14ac:dyDescent="0.25">
      <c r="A531" s="39"/>
      <c r="B531" s="67"/>
      <c r="C531" s="42"/>
      <c r="D531" s="52"/>
      <c r="E531" s="19"/>
      <c r="F531" s="19"/>
      <c r="G531" s="19"/>
      <c r="H531" s="42"/>
      <c r="I531" s="42"/>
      <c r="J531" s="42"/>
      <c r="K531" s="42"/>
      <c r="L531" s="42"/>
      <c r="M531" s="42"/>
      <c r="N531" s="52"/>
    </row>
    <row r="532" spans="1:14" ht="20.100000000000001" customHeight="1" x14ac:dyDescent="0.25">
      <c r="A532" s="39"/>
      <c r="B532" s="67"/>
      <c r="C532" s="42"/>
      <c r="D532" s="52"/>
      <c r="E532" s="19"/>
      <c r="F532" s="19"/>
      <c r="G532" s="19"/>
      <c r="H532" s="42"/>
      <c r="I532" s="42"/>
      <c r="J532" s="42"/>
      <c r="K532" s="42"/>
      <c r="L532" s="42"/>
      <c r="M532" s="42"/>
      <c r="N532" s="52"/>
    </row>
    <row r="533" spans="1:14" ht="20.100000000000001" customHeight="1" x14ac:dyDescent="0.25">
      <c r="A533" s="39"/>
      <c r="B533" s="67"/>
      <c r="C533" s="42"/>
      <c r="D533" s="52"/>
      <c r="E533" s="19"/>
      <c r="F533" s="19"/>
      <c r="G533" s="19"/>
      <c r="H533" s="42"/>
      <c r="I533" s="42"/>
      <c r="J533" s="42"/>
      <c r="K533" s="42"/>
      <c r="L533" s="42"/>
      <c r="M533" s="42"/>
      <c r="N533" s="52"/>
    </row>
    <row r="534" spans="1:14" ht="20.100000000000001" customHeight="1" x14ac:dyDescent="0.25">
      <c r="A534" s="39"/>
      <c r="B534" s="67"/>
      <c r="C534" s="42"/>
      <c r="D534" s="52"/>
      <c r="E534" s="19"/>
      <c r="F534" s="19"/>
      <c r="G534" s="19"/>
      <c r="H534" s="42"/>
      <c r="I534" s="42"/>
      <c r="J534" s="42"/>
      <c r="K534" s="42"/>
      <c r="L534" s="42"/>
      <c r="M534" s="42"/>
      <c r="N534" s="52"/>
    </row>
    <row r="535" spans="1:14" ht="20.100000000000001" customHeight="1" x14ac:dyDescent="0.25">
      <c r="A535" s="39"/>
      <c r="B535" s="67"/>
      <c r="C535" s="42"/>
      <c r="D535" s="52"/>
      <c r="E535" s="19"/>
      <c r="F535" s="19"/>
      <c r="G535" s="19"/>
      <c r="H535" s="42"/>
      <c r="I535" s="42"/>
      <c r="J535" s="42"/>
      <c r="K535" s="42"/>
      <c r="L535" s="42"/>
      <c r="M535" s="42"/>
      <c r="N535" s="52"/>
    </row>
    <row r="536" spans="1:14" ht="20.100000000000001" customHeight="1" x14ac:dyDescent="0.25">
      <c r="A536" s="39"/>
      <c r="B536" s="67"/>
      <c r="C536" s="42"/>
      <c r="D536" s="52"/>
      <c r="E536" s="19"/>
      <c r="F536" s="19"/>
      <c r="G536" s="19"/>
      <c r="H536" s="42"/>
      <c r="I536" s="42"/>
      <c r="J536" s="42"/>
      <c r="K536" s="42"/>
      <c r="L536" s="42"/>
      <c r="M536" s="42"/>
      <c r="N536" s="52"/>
    </row>
    <row r="537" spans="1:14" ht="20.100000000000001" customHeight="1" x14ac:dyDescent="0.25">
      <c r="A537" s="39"/>
      <c r="B537" s="67"/>
      <c r="C537" s="42"/>
      <c r="D537" s="52"/>
      <c r="E537" s="19"/>
      <c r="F537" s="19"/>
      <c r="G537" s="19"/>
      <c r="H537" s="42"/>
      <c r="I537" s="42"/>
      <c r="J537" s="42"/>
      <c r="K537" s="42"/>
      <c r="L537" s="42"/>
      <c r="M537" s="42"/>
      <c r="N537" s="52"/>
    </row>
    <row r="538" spans="1:14" ht="20.100000000000001" customHeight="1" x14ac:dyDescent="0.25">
      <c r="A538" s="39"/>
      <c r="B538" s="67"/>
      <c r="C538" s="42"/>
      <c r="D538" s="52"/>
      <c r="E538" s="19"/>
      <c r="F538" s="19"/>
      <c r="G538" s="19"/>
      <c r="H538" s="42"/>
      <c r="I538" s="42"/>
      <c r="J538" s="42"/>
      <c r="K538" s="42"/>
      <c r="L538" s="42"/>
      <c r="M538" s="42"/>
      <c r="N538" s="52"/>
    </row>
    <row r="539" spans="1:14" ht="20.100000000000001" customHeight="1" x14ac:dyDescent="0.25">
      <c r="A539" s="39"/>
      <c r="B539" s="67"/>
      <c r="C539" s="42"/>
      <c r="D539" s="52"/>
      <c r="E539" s="19"/>
      <c r="F539" s="19"/>
      <c r="G539" s="19"/>
      <c r="H539" s="42"/>
      <c r="I539" s="42"/>
      <c r="J539" s="42"/>
      <c r="K539" s="42"/>
      <c r="L539" s="42"/>
      <c r="M539" s="42"/>
      <c r="N539" s="52"/>
    </row>
    <row r="540" spans="1:14" ht="20.100000000000001" customHeight="1" x14ac:dyDescent="0.25">
      <c r="A540" s="39"/>
      <c r="B540" s="67"/>
      <c r="C540" s="42"/>
      <c r="D540" s="52"/>
      <c r="E540" s="19"/>
      <c r="F540" s="19"/>
      <c r="G540" s="19"/>
      <c r="H540" s="42"/>
      <c r="I540" s="42"/>
      <c r="J540" s="42"/>
      <c r="K540" s="42"/>
      <c r="L540" s="42"/>
      <c r="M540" s="42"/>
      <c r="N540" s="52"/>
    </row>
    <row r="541" spans="1:14" ht="20.100000000000001" customHeight="1" x14ac:dyDescent="0.25">
      <c r="A541" s="39"/>
      <c r="B541" s="67"/>
      <c r="C541" s="42"/>
      <c r="D541" s="52"/>
      <c r="E541" s="19"/>
      <c r="F541" s="19"/>
      <c r="G541" s="19"/>
      <c r="H541" s="42"/>
      <c r="I541" s="42"/>
      <c r="J541" s="42"/>
      <c r="K541" s="42"/>
      <c r="L541" s="42"/>
      <c r="M541" s="42"/>
      <c r="N541" s="52"/>
    </row>
    <row r="542" spans="1:14" ht="20.100000000000001" customHeight="1" x14ac:dyDescent="0.25">
      <c r="A542" s="39"/>
      <c r="B542" s="67"/>
      <c r="C542" s="42"/>
      <c r="D542" s="52"/>
      <c r="E542" s="19"/>
      <c r="F542" s="19"/>
      <c r="G542" s="19"/>
      <c r="H542" s="42"/>
      <c r="I542" s="42"/>
      <c r="J542" s="42"/>
      <c r="K542" s="42"/>
      <c r="L542" s="42"/>
      <c r="M542" s="42"/>
      <c r="N542" s="52"/>
    </row>
    <row r="543" spans="1:14" ht="20.100000000000001" customHeight="1" x14ac:dyDescent="0.25">
      <c r="A543" s="39"/>
      <c r="B543" s="67"/>
      <c r="C543" s="42"/>
      <c r="D543" s="52"/>
      <c r="E543" s="19"/>
      <c r="F543" s="19"/>
      <c r="G543" s="19"/>
      <c r="H543" s="42"/>
      <c r="I543" s="42"/>
      <c r="J543" s="42"/>
      <c r="K543" s="42"/>
      <c r="L543" s="42"/>
      <c r="M543" s="42"/>
      <c r="N543" s="52"/>
    </row>
    <row r="544" spans="1:14" ht="20.100000000000001" customHeight="1" x14ac:dyDescent="0.25">
      <c r="A544" s="39"/>
      <c r="B544" s="67"/>
      <c r="C544" s="42"/>
      <c r="D544" s="52"/>
      <c r="E544" s="19"/>
      <c r="F544" s="19"/>
      <c r="G544" s="19"/>
      <c r="H544" s="42"/>
      <c r="I544" s="42"/>
      <c r="J544" s="42"/>
      <c r="K544" s="42"/>
      <c r="L544" s="42"/>
      <c r="M544" s="42"/>
      <c r="N544" s="52"/>
    </row>
    <row r="545" spans="1:14" ht="20.100000000000001" customHeight="1" x14ac:dyDescent="0.25">
      <c r="A545" s="39"/>
      <c r="B545" s="67"/>
      <c r="C545" s="42"/>
      <c r="D545" s="52"/>
      <c r="E545" s="19"/>
      <c r="F545" s="19"/>
      <c r="G545" s="19"/>
      <c r="H545" s="42"/>
      <c r="I545" s="42"/>
      <c r="J545" s="42"/>
      <c r="K545" s="42"/>
      <c r="L545" s="42"/>
      <c r="M545" s="42"/>
      <c r="N545" s="52"/>
    </row>
    <row r="546" spans="1:14" ht="20.100000000000001" customHeight="1" x14ac:dyDescent="0.25">
      <c r="A546" s="39"/>
      <c r="B546" s="67"/>
      <c r="C546" s="42"/>
      <c r="D546" s="52"/>
      <c r="E546" s="19"/>
      <c r="F546" s="19"/>
      <c r="G546" s="19"/>
      <c r="H546" s="42"/>
      <c r="I546" s="42"/>
      <c r="J546" s="42"/>
      <c r="K546" s="42"/>
      <c r="L546" s="42"/>
      <c r="M546" s="42"/>
      <c r="N546" s="52"/>
    </row>
    <row r="547" spans="1:14" ht="20.100000000000001" customHeight="1" x14ac:dyDescent="0.25">
      <c r="A547" s="39"/>
      <c r="B547" s="67"/>
      <c r="C547" s="42"/>
      <c r="D547" s="52"/>
      <c r="E547" s="19"/>
      <c r="F547" s="19"/>
      <c r="G547" s="19"/>
      <c r="H547" s="42"/>
      <c r="I547" s="42"/>
      <c r="J547" s="42"/>
      <c r="K547" s="42"/>
      <c r="L547" s="42"/>
      <c r="M547" s="42"/>
      <c r="N547" s="52"/>
    </row>
    <row r="548" spans="1:14" ht="20.100000000000001" customHeight="1" x14ac:dyDescent="0.25">
      <c r="A548" s="39"/>
      <c r="B548" s="67"/>
      <c r="C548" s="42"/>
      <c r="D548" s="52"/>
      <c r="E548" s="19"/>
      <c r="F548" s="19"/>
      <c r="G548" s="19"/>
      <c r="H548" s="42"/>
      <c r="I548" s="42"/>
      <c r="J548" s="42"/>
      <c r="K548" s="42"/>
      <c r="L548" s="42"/>
      <c r="M548" s="42"/>
      <c r="N548" s="52"/>
    </row>
    <row r="549" spans="1:14" ht="20.100000000000001" customHeight="1" x14ac:dyDescent="0.25">
      <c r="A549" s="39"/>
      <c r="B549" s="67"/>
      <c r="C549" s="42"/>
      <c r="D549" s="52"/>
      <c r="E549" s="19"/>
      <c r="F549" s="19"/>
      <c r="G549" s="19"/>
      <c r="H549" s="42"/>
      <c r="I549" s="42"/>
      <c r="J549" s="42"/>
      <c r="K549" s="42"/>
      <c r="L549" s="42"/>
      <c r="M549" s="42"/>
      <c r="N549" s="52"/>
    </row>
    <row r="550" spans="1:14" ht="20.100000000000001" customHeight="1" x14ac:dyDescent="0.25">
      <c r="A550" s="39"/>
      <c r="B550" s="67"/>
      <c r="C550" s="42"/>
      <c r="D550" s="52"/>
      <c r="E550" s="19"/>
      <c r="F550" s="19"/>
      <c r="G550" s="19"/>
      <c r="H550" s="42"/>
      <c r="I550" s="42"/>
      <c r="J550" s="42"/>
      <c r="K550" s="42"/>
      <c r="L550" s="42"/>
      <c r="M550" s="42"/>
      <c r="N550" s="52"/>
    </row>
    <row r="551" spans="1:14" ht="20.100000000000001" customHeight="1" x14ac:dyDescent="0.25">
      <c r="A551" s="39"/>
      <c r="B551" s="67"/>
      <c r="C551" s="42"/>
      <c r="D551" s="52"/>
      <c r="E551" s="19"/>
      <c r="F551" s="19"/>
      <c r="G551" s="19"/>
      <c r="H551" s="42"/>
      <c r="I551" s="42"/>
      <c r="J551" s="42"/>
      <c r="K551" s="42"/>
      <c r="L551" s="42"/>
      <c r="M551" s="42"/>
      <c r="N551" s="52"/>
    </row>
    <row r="552" spans="1:14" ht="20.100000000000001" customHeight="1" x14ac:dyDescent="0.25">
      <c r="A552" s="39"/>
      <c r="B552" s="67"/>
      <c r="C552" s="42"/>
      <c r="D552" s="52"/>
      <c r="E552" s="19"/>
      <c r="F552" s="19"/>
      <c r="G552" s="19"/>
      <c r="H552" s="42"/>
      <c r="I552" s="42"/>
      <c r="J552" s="42"/>
      <c r="K552" s="42"/>
      <c r="L552" s="42"/>
      <c r="M552" s="42"/>
      <c r="N552" s="52"/>
    </row>
    <row r="553" spans="1:14" ht="20.100000000000001" customHeight="1" x14ac:dyDescent="0.25">
      <c r="A553" s="39"/>
      <c r="B553" s="67"/>
      <c r="C553" s="42"/>
      <c r="D553" s="52"/>
      <c r="E553" s="19"/>
      <c r="F553" s="19"/>
      <c r="G553" s="19"/>
      <c r="H553" s="42"/>
      <c r="I553" s="42"/>
      <c r="J553" s="42"/>
      <c r="K553" s="42"/>
      <c r="L553" s="42"/>
      <c r="M553" s="42"/>
      <c r="N553" s="52"/>
    </row>
    <row r="554" spans="1:14" ht="20.100000000000001" customHeight="1" x14ac:dyDescent="0.25">
      <c r="A554" s="39"/>
      <c r="B554" s="67"/>
      <c r="C554" s="42"/>
      <c r="D554" s="52"/>
      <c r="E554" s="19"/>
      <c r="F554" s="19"/>
      <c r="G554" s="19"/>
      <c r="H554" s="42"/>
      <c r="I554" s="42"/>
      <c r="J554" s="42"/>
      <c r="K554" s="42"/>
      <c r="L554" s="42"/>
      <c r="M554" s="42"/>
      <c r="N554" s="52"/>
    </row>
    <row r="555" spans="1:14" ht="20.100000000000001" customHeight="1" x14ac:dyDescent="0.25">
      <c r="A555" s="39"/>
      <c r="B555" s="67"/>
      <c r="C555" s="42"/>
      <c r="D555" s="52"/>
      <c r="E555" s="19"/>
      <c r="F555" s="19"/>
      <c r="G555" s="19"/>
      <c r="H555" s="42"/>
      <c r="I555" s="42"/>
      <c r="J555" s="42"/>
      <c r="K555" s="42"/>
      <c r="L555" s="42"/>
      <c r="M555" s="42"/>
      <c r="N555" s="52"/>
    </row>
    <row r="556" spans="1:14" ht="20.100000000000001" customHeight="1" x14ac:dyDescent="0.25">
      <c r="A556" s="39"/>
      <c r="B556" s="67"/>
      <c r="C556" s="42"/>
      <c r="D556" s="52"/>
      <c r="E556" s="19"/>
      <c r="F556" s="19"/>
      <c r="G556" s="19"/>
      <c r="H556" s="42"/>
      <c r="I556" s="42"/>
      <c r="J556" s="42"/>
      <c r="K556" s="42"/>
      <c r="L556" s="42"/>
      <c r="M556" s="42"/>
      <c r="N556" s="52"/>
    </row>
    <row r="557" spans="1:14" ht="20.100000000000001" customHeight="1" x14ac:dyDescent="0.25">
      <c r="A557" s="39"/>
      <c r="B557" s="67"/>
      <c r="C557" s="42"/>
      <c r="D557" s="52"/>
      <c r="E557" s="19"/>
      <c r="F557" s="19"/>
      <c r="G557" s="19"/>
      <c r="H557" s="42"/>
      <c r="I557" s="42"/>
      <c r="J557" s="42"/>
      <c r="K557" s="42"/>
      <c r="L557" s="42"/>
      <c r="M557" s="42"/>
      <c r="N557" s="52"/>
    </row>
    <row r="558" spans="1:14" ht="20.100000000000001" customHeight="1" x14ac:dyDescent="0.25">
      <c r="A558" s="39"/>
      <c r="B558" s="67"/>
      <c r="C558" s="42"/>
      <c r="D558" s="52"/>
      <c r="E558" s="19"/>
      <c r="F558" s="19"/>
      <c r="G558" s="19"/>
      <c r="H558" s="42"/>
      <c r="I558" s="42"/>
      <c r="J558" s="42"/>
      <c r="K558" s="42"/>
      <c r="L558" s="42"/>
      <c r="M558" s="42"/>
      <c r="N558" s="52"/>
    </row>
    <row r="559" spans="1:14" ht="20.100000000000001" customHeight="1" x14ac:dyDescent="0.25">
      <c r="A559" s="39"/>
      <c r="B559" s="67"/>
      <c r="C559" s="42"/>
      <c r="D559" s="52"/>
      <c r="E559" s="19"/>
      <c r="F559" s="19"/>
      <c r="G559" s="19"/>
      <c r="H559" s="42"/>
      <c r="I559" s="42"/>
      <c r="J559" s="42"/>
      <c r="K559" s="42"/>
      <c r="L559" s="42"/>
      <c r="M559" s="42"/>
      <c r="N559" s="52"/>
    </row>
    <row r="560" spans="1:14" ht="20.100000000000001" customHeight="1" x14ac:dyDescent="0.25">
      <c r="A560" s="39"/>
      <c r="B560" s="67"/>
      <c r="C560" s="42"/>
      <c r="D560" s="52"/>
      <c r="E560" s="19"/>
      <c r="F560" s="19"/>
      <c r="G560" s="19"/>
      <c r="H560" s="42"/>
      <c r="I560" s="42"/>
      <c r="J560" s="42"/>
      <c r="K560" s="42"/>
      <c r="L560" s="42"/>
      <c r="M560" s="42"/>
      <c r="N560" s="52"/>
    </row>
    <row r="561" spans="1:14" ht="20.100000000000001" customHeight="1" x14ac:dyDescent="0.25">
      <c r="A561" s="39"/>
      <c r="B561" s="67"/>
      <c r="C561" s="42"/>
      <c r="D561" s="52"/>
      <c r="E561" s="19"/>
      <c r="F561" s="19"/>
      <c r="G561" s="19"/>
      <c r="H561" s="42"/>
      <c r="I561" s="42"/>
      <c r="J561" s="42"/>
      <c r="K561" s="42"/>
      <c r="L561" s="42"/>
      <c r="M561" s="42"/>
      <c r="N561" s="52"/>
    </row>
    <row r="562" spans="1:14" ht="20.100000000000001" customHeight="1" x14ac:dyDescent="0.25">
      <c r="A562" s="39"/>
      <c r="B562" s="67"/>
      <c r="C562" s="42"/>
      <c r="D562" s="52"/>
      <c r="E562" s="19"/>
      <c r="F562" s="19"/>
      <c r="G562" s="19"/>
      <c r="H562" s="42"/>
      <c r="I562" s="42"/>
      <c r="J562" s="42"/>
      <c r="K562" s="42"/>
      <c r="L562" s="42"/>
      <c r="M562" s="42"/>
      <c r="N562" s="52"/>
    </row>
    <row r="563" spans="1:14" ht="20.100000000000001" customHeight="1" x14ac:dyDescent="0.25">
      <c r="A563" s="39"/>
      <c r="B563" s="67"/>
      <c r="C563" s="42"/>
      <c r="D563" s="52"/>
      <c r="E563" s="19"/>
      <c r="F563" s="19"/>
      <c r="G563" s="19"/>
      <c r="H563" s="42"/>
      <c r="I563" s="42"/>
      <c r="J563" s="42"/>
      <c r="K563" s="42"/>
      <c r="L563" s="42"/>
      <c r="M563" s="42"/>
      <c r="N563" s="52"/>
    </row>
    <row r="564" spans="1:14" ht="20.100000000000001" customHeight="1" x14ac:dyDescent="0.25">
      <c r="A564" s="39"/>
      <c r="B564" s="67"/>
      <c r="C564" s="42"/>
      <c r="D564" s="52"/>
      <c r="E564" s="19"/>
      <c r="F564" s="19"/>
      <c r="G564" s="19"/>
      <c r="H564" s="42"/>
      <c r="I564" s="42"/>
      <c r="J564" s="42"/>
      <c r="K564" s="42"/>
      <c r="L564" s="42"/>
      <c r="M564" s="42"/>
      <c r="N564" s="52"/>
    </row>
    <row r="565" spans="1:14" ht="20.100000000000001" customHeight="1" x14ac:dyDescent="0.25">
      <c r="A565" s="39"/>
      <c r="B565" s="67"/>
      <c r="C565" s="42"/>
      <c r="D565" s="52"/>
      <c r="E565" s="19"/>
      <c r="F565" s="19"/>
      <c r="G565" s="19"/>
      <c r="H565" s="42"/>
      <c r="I565" s="42"/>
      <c r="J565" s="42"/>
      <c r="K565" s="42"/>
      <c r="L565" s="42"/>
      <c r="M565" s="42"/>
      <c r="N565" s="52"/>
    </row>
    <row r="566" spans="1:14" ht="20.100000000000001" customHeight="1" x14ac:dyDescent="0.25">
      <c r="A566" s="39"/>
      <c r="B566" s="67"/>
      <c r="C566" s="42"/>
      <c r="D566" s="52"/>
      <c r="E566" s="19"/>
      <c r="F566" s="19"/>
      <c r="G566" s="19"/>
      <c r="H566" s="42"/>
      <c r="I566" s="42"/>
      <c r="J566" s="42"/>
      <c r="K566" s="42"/>
      <c r="L566" s="42"/>
      <c r="M566" s="42"/>
      <c r="N566" s="52"/>
    </row>
    <row r="567" spans="1:14" ht="20.100000000000001" customHeight="1" x14ac:dyDescent="0.25">
      <c r="A567" s="39"/>
      <c r="B567" s="67"/>
      <c r="C567" s="42"/>
      <c r="D567" s="52"/>
      <c r="E567" s="19"/>
      <c r="F567" s="19"/>
      <c r="G567" s="19"/>
      <c r="H567" s="42"/>
      <c r="I567" s="42"/>
      <c r="J567" s="42"/>
      <c r="K567" s="42"/>
      <c r="L567" s="42"/>
      <c r="M567" s="42"/>
      <c r="N567" s="52"/>
    </row>
    <row r="568" spans="1:14" ht="20.100000000000001" customHeight="1" x14ac:dyDescent="0.25">
      <c r="A568" s="39"/>
      <c r="B568" s="67"/>
      <c r="C568" s="42"/>
      <c r="D568" s="52"/>
      <c r="E568" s="19"/>
      <c r="F568" s="19"/>
      <c r="G568" s="19"/>
      <c r="H568" s="42"/>
      <c r="I568" s="42"/>
      <c r="J568" s="42"/>
      <c r="K568" s="42"/>
      <c r="L568" s="42"/>
      <c r="M568" s="42"/>
      <c r="N568" s="52"/>
    </row>
    <row r="569" spans="1:14" ht="20.100000000000001" customHeight="1" x14ac:dyDescent="0.25">
      <c r="A569" s="39"/>
      <c r="B569" s="67"/>
      <c r="C569" s="42"/>
      <c r="D569" s="52"/>
      <c r="E569" s="19"/>
      <c r="F569" s="19"/>
      <c r="G569" s="19"/>
      <c r="H569" s="42"/>
      <c r="I569" s="42"/>
      <c r="J569" s="42"/>
      <c r="K569" s="42"/>
      <c r="L569" s="42"/>
      <c r="M569" s="42"/>
      <c r="N569" s="52"/>
    </row>
    <row r="570" spans="1:14" ht="20.100000000000001" customHeight="1" x14ac:dyDescent="0.25">
      <c r="A570" s="39"/>
      <c r="B570" s="67"/>
      <c r="C570" s="42"/>
      <c r="D570" s="52"/>
      <c r="E570" s="19"/>
      <c r="F570" s="19"/>
      <c r="G570" s="19"/>
      <c r="H570" s="42"/>
      <c r="I570" s="42"/>
      <c r="J570" s="42"/>
      <c r="K570" s="42"/>
      <c r="L570" s="42"/>
      <c r="M570" s="42"/>
      <c r="N570" s="52"/>
    </row>
    <row r="571" spans="1:14" ht="20.100000000000001" customHeight="1" x14ac:dyDescent="0.25">
      <c r="A571" s="39"/>
      <c r="B571" s="67"/>
      <c r="C571" s="42"/>
      <c r="D571" s="52"/>
      <c r="E571" s="19"/>
      <c r="F571" s="19"/>
      <c r="G571" s="19"/>
      <c r="H571" s="42"/>
      <c r="I571" s="42"/>
      <c r="J571" s="42"/>
      <c r="K571" s="42"/>
      <c r="L571" s="42"/>
      <c r="M571" s="42"/>
      <c r="N571" s="52"/>
    </row>
    <row r="572" spans="1:14" ht="20.100000000000001" customHeight="1" x14ac:dyDescent="0.25">
      <c r="A572" s="39"/>
      <c r="B572" s="67"/>
      <c r="C572" s="42"/>
      <c r="D572" s="52"/>
      <c r="E572" s="19"/>
      <c r="F572" s="19"/>
      <c r="G572" s="19"/>
      <c r="H572" s="42"/>
      <c r="I572" s="42"/>
      <c r="J572" s="42"/>
      <c r="K572" s="42"/>
      <c r="L572" s="42"/>
      <c r="M572" s="42"/>
      <c r="N572" s="52"/>
    </row>
    <row r="573" spans="1:14" ht="20.100000000000001" customHeight="1" x14ac:dyDescent="0.25">
      <c r="A573" s="39"/>
      <c r="B573" s="67"/>
      <c r="C573" s="42"/>
      <c r="D573" s="52"/>
      <c r="E573" s="19"/>
      <c r="F573" s="19"/>
      <c r="G573" s="19"/>
      <c r="H573" s="42"/>
      <c r="I573" s="42"/>
      <c r="J573" s="42"/>
      <c r="K573" s="42"/>
      <c r="L573" s="42"/>
      <c r="M573" s="42"/>
      <c r="N573" s="52"/>
    </row>
    <row r="574" spans="1:14" ht="20.100000000000001" customHeight="1" x14ac:dyDescent="0.25">
      <c r="A574" s="39"/>
      <c r="B574" s="67"/>
      <c r="C574" s="42"/>
      <c r="D574" s="52"/>
      <c r="E574" s="19"/>
      <c r="F574" s="19"/>
      <c r="G574" s="19"/>
      <c r="H574" s="19"/>
      <c r="I574" s="42"/>
      <c r="J574" s="42"/>
      <c r="K574" s="42"/>
      <c r="L574" s="42"/>
      <c r="M574" s="42"/>
      <c r="N574" s="52"/>
    </row>
    <row r="575" spans="1:14" ht="20.100000000000001" customHeight="1" x14ac:dyDescent="0.25">
      <c r="A575" s="39"/>
      <c r="B575" s="67"/>
      <c r="C575" s="42"/>
      <c r="D575" s="52"/>
      <c r="E575" s="19"/>
      <c r="F575" s="19"/>
      <c r="G575" s="19"/>
      <c r="H575" s="19"/>
      <c r="I575" s="42"/>
      <c r="J575" s="42"/>
      <c r="K575" s="42"/>
      <c r="L575" s="42"/>
      <c r="M575" s="42"/>
      <c r="N575" s="52"/>
    </row>
    <row r="576" spans="1:14" ht="20.100000000000001" customHeight="1" x14ac:dyDescent="0.25">
      <c r="A576" s="39"/>
      <c r="B576" s="67"/>
      <c r="C576" s="42"/>
      <c r="D576" s="52"/>
      <c r="E576" s="19"/>
      <c r="F576" s="19"/>
      <c r="G576" s="19"/>
      <c r="H576" s="19"/>
      <c r="I576" s="42"/>
      <c r="J576" s="42"/>
      <c r="K576" s="42"/>
      <c r="L576" s="42"/>
      <c r="M576" s="42"/>
      <c r="N576" s="52"/>
    </row>
    <row r="577" spans="1:14" ht="20.100000000000001" customHeight="1" x14ac:dyDescent="0.25">
      <c r="A577" s="39"/>
      <c r="B577" s="67"/>
      <c r="C577" s="42"/>
      <c r="D577" s="52"/>
      <c r="E577" s="19"/>
      <c r="F577" s="19"/>
      <c r="G577" s="19"/>
      <c r="H577" s="19"/>
      <c r="I577" s="42"/>
      <c r="J577" s="42"/>
      <c r="K577" s="42"/>
      <c r="L577" s="42"/>
      <c r="M577" s="42"/>
      <c r="N577" s="52"/>
    </row>
    <row r="578" spans="1:14" ht="20.100000000000001" customHeight="1" x14ac:dyDescent="0.25">
      <c r="A578" s="39"/>
      <c r="B578" s="67"/>
      <c r="C578" s="42"/>
      <c r="D578" s="52"/>
      <c r="E578" s="19"/>
      <c r="F578" s="19"/>
      <c r="G578" s="19"/>
      <c r="H578" s="19"/>
      <c r="I578" s="42"/>
      <c r="J578" s="42"/>
      <c r="K578" s="42"/>
      <c r="L578" s="42"/>
      <c r="M578" s="42"/>
      <c r="N578" s="52"/>
    </row>
    <row r="579" spans="1:14" ht="20.100000000000001" customHeight="1" x14ac:dyDescent="0.25">
      <c r="A579" s="39"/>
      <c r="B579" s="67"/>
      <c r="C579" s="42"/>
      <c r="D579" s="52"/>
      <c r="E579" s="19"/>
      <c r="F579" s="19"/>
      <c r="G579" s="19"/>
      <c r="H579" s="19"/>
      <c r="I579" s="42"/>
      <c r="J579" s="42"/>
      <c r="K579" s="42"/>
      <c r="L579" s="42"/>
      <c r="M579" s="42"/>
      <c r="N579" s="52"/>
    </row>
    <row r="580" spans="1:14" ht="20.100000000000001" customHeight="1" x14ac:dyDescent="0.25">
      <c r="A580" s="39"/>
      <c r="B580" s="67"/>
      <c r="C580" s="42"/>
      <c r="D580" s="52"/>
      <c r="E580" s="19"/>
      <c r="F580" s="19"/>
      <c r="G580" s="19"/>
      <c r="H580" s="19"/>
      <c r="I580" s="42"/>
      <c r="J580" s="42"/>
      <c r="K580" s="42"/>
      <c r="L580" s="42"/>
      <c r="M580" s="42"/>
      <c r="N580" s="52"/>
    </row>
    <row r="581" spans="1:14" ht="20.100000000000001" customHeight="1" x14ac:dyDescent="0.25">
      <c r="A581" s="39"/>
      <c r="B581" s="67"/>
      <c r="C581" s="42"/>
      <c r="D581" s="52"/>
      <c r="E581" s="19"/>
      <c r="F581" s="19"/>
      <c r="G581" s="19"/>
      <c r="H581" s="19"/>
      <c r="I581" s="42"/>
      <c r="J581" s="42"/>
      <c r="K581" s="42"/>
      <c r="L581" s="42"/>
      <c r="M581" s="42"/>
      <c r="N581" s="52"/>
    </row>
    <row r="582" spans="1:14" ht="20.100000000000001" customHeight="1" x14ac:dyDescent="0.25">
      <c r="A582" s="39"/>
      <c r="B582" s="67"/>
      <c r="C582" s="42"/>
      <c r="D582" s="52"/>
      <c r="E582" s="19"/>
      <c r="F582" s="19"/>
      <c r="G582" s="19"/>
      <c r="H582" s="19"/>
      <c r="I582" s="42"/>
      <c r="J582" s="42"/>
      <c r="K582" s="42"/>
      <c r="L582" s="42"/>
      <c r="M582" s="42"/>
      <c r="N582" s="52"/>
    </row>
    <row r="583" spans="1:14" ht="20.100000000000001" customHeight="1" x14ac:dyDescent="0.25">
      <c r="A583" s="39"/>
      <c r="B583" s="67"/>
      <c r="C583" s="42"/>
      <c r="D583" s="52"/>
      <c r="E583" s="19"/>
      <c r="F583" s="19"/>
      <c r="G583" s="19"/>
      <c r="H583" s="19"/>
      <c r="I583" s="42"/>
      <c r="J583" s="42"/>
      <c r="K583" s="42"/>
      <c r="L583" s="42"/>
      <c r="M583" s="42"/>
      <c r="N583" s="52"/>
    </row>
    <row r="584" spans="1:14" ht="20.100000000000001" customHeight="1" x14ac:dyDescent="0.25">
      <c r="A584" s="39"/>
      <c r="B584" s="67"/>
      <c r="C584" s="42"/>
      <c r="D584" s="52"/>
      <c r="E584" s="19"/>
      <c r="F584" s="19"/>
      <c r="G584" s="19"/>
      <c r="H584" s="19"/>
      <c r="I584" s="42"/>
      <c r="J584" s="42"/>
      <c r="K584" s="42"/>
      <c r="L584" s="42"/>
      <c r="M584" s="42"/>
      <c r="N584" s="52"/>
    </row>
    <row r="585" spans="1:14" ht="20.100000000000001" customHeight="1" x14ac:dyDescent="0.25">
      <c r="A585" s="39"/>
      <c r="B585" s="67"/>
      <c r="C585" s="42"/>
      <c r="D585" s="52"/>
      <c r="E585" s="12"/>
      <c r="F585" s="13"/>
      <c r="G585" s="13"/>
      <c r="H585" s="42"/>
      <c r="I585" s="42"/>
      <c r="J585" s="42"/>
      <c r="K585" s="42"/>
      <c r="L585" s="42"/>
      <c r="M585" s="42"/>
      <c r="N585" s="52"/>
    </row>
    <row r="586" spans="1:14" ht="20.100000000000001" customHeight="1" x14ac:dyDescent="0.25">
      <c r="A586" s="39"/>
      <c r="B586" s="67"/>
      <c r="C586" s="42"/>
      <c r="D586" s="52"/>
      <c r="E586" s="12"/>
      <c r="F586" s="13"/>
      <c r="G586" s="13"/>
      <c r="H586" s="42"/>
      <c r="I586" s="42"/>
      <c r="J586" s="42"/>
      <c r="K586" s="42"/>
      <c r="L586" s="42"/>
      <c r="M586" s="42"/>
      <c r="N586" s="52"/>
    </row>
    <row r="587" spans="1:14" ht="20.100000000000001" customHeight="1" x14ac:dyDescent="0.25">
      <c r="A587" s="39"/>
      <c r="B587" s="67"/>
      <c r="C587" s="42"/>
      <c r="D587" s="52"/>
      <c r="E587" s="12"/>
      <c r="F587" s="13"/>
      <c r="G587" s="13"/>
      <c r="H587" s="42"/>
      <c r="I587" s="42"/>
      <c r="J587" s="42"/>
      <c r="K587" s="42"/>
      <c r="L587" s="42"/>
      <c r="M587" s="42"/>
      <c r="N587" s="52"/>
    </row>
    <row r="588" spans="1:14" ht="20.100000000000001" customHeight="1" x14ac:dyDescent="0.25">
      <c r="A588" s="39"/>
      <c r="B588" s="67"/>
      <c r="C588" s="42"/>
      <c r="D588" s="52"/>
      <c r="E588" s="12"/>
      <c r="F588" s="13"/>
      <c r="G588" s="13"/>
      <c r="H588" s="42"/>
      <c r="I588" s="42"/>
      <c r="J588" s="42"/>
      <c r="K588" s="42"/>
      <c r="L588" s="42"/>
      <c r="M588" s="42"/>
      <c r="N588" s="52"/>
    </row>
    <row r="589" spans="1:14" ht="20.100000000000001" customHeight="1" x14ac:dyDescent="0.25">
      <c r="A589" s="39"/>
      <c r="B589" s="67"/>
      <c r="C589" s="42"/>
      <c r="D589" s="52"/>
      <c r="E589" s="12"/>
      <c r="F589" s="13"/>
      <c r="G589" s="13"/>
      <c r="H589" s="42"/>
      <c r="I589" s="42"/>
      <c r="J589" s="42"/>
      <c r="K589" s="42"/>
      <c r="L589" s="42"/>
      <c r="M589" s="42"/>
      <c r="N589" s="52"/>
    </row>
    <row r="590" spans="1:14" ht="20.100000000000001" customHeight="1" x14ac:dyDescent="0.25">
      <c r="A590" s="39"/>
      <c r="B590" s="67"/>
      <c r="C590" s="42"/>
      <c r="D590" s="52"/>
      <c r="E590" s="12"/>
      <c r="F590" s="13"/>
      <c r="G590" s="13"/>
      <c r="H590" s="42"/>
      <c r="I590" s="42"/>
      <c r="J590" s="42"/>
      <c r="K590" s="42"/>
      <c r="L590" s="42"/>
      <c r="M590" s="42"/>
      <c r="N590" s="52"/>
    </row>
    <row r="591" spans="1:14" ht="20.100000000000001" customHeight="1" x14ac:dyDescent="0.25">
      <c r="A591" s="39"/>
      <c r="B591" s="67"/>
      <c r="C591" s="42"/>
      <c r="D591" s="52"/>
      <c r="E591" s="12"/>
      <c r="F591" s="13"/>
      <c r="G591" s="13"/>
      <c r="H591" s="42"/>
      <c r="I591" s="42"/>
      <c r="J591" s="42"/>
      <c r="K591" s="42"/>
      <c r="L591" s="42"/>
      <c r="M591" s="42"/>
      <c r="N591" s="52"/>
    </row>
    <row r="592" spans="1:14" ht="20.100000000000001" customHeight="1" x14ac:dyDescent="0.25">
      <c r="A592" s="39"/>
      <c r="B592" s="67"/>
      <c r="C592" s="42"/>
      <c r="D592" s="52"/>
      <c r="E592" s="12"/>
      <c r="F592" s="13"/>
      <c r="G592" s="13"/>
      <c r="H592" s="42"/>
      <c r="I592" s="42"/>
      <c r="J592" s="42"/>
      <c r="K592" s="42"/>
      <c r="L592" s="42"/>
      <c r="M592" s="42"/>
      <c r="N592" s="52"/>
    </row>
    <row r="593" spans="1:14" ht="20.100000000000001" customHeight="1" x14ac:dyDescent="0.25">
      <c r="A593" s="39"/>
      <c r="B593" s="67"/>
      <c r="C593" s="42"/>
      <c r="D593" s="52"/>
      <c r="E593" s="12"/>
      <c r="F593" s="13"/>
      <c r="G593" s="13"/>
      <c r="H593" s="42"/>
      <c r="I593" s="42"/>
      <c r="J593" s="42"/>
      <c r="K593" s="42"/>
      <c r="L593" s="42"/>
      <c r="M593" s="42"/>
      <c r="N593" s="52"/>
    </row>
    <row r="594" spans="1:14" ht="20.100000000000001" customHeight="1" x14ac:dyDescent="0.25">
      <c r="A594" s="39"/>
      <c r="B594" s="67"/>
      <c r="C594" s="42"/>
      <c r="D594" s="52"/>
      <c r="E594" s="19"/>
      <c r="F594" s="19"/>
      <c r="G594" s="19"/>
      <c r="H594" s="42"/>
      <c r="I594" s="42"/>
      <c r="J594" s="42"/>
      <c r="K594" s="42"/>
      <c r="L594" s="42"/>
      <c r="M594" s="42"/>
      <c r="N594" s="52"/>
    </row>
    <row r="595" spans="1:14" ht="20.100000000000001" customHeight="1" x14ac:dyDescent="0.25">
      <c r="A595" s="39"/>
      <c r="B595" s="67"/>
      <c r="C595" s="42"/>
      <c r="D595" s="52"/>
      <c r="E595" s="19"/>
      <c r="F595" s="19"/>
      <c r="G595" s="19"/>
      <c r="H595" s="42"/>
      <c r="I595" s="42"/>
      <c r="J595" s="42"/>
      <c r="K595" s="42"/>
      <c r="L595" s="42"/>
      <c r="M595" s="42"/>
      <c r="N595" s="52"/>
    </row>
    <row r="596" spans="1:14" ht="20.100000000000001" customHeight="1" x14ac:dyDescent="0.25">
      <c r="A596" s="39"/>
      <c r="B596" s="67"/>
      <c r="C596" s="42"/>
      <c r="D596" s="52"/>
      <c r="E596" s="19"/>
      <c r="F596" s="19"/>
      <c r="G596" s="19"/>
      <c r="H596" s="42"/>
      <c r="I596" s="42"/>
      <c r="J596" s="42"/>
      <c r="K596" s="42"/>
      <c r="L596" s="42"/>
      <c r="M596" s="42"/>
      <c r="N596" s="52"/>
    </row>
    <row r="597" spans="1:14" ht="20.100000000000001" customHeight="1" x14ac:dyDescent="0.25">
      <c r="A597" s="39"/>
      <c r="B597" s="67"/>
      <c r="C597" s="42"/>
      <c r="D597" s="52"/>
      <c r="E597" s="19"/>
      <c r="F597" s="19"/>
      <c r="G597" s="19"/>
      <c r="H597" s="42"/>
      <c r="I597" s="42"/>
      <c r="J597" s="42"/>
      <c r="K597" s="42"/>
      <c r="L597" s="42"/>
      <c r="M597" s="42"/>
      <c r="N597" s="52"/>
    </row>
    <row r="598" spans="1:14" ht="20.100000000000001" customHeight="1" x14ac:dyDescent="0.25">
      <c r="A598" s="39"/>
      <c r="B598" s="67"/>
      <c r="C598" s="42"/>
      <c r="D598" s="52"/>
      <c r="E598" s="19"/>
      <c r="F598" s="19"/>
      <c r="G598" s="19"/>
      <c r="H598" s="42"/>
      <c r="I598" s="42"/>
      <c r="J598" s="42"/>
      <c r="K598" s="42"/>
      <c r="L598" s="42"/>
      <c r="M598" s="42"/>
      <c r="N598" s="52"/>
    </row>
    <row r="599" spans="1:14" ht="20.100000000000001" customHeight="1" x14ac:dyDescent="0.25">
      <c r="A599" s="39"/>
      <c r="B599" s="67"/>
      <c r="C599" s="42"/>
      <c r="D599" s="52"/>
      <c r="E599" s="19"/>
      <c r="F599" s="19"/>
      <c r="G599" s="19"/>
      <c r="H599" s="42"/>
      <c r="I599" s="42"/>
      <c r="J599" s="42"/>
      <c r="K599" s="42"/>
      <c r="L599" s="42"/>
      <c r="M599" s="42"/>
      <c r="N599" s="52"/>
    </row>
    <row r="600" spans="1:14" ht="20.100000000000001" customHeight="1" x14ac:dyDescent="0.25">
      <c r="A600" s="39"/>
      <c r="B600" s="67"/>
      <c r="C600" s="42"/>
      <c r="D600" s="52"/>
      <c r="E600" s="19"/>
      <c r="F600" s="19"/>
      <c r="G600" s="19"/>
      <c r="H600" s="42"/>
      <c r="I600" s="42"/>
      <c r="J600" s="42"/>
      <c r="K600" s="42"/>
      <c r="L600" s="42"/>
      <c r="M600" s="42"/>
      <c r="N600" s="52"/>
    </row>
    <row r="601" spans="1:14" ht="20.100000000000001" customHeight="1" x14ac:dyDescent="0.25">
      <c r="A601" s="39"/>
      <c r="B601" s="67"/>
      <c r="C601" s="42"/>
      <c r="D601" s="52"/>
      <c r="E601" s="19"/>
      <c r="F601" s="19"/>
      <c r="G601" s="19"/>
      <c r="H601" s="42"/>
      <c r="I601" s="42"/>
      <c r="J601" s="42"/>
      <c r="K601" s="42"/>
      <c r="L601" s="42"/>
      <c r="M601" s="42"/>
      <c r="N601" s="52"/>
    </row>
    <row r="602" spans="1:14" ht="20.100000000000001" customHeight="1" x14ac:dyDescent="0.25">
      <c r="A602" s="39"/>
      <c r="B602" s="67"/>
      <c r="C602" s="42"/>
      <c r="D602" s="52"/>
      <c r="E602" s="19"/>
      <c r="F602" s="19"/>
      <c r="G602" s="19"/>
      <c r="H602" s="42"/>
      <c r="I602" s="42"/>
      <c r="J602" s="42"/>
      <c r="K602" s="42"/>
      <c r="L602" s="42"/>
      <c r="M602" s="42"/>
      <c r="N602" s="52"/>
    </row>
    <row r="603" spans="1:14" ht="20.100000000000001" customHeight="1" x14ac:dyDescent="0.25">
      <c r="A603" s="39"/>
      <c r="B603" s="67"/>
      <c r="C603" s="42"/>
      <c r="D603" s="52"/>
      <c r="E603" s="19"/>
      <c r="F603" s="19"/>
      <c r="G603" s="19"/>
      <c r="H603" s="42"/>
      <c r="I603" s="42"/>
      <c r="J603" s="42"/>
      <c r="K603" s="42"/>
      <c r="L603" s="42"/>
      <c r="M603" s="42"/>
      <c r="N603" s="52"/>
    </row>
    <row r="604" spans="1:14" ht="20.100000000000001" customHeight="1" x14ac:dyDescent="0.25">
      <c r="A604" s="39"/>
      <c r="B604" s="67"/>
      <c r="C604" s="42"/>
      <c r="D604" s="52"/>
      <c r="E604" s="19"/>
      <c r="F604" s="19"/>
      <c r="G604" s="19"/>
      <c r="H604" s="42"/>
      <c r="I604" s="42"/>
      <c r="J604" s="42"/>
      <c r="K604" s="42"/>
      <c r="L604" s="42"/>
      <c r="M604" s="42"/>
      <c r="N604" s="52"/>
    </row>
    <row r="605" spans="1:14" ht="20.100000000000001" customHeight="1" x14ac:dyDescent="0.25">
      <c r="A605" s="39"/>
      <c r="B605" s="67"/>
      <c r="C605" s="42"/>
      <c r="D605" s="52"/>
      <c r="E605" s="19"/>
      <c r="F605" s="19"/>
      <c r="G605" s="19"/>
      <c r="H605" s="42"/>
      <c r="I605" s="42"/>
      <c r="J605" s="42"/>
      <c r="K605" s="42"/>
      <c r="L605" s="42"/>
      <c r="M605" s="42"/>
      <c r="N605" s="52"/>
    </row>
    <row r="606" spans="1:14" ht="20.100000000000001" customHeight="1" x14ac:dyDescent="0.25">
      <c r="A606" s="39"/>
      <c r="B606" s="67"/>
      <c r="C606" s="42"/>
      <c r="D606" s="52"/>
      <c r="E606" s="19"/>
      <c r="F606" s="19"/>
      <c r="G606" s="19"/>
      <c r="H606" s="42"/>
      <c r="I606" s="42"/>
      <c r="J606" s="42"/>
      <c r="K606" s="42"/>
      <c r="L606" s="42"/>
      <c r="M606" s="42"/>
      <c r="N606" s="52"/>
    </row>
    <row r="607" spans="1:14" ht="20.100000000000001" customHeight="1" x14ac:dyDescent="0.25">
      <c r="A607" s="39"/>
      <c r="B607" s="67"/>
      <c r="C607" s="42"/>
      <c r="D607" s="52"/>
      <c r="E607" s="19"/>
      <c r="F607" s="19"/>
      <c r="G607" s="19"/>
      <c r="H607" s="42"/>
      <c r="I607" s="42"/>
      <c r="J607" s="42"/>
      <c r="K607" s="42"/>
      <c r="L607" s="42"/>
      <c r="M607" s="42"/>
      <c r="N607" s="52"/>
    </row>
    <row r="608" spans="1:14" ht="20.100000000000001" customHeight="1" x14ac:dyDescent="0.25">
      <c r="A608" s="39"/>
      <c r="B608" s="67"/>
      <c r="C608" s="42"/>
      <c r="D608" s="52"/>
      <c r="E608" s="19"/>
      <c r="F608" s="19"/>
      <c r="G608" s="19"/>
      <c r="H608" s="42"/>
      <c r="I608" s="42"/>
      <c r="J608" s="42"/>
      <c r="K608" s="42"/>
      <c r="L608" s="42"/>
      <c r="M608" s="42"/>
      <c r="N608" s="52"/>
    </row>
    <row r="609" spans="1:14" ht="20.100000000000001" customHeight="1" x14ac:dyDescent="0.25">
      <c r="A609" s="39"/>
      <c r="B609" s="67"/>
      <c r="C609" s="42"/>
      <c r="D609" s="52"/>
      <c r="E609" s="19"/>
      <c r="F609" s="19"/>
      <c r="G609" s="19"/>
      <c r="H609" s="42"/>
      <c r="I609" s="42"/>
      <c r="J609" s="42"/>
      <c r="K609" s="42"/>
      <c r="L609" s="42"/>
      <c r="M609" s="42"/>
      <c r="N609" s="52"/>
    </row>
    <row r="610" spans="1:14" ht="20.100000000000001" customHeight="1" x14ac:dyDescent="0.25">
      <c r="A610" s="39"/>
      <c r="B610" s="67"/>
      <c r="C610" s="42"/>
      <c r="D610" s="52"/>
      <c r="E610" s="19"/>
      <c r="F610" s="19"/>
      <c r="G610" s="19"/>
      <c r="H610" s="42"/>
      <c r="I610" s="42"/>
      <c r="J610" s="42"/>
      <c r="K610" s="42"/>
      <c r="L610" s="42"/>
      <c r="M610" s="42"/>
      <c r="N610" s="52"/>
    </row>
    <row r="611" spans="1:14" ht="20.100000000000001" customHeight="1" x14ac:dyDescent="0.25">
      <c r="A611" s="39"/>
      <c r="B611" s="67"/>
      <c r="C611" s="42"/>
      <c r="D611" s="52"/>
      <c r="E611" s="19"/>
      <c r="F611" s="19"/>
      <c r="G611" s="19"/>
      <c r="H611" s="42"/>
      <c r="I611" s="42"/>
      <c r="J611" s="42"/>
      <c r="K611" s="42"/>
      <c r="L611" s="42"/>
      <c r="M611" s="42"/>
      <c r="N611" s="52"/>
    </row>
    <row r="612" spans="1:14" ht="20.100000000000001" customHeight="1" x14ac:dyDescent="0.25">
      <c r="A612" s="39"/>
      <c r="B612" s="67"/>
      <c r="C612" s="42"/>
      <c r="D612" s="52"/>
      <c r="E612" s="19"/>
      <c r="F612" s="19"/>
      <c r="G612" s="19"/>
      <c r="H612" s="42"/>
      <c r="I612" s="42"/>
      <c r="J612" s="42"/>
      <c r="K612" s="42"/>
      <c r="L612" s="42"/>
      <c r="M612" s="42"/>
      <c r="N612" s="52"/>
    </row>
    <row r="613" spans="1:14" ht="20.100000000000001" customHeight="1" x14ac:dyDescent="0.25">
      <c r="A613" s="39"/>
      <c r="B613" s="67"/>
      <c r="C613" s="42"/>
      <c r="D613" s="52"/>
      <c r="E613" s="19"/>
      <c r="F613" s="19"/>
      <c r="G613" s="19"/>
      <c r="H613" s="42"/>
      <c r="I613" s="42"/>
      <c r="J613" s="42"/>
      <c r="K613" s="42"/>
      <c r="L613" s="42"/>
      <c r="M613" s="42"/>
      <c r="N613" s="52"/>
    </row>
    <row r="614" spans="1:14" ht="20.100000000000001" customHeight="1" x14ac:dyDescent="0.25">
      <c r="A614" s="39"/>
      <c r="B614" s="67"/>
      <c r="C614" s="42"/>
      <c r="D614" s="52"/>
      <c r="E614" s="19"/>
      <c r="F614" s="42"/>
      <c r="G614" s="42"/>
      <c r="H614" s="42"/>
      <c r="I614" s="42"/>
      <c r="J614" s="42"/>
      <c r="K614" s="42"/>
      <c r="L614" s="42"/>
      <c r="M614" s="42"/>
      <c r="N614" s="52"/>
    </row>
    <row r="615" spans="1:14" ht="20.100000000000001" customHeight="1" x14ac:dyDescent="0.25">
      <c r="A615" s="39"/>
      <c r="B615" s="67"/>
      <c r="C615" s="42"/>
      <c r="D615" s="52"/>
      <c r="E615" s="19"/>
      <c r="F615" s="42"/>
      <c r="G615" s="42"/>
      <c r="H615" s="42"/>
      <c r="I615" s="42"/>
      <c r="J615" s="42"/>
      <c r="K615" s="42"/>
      <c r="L615" s="42"/>
      <c r="M615" s="42"/>
      <c r="N615" s="52"/>
    </row>
    <row r="616" spans="1:14" ht="20.100000000000001" customHeight="1" x14ac:dyDescent="0.25">
      <c r="A616" s="39"/>
      <c r="B616" s="67"/>
      <c r="C616" s="42"/>
      <c r="D616" s="52"/>
      <c r="E616" s="19"/>
      <c r="F616" s="42"/>
      <c r="G616" s="42"/>
      <c r="H616" s="42"/>
      <c r="I616" s="42"/>
      <c r="J616" s="42"/>
      <c r="K616" s="42"/>
      <c r="L616" s="42"/>
      <c r="M616" s="42"/>
      <c r="N616" s="52"/>
    </row>
    <row r="617" spans="1:14" ht="20.100000000000001" customHeight="1" x14ac:dyDescent="0.25">
      <c r="A617" s="39"/>
      <c r="B617" s="67"/>
      <c r="C617" s="42"/>
      <c r="D617" s="52"/>
      <c r="E617" s="19"/>
      <c r="F617" s="42"/>
      <c r="G617" s="42"/>
      <c r="H617" s="42"/>
      <c r="I617" s="42"/>
      <c r="J617" s="42"/>
      <c r="K617" s="42"/>
      <c r="L617" s="42"/>
      <c r="M617" s="42"/>
      <c r="N617" s="52"/>
    </row>
    <row r="618" spans="1:14" ht="20.100000000000001" customHeight="1" x14ac:dyDescent="0.25">
      <c r="A618" s="39"/>
      <c r="B618" s="67"/>
      <c r="C618" s="42"/>
      <c r="D618" s="52"/>
      <c r="E618" s="19"/>
      <c r="F618" s="42"/>
      <c r="G618" s="42"/>
      <c r="H618" s="42"/>
      <c r="I618" s="42"/>
      <c r="J618" s="42"/>
      <c r="K618" s="42"/>
      <c r="L618" s="42"/>
      <c r="M618" s="42"/>
      <c r="N618" s="52"/>
    </row>
    <row r="619" spans="1:14" ht="20.100000000000001" customHeight="1" x14ac:dyDescent="0.25">
      <c r="A619" s="39"/>
      <c r="B619" s="67"/>
      <c r="C619" s="42"/>
      <c r="D619" s="52"/>
      <c r="E619" s="19"/>
      <c r="F619" s="42"/>
      <c r="G619" s="42"/>
      <c r="H619" s="42"/>
      <c r="I619" s="42"/>
      <c r="J619" s="42"/>
      <c r="K619" s="42"/>
      <c r="L619" s="42"/>
      <c r="M619" s="42"/>
      <c r="N619" s="52"/>
    </row>
    <row r="620" spans="1:14" ht="20.100000000000001" customHeight="1" x14ac:dyDescent="0.25">
      <c r="A620" s="39"/>
      <c r="B620" s="67"/>
      <c r="C620" s="42"/>
      <c r="D620" s="52"/>
      <c r="E620" s="19"/>
      <c r="F620" s="42"/>
      <c r="G620" s="42"/>
      <c r="H620" s="42"/>
      <c r="I620" s="42"/>
      <c r="J620" s="42"/>
      <c r="K620" s="42"/>
      <c r="L620" s="42"/>
      <c r="M620" s="42"/>
      <c r="N620" s="52"/>
    </row>
    <row r="621" spans="1:14" ht="20.100000000000001" customHeight="1" x14ac:dyDescent="0.25">
      <c r="A621" s="39"/>
      <c r="B621" s="67"/>
      <c r="C621" s="42"/>
      <c r="D621" s="52"/>
      <c r="E621" s="19"/>
      <c r="F621" s="42"/>
      <c r="G621" s="42"/>
      <c r="H621" s="42"/>
      <c r="I621" s="42"/>
      <c r="J621" s="42"/>
      <c r="K621" s="42"/>
      <c r="L621" s="42"/>
      <c r="M621" s="42"/>
      <c r="N621" s="52"/>
    </row>
    <row r="622" spans="1:14" ht="20.100000000000001" customHeight="1" x14ac:dyDescent="0.25">
      <c r="A622" s="39"/>
      <c r="B622" s="67"/>
      <c r="C622" s="42"/>
      <c r="D622" s="52"/>
      <c r="E622" s="19"/>
      <c r="F622" s="42"/>
      <c r="G622" s="42"/>
      <c r="H622" s="42"/>
      <c r="I622" s="42"/>
      <c r="J622" s="42"/>
      <c r="K622" s="42"/>
      <c r="L622" s="42"/>
      <c r="M622" s="42"/>
      <c r="N622" s="52"/>
    </row>
    <row r="623" spans="1:14" ht="20.100000000000001" customHeight="1" x14ac:dyDescent="0.25">
      <c r="A623" s="39"/>
      <c r="B623" s="67"/>
      <c r="C623" s="42"/>
      <c r="D623" s="52"/>
      <c r="E623" s="19"/>
      <c r="F623" s="42"/>
      <c r="G623" s="42"/>
      <c r="H623" s="42"/>
      <c r="I623" s="42"/>
      <c r="J623" s="42"/>
      <c r="K623" s="42"/>
      <c r="L623" s="42"/>
      <c r="M623" s="42"/>
      <c r="N623" s="52"/>
    </row>
    <row r="624" spans="1:14" ht="20.100000000000001" customHeight="1" x14ac:dyDescent="0.25">
      <c r="A624" s="39"/>
      <c r="B624" s="67"/>
      <c r="C624" s="42"/>
      <c r="D624" s="52"/>
      <c r="E624" s="19"/>
      <c r="F624" s="42"/>
      <c r="G624" s="42"/>
      <c r="H624" s="42"/>
      <c r="I624" s="42"/>
      <c r="J624" s="42"/>
      <c r="K624" s="42"/>
      <c r="L624" s="42"/>
      <c r="M624" s="42"/>
      <c r="N624" s="52"/>
    </row>
    <row r="625" spans="1:14" ht="20.100000000000001" customHeight="1" x14ac:dyDescent="0.25">
      <c r="A625" s="39"/>
      <c r="B625" s="67"/>
      <c r="C625" s="42"/>
      <c r="D625" s="52"/>
      <c r="E625" s="19"/>
      <c r="F625" s="42"/>
      <c r="G625" s="42"/>
      <c r="H625" s="42"/>
      <c r="I625" s="42"/>
      <c r="J625" s="42"/>
      <c r="K625" s="42"/>
      <c r="L625" s="42"/>
      <c r="M625" s="42"/>
      <c r="N625" s="52"/>
    </row>
    <row r="626" spans="1:14" ht="20.100000000000001" customHeight="1" x14ac:dyDescent="0.25">
      <c r="A626" s="39"/>
      <c r="B626" s="67"/>
      <c r="C626" s="42"/>
      <c r="D626" s="52"/>
      <c r="E626" s="19"/>
      <c r="F626" s="42"/>
      <c r="G626" s="42"/>
      <c r="H626" s="42"/>
      <c r="I626" s="42"/>
      <c r="J626" s="42"/>
      <c r="K626" s="42"/>
      <c r="L626" s="42"/>
      <c r="M626" s="42"/>
      <c r="N626" s="52"/>
    </row>
    <row r="627" spans="1:14" ht="20.100000000000001" customHeight="1" x14ac:dyDescent="0.25">
      <c r="A627" s="39"/>
      <c r="B627" s="67"/>
      <c r="C627" s="42"/>
      <c r="D627" s="52"/>
      <c r="E627" s="19"/>
      <c r="F627" s="42"/>
      <c r="G627" s="42"/>
      <c r="H627" s="42"/>
      <c r="I627" s="42"/>
      <c r="J627" s="42"/>
      <c r="K627" s="42"/>
      <c r="L627" s="42"/>
      <c r="M627" s="42"/>
      <c r="N627" s="52"/>
    </row>
    <row r="628" spans="1:14" ht="20.100000000000001" customHeight="1" x14ac:dyDescent="0.25">
      <c r="A628" s="39"/>
      <c r="B628" s="67"/>
      <c r="C628" s="42"/>
      <c r="D628" s="52"/>
      <c r="E628" s="19"/>
      <c r="F628" s="42"/>
      <c r="G628" s="42"/>
      <c r="H628" s="42"/>
      <c r="I628" s="42"/>
      <c r="J628" s="42"/>
      <c r="K628" s="42"/>
      <c r="L628" s="42"/>
      <c r="M628" s="42"/>
      <c r="N628" s="52"/>
    </row>
    <row r="629" spans="1:14" ht="20.100000000000001" customHeight="1" x14ac:dyDescent="0.25">
      <c r="A629" s="39"/>
      <c r="B629" s="67"/>
      <c r="C629" s="42"/>
      <c r="D629" s="52"/>
      <c r="E629" s="19"/>
      <c r="F629" s="42"/>
      <c r="G629" s="42"/>
      <c r="H629" s="42"/>
      <c r="I629" s="42"/>
      <c r="J629" s="42"/>
      <c r="K629" s="42"/>
      <c r="L629" s="42"/>
      <c r="M629" s="42"/>
      <c r="N629" s="52"/>
    </row>
    <row r="630" spans="1:14" ht="20.100000000000001" customHeight="1" x14ac:dyDescent="0.25">
      <c r="A630" s="39"/>
      <c r="B630" s="67"/>
      <c r="C630" s="42"/>
      <c r="D630" s="52"/>
      <c r="E630" s="19"/>
      <c r="F630" s="42"/>
      <c r="G630" s="42"/>
      <c r="H630" s="42"/>
      <c r="I630" s="42"/>
      <c r="J630" s="42"/>
      <c r="K630" s="42"/>
      <c r="L630" s="42"/>
      <c r="M630" s="42"/>
      <c r="N630" s="52"/>
    </row>
    <row r="631" spans="1:14" ht="20.100000000000001" customHeight="1" x14ac:dyDescent="0.25">
      <c r="A631" s="39"/>
      <c r="B631" s="67"/>
      <c r="C631" s="42"/>
      <c r="D631" s="52"/>
      <c r="E631" s="19"/>
      <c r="F631" s="42"/>
      <c r="G631" s="42"/>
      <c r="H631" s="42"/>
      <c r="I631" s="42"/>
      <c r="J631" s="42"/>
      <c r="K631" s="42"/>
      <c r="L631" s="42"/>
      <c r="M631" s="42"/>
      <c r="N631" s="52"/>
    </row>
    <row r="632" spans="1:14" ht="20.100000000000001" customHeight="1" x14ac:dyDescent="0.25">
      <c r="A632" s="39"/>
      <c r="B632" s="67"/>
      <c r="C632" s="42"/>
      <c r="D632" s="52"/>
      <c r="E632" s="19"/>
      <c r="F632" s="42"/>
      <c r="G632" s="42"/>
      <c r="H632" s="42"/>
      <c r="I632" s="42"/>
      <c r="J632" s="42"/>
      <c r="K632" s="42"/>
      <c r="L632" s="42"/>
      <c r="M632" s="42"/>
      <c r="N632" s="52"/>
    </row>
    <row r="633" spans="1:14" ht="20.100000000000001" customHeight="1" x14ac:dyDescent="0.25">
      <c r="A633" s="39"/>
      <c r="B633" s="67"/>
      <c r="C633" s="42"/>
      <c r="D633" s="52"/>
      <c r="E633" s="19"/>
      <c r="F633" s="42"/>
      <c r="G633" s="42"/>
      <c r="H633" s="42"/>
      <c r="I633" s="42"/>
      <c r="J633" s="42"/>
      <c r="K633" s="42"/>
      <c r="L633" s="42"/>
      <c r="M633" s="42"/>
      <c r="N633" s="52"/>
    </row>
    <row r="634" spans="1:14" ht="20.100000000000001" customHeight="1" x14ac:dyDescent="0.25">
      <c r="A634" s="39"/>
      <c r="B634" s="67"/>
      <c r="C634" s="42"/>
      <c r="D634" s="52"/>
      <c r="E634" s="19"/>
      <c r="F634" s="19"/>
      <c r="G634" s="19"/>
      <c r="H634" s="42"/>
      <c r="I634" s="42"/>
      <c r="J634" s="42"/>
      <c r="K634" s="42"/>
      <c r="L634" s="42"/>
      <c r="M634" s="42"/>
      <c r="N634" s="52"/>
    </row>
    <row r="635" spans="1:14" ht="20.100000000000001" customHeight="1" x14ac:dyDescent="0.25">
      <c r="A635" s="39"/>
      <c r="B635" s="67"/>
      <c r="C635" s="42"/>
      <c r="D635" s="52"/>
      <c r="E635" s="19"/>
      <c r="F635" s="19"/>
      <c r="G635" s="19"/>
      <c r="H635" s="42"/>
      <c r="I635" s="42"/>
      <c r="J635" s="42"/>
      <c r="K635" s="42"/>
      <c r="L635" s="42"/>
      <c r="M635" s="42"/>
      <c r="N635" s="52"/>
    </row>
    <row r="636" spans="1:14" ht="20.100000000000001" customHeight="1" x14ac:dyDescent="0.25">
      <c r="A636" s="39"/>
      <c r="B636" s="67"/>
      <c r="C636" s="42"/>
      <c r="D636" s="52"/>
      <c r="E636" s="19"/>
      <c r="F636" s="19"/>
      <c r="G636" s="19"/>
      <c r="H636" s="42"/>
      <c r="I636" s="42"/>
      <c r="J636" s="42"/>
      <c r="K636" s="42"/>
      <c r="L636" s="42"/>
      <c r="M636" s="42"/>
      <c r="N636" s="52"/>
    </row>
    <row r="637" spans="1:14" ht="20.100000000000001" customHeight="1" x14ac:dyDescent="0.25">
      <c r="A637" s="39"/>
      <c r="B637" s="67"/>
      <c r="C637" s="42"/>
      <c r="D637" s="52"/>
      <c r="E637" s="19"/>
      <c r="F637" s="19"/>
      <c r="G637" s="19"/>
      <c r="H637" s="42"/>
      <c r="I637" s="42"/>
      <c r="J637" s="42"/>
      <c r="K637" s="42"/>
      <c r="L637" s="42"/>
      <c r="M637" s="42"/>
      <c r="N637" s="52"/>
    </row>
    <row r="638" spans="1:14" ht="20.100000000000001" customHeight="1" x14ac:dyDescent="0.25">
      <c r="A638" s="39"/>
      <c r="B638" s="67"/>
      <c r="C638" s="42"/>
      <c r="D638" s="52"/>
      <c r="E638" s="19"/>
      <c r="F638" s="19"/>
      <c r="G638" s="19"/>
      <c r="H638" s="42"/>
      <c r="I638" s="42"/>
      <c r="J638" s="42"/>
      <c r="K638" s="42"/>
      <c r="L638" s="42"/>
      <c r="M638" s="42"/>
      <c r="N638" s="52"/>
    </row>
    <row r="639" spans="1:14" ht="20.100000000000001" customHeight="1" x14ac:dyDescent="0.25">
      <c r="A639" s="39"/>
      <c r="B639" s="67"/>
      <c r="C639" s="42"/>
      <c r="D639" s="52"/>
      <c r="E639" s="19"/>
      <c r="F639" s="19"/>
      <c r="G639" s="19"/>
      <c r="H639" s="42"/>
      <c r="I639" s="42"/>
      <c r="J639" s="42"/>
      <c r="K639" s="42"/>
      <c r="L639" s="42"/>
      <c r="M639" s="42"/>
      <c r="N639" s="52"/>
    </row>
    <row r="640" spans="1:14" ht="20.100000000000001" customHeight="1" x14ac:dyDescent="0.25">
      <c r="A640" s="39"/>
      <c r="B640" s="67"/>
      <c r="C640" s="42"/>
      <c r="D640" s="52"/>
      <c r="E640" s="19"/>
      <c r="F640" s="19"/>
      <c r="G640" s="19"/>
      <c r="H640" s="42"/>
      <c r="I640" s="42"/>
      <c r="J640" s="42"/>
      <c r="K640" s="42"/>
      <c r="L640" s="42"/>
      <c r="M640" s="42"/>
      <c r="N640" s="52"/>
    </row>
    <row r="641" spans="1:14" ht="20.100000000000001" customHeight="1" x14ac:dyDescent="0.25">
      <c r="A641" s="39"/>
      <c r="B641" s="67"/>
      <c r="C641" s="42"/>
      <c r="D641" s="52"/>
      <c r="E641" s="19"/>
      <c r="F641" s="19"/>
      <c r="G641" s="19"/>
      <c r="H641" s="42"/>
      <c r="I641" s="42"/>
      <c r="J641" s="42"/>
      <c r="K641" s="42"/>
      <c r="L641" s="42"/>
      <c r="M641" s="42"/>
      <c r="N641" s="52"/>
    </row>
    <row r="642" spans="1:14" ht="20.100000000000001" customHeight="1" x14ac:dyDescent="0.25">
      <c r="A642" s="39"/>
      <c r="B642" s="67"/>
      <c r="C642" s="42"/>
      <c r="D642" s="52"/>
      <c r="E642" s="19"/>
      <c r="F642" s="19"/>
      <c r="G642" s="19"/>
      <c r="H642" s="42"/>
      <c r="I642" s="42"/>
      <c r="J642" s="42"/>
      <c r="K642" s="42"/>
      <c r="L642" s="42"/>
      <c r="M642" s="42"/>
      <c r="N642" s="52"/>
    </row>
    <row r="643" spans="1:14" ht="20.100000000000001" customHeight="1" x14ac:dyDescent="0.25">
      <c r="A643" s="39"/>
      <c r="B643" s="67"/>
      <c r="C643" s="42"/>
      <c r="D643" s="52"/>
      <c r="E643" s="19"/>
      <c r="F643" s="19"/>
      <c r="G643" s="19"/>
      <c r="H643" s="42"/>
      <c r="I643" s="42"/>
      <c r="J643" s="42"/>
      <c r="K643" s="42"/>
      <c r="L643" s="42"/>
      <c r="M643" s="42"/>
      <c r="N643" s="52"/>
    </row>
    <row r="644" spans="1:14" ht="20.100000000000001" customHeight="1" x14ac:dyDescent="0.25">
      <c r="A644" s="39"/>
      <c r="B644" s="67"/>
      <c r="C644" s="42"/>
      <c r="D644" s="52"/>
      <c r="E644" s="19"/>
      <c r="F644" s="19"/>
      <c r="G644" s="19"/>
      <c r="H644" s="42"/>
      <c r="I644" s="42"/>
      <c r="J644" s="42"/>
      <c r="K644" s="42"/>
      <c r="L644" s="42"/>
      <c r="M644" s="42"/>
      <c r="N644" s="52"/>
    </row>
    <row r="645" spans="1:14" ht="20.100000000000001" customHeight="1" x14ac:dyDescent="0.25">
      <c r="A645" s="39"/>
      <c r="B645" s="67"/>
      <c r="C645" s="42"/>
      <c r="D645" s="52"/>
      <c r="E645" s="19"/>
      <c r="F645" s="19"/>
      <c r="G645" s="19"/>
      <c r="H645" s="42"/>
      <c r="I645" s="42"/>
      <c r="J645" s="42"/>
      <c r="K645" s="42"/>
      <c r="L645" s="42"/>
      <c r="M645" s="42"/>
      <c r="N645" s="52"/>
    </row>
    <row r="646" spans="1:14" ht="20.100000000000001" customHeight="1" x14ac:dyDescent="0.25">
      <c r="A646" s="39"/>
      <c r="B646" s="67"/>
      <c r="C646" s="42"/>
      <c r="D646" s="52"/>
      <c r="E646" s="19"/>
      <c r="F646" s="19"/>
      <c r="G646" s="19"/>
      <c r="H646" s="42"/>
      <c r="I646" s="42"/>
      <c r="J646" s="42"/>
      <c r="K646" s="42"/>
      <c r="L646" s="42"/>
      <c r="M646" s="42"/>
      <c r="N646" s="52"/>
    </row>
    <row r="647" spans="1:14" ht="20.100000000000001" customHeight="1" x14ac:dyDescent="0.25">
      <c r="A647" s="39"/>
      <c r="B647" s="67"/>
      <c r="C647" s="42"/>
      <c r="D647" s="52"/>
      <c r="E647" s="19"/>
      <c r="F647" s="19"/>
      <c r="G647" s="19"/>
      <c r="H647" s="42"/>
      <c r="I647" s="42"/>
      <c r="J647" s="42"/>
      <c r="K647" s="42"/>
      <c r="L647" s="42"/>
      <c r="M647" s="42"/>
      <c r="N647" s="52"/>
    </row>
    <row r="648" spans="1:14" ht="20.100000000000001" customHeight="1" x14ac:dyDescent="0.25">
      <c r="A648" s="39"/>
      <c r="B648" s="67"/>
      <c r="C648" s="42"/>
      <c r="D648" s="52"/>
      <c r="E648" s="19"/>
      <c r="F648" s="19"/>
      <c r="G648" s="19"/>
      <c r="H648" s="42"/>
      <c r="I648" s="42"/>
      <c r="J648" s="42"/>
      <c r="K648" s="42"/>
      <c r="L648" s="42"/>
      <c r="M648" s="42"/>
      <c r="N648" s="52"/>
    </row>
    <row r="649" spans="1:14" ht="20.100000000000001" customHeight="1" x14ac:dyDescent="0.25">
      <c r="A649" s="39"/>
      <c r="B649" s="67"/>
      <c r="C649" s="42"/>
      <c r="D649" s="52"/>
      <c r="E649" s="19"/>
      <c r="F649" s="19"/>
      <c r="G649" s="19"/>
      <c r="H649" s="42"/>
      <c r="I649" s="42"/>
      <c r="J649" s="42"/>
      <c r="K649" s="42"/>
      <c r="L649" s="42"/>
      <c r="M649" s="42"/>
      <c r="N649" s="52"/>
    </row>
    <row r="650" spans="1:14" ht="20.100000000000001" customHeight="1" x14ac:dyDescent="0.25">
      <c r="A650" s="39"/>
      <c r="B650" s="67"/>
      <c r="C650" s="42"/>
      <c r="D650" s="52"/>
      <c r="E650" s="19"/>
      <c r="F650" s="19"/>
      <c r="G650" s="19"/>
      <c r="H650" s="42"/>
      <c r="I650" s="42"/>
      <c r="J650" s="42"/>
      <c r="K650" s="42"/>
      <c r="L650" s="42"/>
      <c r="M650" s="42"/>
      <c r="N650" s="52"/>
    </row>
    <row r="651" spans="1:14" ht="20.100000000000001" customHeight="1" x14ac:dyDescent="0.25">
      <c r="A651" s="39"/>
      <c r="B651" s="67"/>
      <c r="C651" s="42"/>
      <c r="D651" s="52"/>
      <c r="E651" s="19"/>
      <c r="F651" s="19"/>
      <c r="G651" s="19"/>
      <c r="H651" s="42"/>
      <c r="I651" s="42"/>
      <c r="J651" s="42"/>
      <c r="K651" s="42"/>
      <c r="L651" s="42"/>
      <c r="M651" s="42"/>
      <c r="N651" s="52"/>
    </row>
    <row r="652" spans="1:14" ht="20.100000000000001" customHeight="1" x14ac:dyDescent="0.25">
      <c r="A652" s="39"/>
      <c r="B652" s="67"/>
      <c r="C652" s="42"/>
      <c r="D652" s="52"/>
      <c r="E652" s="19"/>
      <c r="F652" s="19"/>
      <c r="G652" s="19"/>
      <c r="H652" s="42"/>
      <c r="I652" s="42"/>
      <c r="J652" s="42"/>
      <c r="K652" s="42"/>
      <c r="L652" s="42"/>
      <c r="M652" s="42"/>
      <c r="N652" s="52"/>
    </row>
    <row r="653" spans="1:14" ht="20.100000000000001" customHeight="1" x14ac:dyDescent="0.25">
      <c r="A653" s="39"/>
      <c r="B653" s="67"/>
      <c r="C653" s="42"/>
      <c r="D653" s="52"/>
      <c r="E653" s="19"/>
      <c r="F653" s="19"/>
      <c r="G653" s="19"/>
      <c r="H653" s="42"/>
      <c r="I653" s="42"/>
      <c r="J653" s="42"/>
      <c r="K653" s="42"/>
      <c r="L653" s="42"/>
      <c r="M653" s="42"/>
      <c r="N653" s="52"/>
    </row>
    <row r="654" spans="1:14" ht="20.100000000000001" customHeight="1" x14ac:dyDescent="0.25">
      <c r="A654" s="39"/>
      <c r="B654" s="67"/>
      <c r="C654" s="42"/>
      <c r="D654" s="52"/>
      <c r="E654" s="19"/>
      <c r="F654" s="19"/>
      <c r="G654" s="19"/>
      <c r="H654" s="42"/>
      <c r="I654" s="42"/>
      <c r="J654" s="42"/>
      <c r="K654" s="42"/>
      <c r="L654" s="42"/>
      <c r="M654" s="42"/>
      <c r="N654" s="52"/>
    </row>
    <row r="655" spans="1:14" ht="20.100000000000001" customHeight="1" x14ac:dyDescent="0.25">
      <c r="A655" s="39"/>
      <c r="B655" s="67"/>
      <c r="C655" s="42"/>
      <c r="D655" s="52"/>
      <c r="E655" s="19"/>
      <c r="F655" s="19"/>
      <c r="G655" s="19"/>
      <c r="H655" s="42"/>
      <c r="I655" s="42"/>
      <c r="J655" s="42"/>
      <c r="K655" s="42"/>
      <c r="L655" s="42"/>
      <c r="M655" s="42"/>
      <c r="N655" s="52"/>
    </row>
    <row r="656" spans="1:14" ht="20.100000000000001" customHeight="1" x14ac:dyDescent="0.25">
      <c r="A656" s="39"/>
      <c r="B656" s="67"/>
      <c r="C656" s="42"/>
      <c r="D656" s="52"/>
      <c r="E656" s="19"/>
      <c r="F656" s="19"/>
      <c r="G656" s="19"/>
      <c r="H656" s="42"/>
      <c r="I656" s="42"/>
      <c r="J656" s="42"/>
      <c r="K656" s="42"/>
      <c r="L656" s="42"/>
      <c r="M656" s="42"/>
      <c r="N656" s="52"/>
    </row>
    <row r="657" spans="1:14" ht="20.100000000000001" customHeight="1" x14ac:dyDescent="0.25">
      <c r="A657" s="39"/>
      <c r="B657" s="67"/>
      <c r="C657" s="42"/>
      <c r="D657" s="52"/>
      <c r="E657" s="19"/>
      <c r="F657" s="19"/>
      <c r="G657" s="19"/>
      <c r="H657" s="42"/>
      <c r="I657" s="42"/>
      <c r="J657" s="42"/>
      <c r="K657" s="42"/>
      <c r="L657" s="42"/>
      <c r="M657" s="42"/>
      <c r="N657" s="52"/>
    </row>
    <row r="658" spans="1:14" ht="20.100000000000001" customHeight="1" x14ac:dyDescent="0.25">
      <c r="A658" s="39"/>
      <c r="B658" s="67"/>
      <c r="C658" s="42"/>
      <c r="D658" s="52"/>
      <c r="E658" s="19"/>
      <c r="F658" s="19"/>
      <c r="G658" s="19"/>
      <c r="H658" s="42"/>
      <c r="I658" s="42"/>
      <c r="J658" s="42"/>
      <c r="K658" s="42"/>
      <c r="L658" s="42"/>
      <c r="M658" s="42"/>
      <c r="N658" s="52"/>
    </row>
    <row r="659" spans="1:14" ht="20.100000000000001" customHeight="1" x14ac:dyDescent="0.25">
      <c r="A659" s="39"/>
      <c r="B659" s="67"/>
      <c r="C659" s="42"/>
      <c r="D659" s="52"/>
      <c r="E659" s="19"/>
      <c r="F659" s="19"/>
      <c r="G659" s="19"/>
      <c r="H659" s="42"/>
      <c r="I659" s="42"/>
      <c r="J659" s="42"/>
      <c r="K659" s="42"/>
      <c r="L659" s="42"/>
      <c r="M659" s="42"/>
      <c r="N659" s="52"/>
    </row>
    <row r="660" spans="1:14" ht="20.100000000000001" customHeight="1" x14ac:dyDescent="0.25">
      <c r="A660" s="39"/>
      <c r="B660" s="67"/>
      <c r="C660" s="42"/>
      <c r="D660" s="52"/>
      <c r="E660" s="19"/>
      <c r="F660" s="19"/>
      <c r="G660" s="19"/>
      <c r="H660" s="42"/>
      <c r="I660" s="42"/>
      <c r="J660" s="42"/>
      <c r="K660" s="42"/>
      <c r="L660" s="42"/>
      <c r="M660" s="42"/>
      <c r="N660" s="52"/>
    </row>
    <row r="661" spans="1:14" ht="20.100000000000001" customHeight="1" x14ac:dyDescent="0.25">
      <c r="A661" s="39"/>
      <c r="B661" s="67"/>
      <c r="C661" s="42"/>
      <c r="D661" s="52"/>
      <c r="E661" s="19"/>
      <c r="F661" s="19"/>
      <c r="G661" s="19"/>
      <c r="H661" s="42"/>
      <c r="I661" s="42"/>
      <c r="J661" s="42"/>
      <c r="K661" s="42"/>
      <c r="L661" s="42"/>
      <c r="M661" s="42"/>
      <c r="N661" s="52"/>
    </row>
    <row r="662" spans="1:14" ht="20.100000000000001" customHeight="1" x14ac:dyDescent="0.25">
      <c r="A662" s="39"/>
      <c r="B662" s="67"/>
      <c r="C662" s="42"/>
      <c r="D662" s="52"/>
      <c r="E662" s="19"/>
      <c r="F662" s="19"/>
      <c r="G662" s="19"/>
      <c r="H662" s="42"/>
      <c r="I662" s="42"/>
      <c r="J662" s="42"/>
      <c r="K662" s="42"/>
      <c r="L662" s="42"/>
      <c r="M662" s="42"/>
      <c r="N662" s="52"/>
    </row>
    <row r="663" spans="1:14" ht="20.100000000000001" customHeight="1" x14ac:dyDescent="0.25">
      <c r="A663" s="39"/>
      <c r="B663" s="67"/>
      <c r="C663" s="42"/>
      <c r="D663" s="52"/>
      <c r="E663" s="19"/>
      <c r="F663" s="19"/>
      <c r="G663" s="19"/>
      <c r="H663" s="42"/>
      <c r="I663" s="42"/>
      <c r="J663" s="42"/>
      <c r="K663" s="42"/>
      <c r="L663" s="42"/>
      <c r="M663" s="42"/>
      <c r="N663" s="52"/>
    </row>
    <row r="664" spans="1:14" ht="20.100000000000001" customHeight="1" x14ac:dyDescent="0.25">
      <c r="A664" s="39"/>
      <c r="B664" s="67"/>
      <c r="C664" s="42"/>
      <c r="D664" s="52"/>
      <c r="E664" s="19"/>
      <c r="F664" s="19"/>
      <c r="G664" s="19"/>
      <c r="H664" s="42"/>
      <c r="I664" s="42"/>
      <c r="J664" s="42"/>
      <c r="K664" s="42"/>
      <c r="L664" s="42"/>
      <c r="M664" s="42"/>
      <c r="N664" s="52"/>
    </row>
    <row r="665" spans="1:14" ht="20.100000000000001" customHeight="1" x14ac:dyDescent="0.25">
      <c r="A665" s="39"/>
      <c r="B665" s="67"/>
      <c r="C665" s="42"/>
      <c r="D665" s="52"/>
      <c r="E665" s="19"/>
      <c r="F665" s="19"/>
      <c r="G665" s="19"/>
      <c r="H665" s="42"/>
      <c r="I665" s="42"/>
      <c r="J665" s="42"/>
      <c r="K665" s="42"/>
      <c r="L665" s="42"/>
      <c r="M665" s="42"/>
      <c r="N665" s="52"/>
    </row>
    <row r="666" spans="1:14" ht="20.100000000000001" customHeight="1" x14ac:dyDescent="0.25">
      <c r="A666" s="39"/>
      <c r="B666" s="67"/>
      <c r="C666" s="42"/>
      <c r="D666" s="52"/>
      <c r="E666" s="19"/>
      <c r="F666" s="19"/>
      <c r="G666" s="19"/>
      <c r="H666" s="42"/>
      <c r="I666" s="42"/>
      <c r="J666" s="42"/>
      <c r="K666" s="42"/>
      <c r="L666" s="42"/>
      <c r="M666" s="42"/>
      <c r="N666" s="52"/>
    </row>
    <row r="667" spans="1:14" ht="20.100000000000001" customHeight="1" x14ac:dyDescent="0.25">
      <c r="A667" s="39"/>
      <c r="B667" s="67"/>
      <c r="C667" s="42"/>
      <c r="D667" s="52"/>
      <c r="E667" s="19"/>
      <c r="F667" s="19"/>
      <c r="G667" s="19"/>
      <c r="H667" s="42"/>
      <c r="I667" s="42"/>
      <c r="J667" s="42"/>
      <c r="K667" s="42"/>
      <c r="L667" s="42"/>
      <c r="M667" s="42"/>
      <c r="N667" s="52"/>
    </row>
    <row r="668" spans="1:14" ht="20.100000000000001" customHeight="1" x14ac:dyDescent="0.25">
      <c r="A668" s="39"/>
      <c r="B668" s="67"/>
      <c r="C668" s="42"/>
      <c r="D668" s="52"/>
      <c r="E668" s="19"/>
      <c r="F668" s="19"/>
      <c r="G668" s="19"/>
      <c r="H668" s="42"/>
      <c r="I668" s="42"/>
      <c r="J668" s="42"/>
      <c r="K668" s="42"/>
      <c r="L668" s="42"/>
      <c r="M668" s="42"/>
      <c r="N668" s="52"/>
    </row>
    <row r="669" spans="1:14" ht="20.100000000000001" customHeight="1" x14ac:dyDescent="0.25">
      <c r="A669" s="39"/>
      <c r="B669" s="67"/>
      <c r="C669" s="42"/>
      <c r="D669" s="52"/>
      <c r="E669" s="19"/>
      <c r="F669" s="19"/>
      <c r="G669" s="19"/>
      <c r="H669" s="42"/>
      <c r="I669" s="42"/>
      <c r="J669" s="42"/>
      <c r="K669" s="42"/>
      <c r="L669" s="42"/>
      <c r="M669" s="42"/>
      <c r="N669" s="52"/>
    </row>
    <row r="670" spans="1:14" ht="20.100000000000001" customHeight="1" x14ac:dyDescent="0.25">
      <c r="A670" s="39"/>
      <c r="B670" s="67"/>
      <c r="C670" s="42"/>
      <c r="D670" s="52"/>
      <c r="E670" s="19"/>
      <c r="F670" s="19"/>
      <c r="G670" s="19"/>
      <c r="H670" s="42"/>
      <c r="I670" s="42"/>
      <c r="J670" s="42"/>
      <c r="K670" s="42"/>
      <c r="L670" s="42"/>
      <c r="M670" s="42"/>
      <c r="N670" s="52"/>
    </row>
    <row r="671" spans="1:14" ht="20.100000000000001" customHeight="1" x14ac:dyDescent="0.25">
      <c r="A671" s="39"/>
      <c r="B671" s="67"/>
      <c r="C671" s="42"/>
      <c r="D671" s="52"/>
      <c r="E671" s="19"/>
      <c r="F671" s="19"/>
      <c r="G671" s="19"/>
      <c r="H671" s="42"/>
      <c r="I671" s="42"/>
      <c r="J671" s="42"/>
      <c r="K671" s="42"/>
      <c r="L671" s="42"/>
      <c r="M671" s="42"/>
      <c r="N671" s="52"/>
    </row>
    <row r="672" spans="1:14" ht="20.100000000000001" customHeight="1" x14ac:dyDescent="0.25">
      <c r="A672" s="39"/>
      <c r="B672" s="67"/>
      <c r="C672" s="42"/>
      <c r="D672" s="52"/>
      <c r="E672" s="19"/>
      <c r="F672" s="19"/>
      <c r="G672" s="19"/>
      <c r="H672" s="42"/>
      <c r="I672" s="42"/>
      <c r="J672" s="42"/>
      <c r="K672" s="42"/>
      <c r="L672" s="42"/>
      <c r="M672" s="42"/>
      <c r="N672" s="52"/>
    </row>
    <row r="673" spans="1:14" ht="20.100000000000001" customHeight="1" x14ac:dyDescent="0.25">
      <c r="A673" s="39"/>
      <c r="B673" s="67"/>
      <c r="C673" s="42"/>
      <c r="D673" s="52"/>
      <c r="E673" s="19"/>
      <c r="F673" s="19"/>
      <c r="G673" s="19"/>
      <c r="H673" s="42"/>
      <c r="I673" s="42"/>
      <c r="J673" s="42"/>
      <c r="K673" s="42"/>
      <c r="L673" s="42"/>
      <c r="M673" s="42"/>
      <c r="N673" s="52"/>
    </row>
    <row r="674" spans="1:14" ht="20.100000000000001" customHeight="1" x14ac:dyDescent="0.25">
      <c r="A674" s="39"/>
      <c r="B674" s="67"/>
      <c r="C674" s="42"/>
      <c r="D674" s="52"/>
      <c r="E674" s="19"/>
      <c r="F674" s="19"/>
      <c r="G674" s="19"/>
      <c r="H674" s="42"/>
      <c r="I674" s="42"/>
      <c r="J674" s="42"/>
      <c r="K674" s="42"/>
      <c r="L674" s="42"/>
      <c r="M674" s="42"/>
      <c r="N674" s="52"/>
    </row>
    <row r="675" spans="1:14" ht="20.100000000000001" customHeight="1" x14ac:dyDescent="0.25">
      <c r="A675" s="39"/>
      <c r="B675" s="67"/>
      <c r="C675" s="42"/>
      <c r="D675" s="52"/>
      <c r="E675" s="19"/>
      <c r="F675" s="19"/>
      <c r="G675" s="19"/>
      <c r="H675" s="42"/>
      <c r="I675" s="42"/>
      <c r="J675" s="42"/>
      <c r="K675" s="42"/>
      <c r="L675" s="42"/>
      <c r="M675" s="42"/>
      <c r="N675" s="52"/>
    </row>
    <row r="676" spans="1:14" ht="20.100000000000001" customHeight="1" x14ac:dyDescent="0.25">
      <c r="A676" s="39"/>
      <c r="B676" s="67"/>
      <c r="C676" s="42"/>
      <c r="D676" s="52"/>
      <c r="E676" s="19"/>
      <c r="F676" s="19"/>
      <c r="G676" s="19"/>
      <c r="H676" s="42"/>
      <c r="I676" s="42"/>
      <c r="J676" s="42"/>
      <c r="K676" s="42"/>
      <c r="L676" s="42"/>
      <c r="M676" s="42"/>
      <c r="N676" s="52"/>
    </row>
    <row r="677" spans="1:14" ht="20.100000000000001" customHeight="1" x14ac:dyDescent="0.25">
      <c r="A677" s="39"/>
      <c r="B677" s="67"/>
      <c r="C677" s="42"/>
      <c r="D677" s="52"/>
      <c r="E677" s="19"/>
      <c r="F677" s="19"/>
      <c r="G677" s="19"/>
      <c r="H677" s="42"/>
      <c r="I677" s="42"/>
      <c r="J677" s="42"/>
      <c r="K677" s="42"/>
      <c r="L677" s="42"/>
      <c r="M677" s="42"/>
      <c r="N677" s="52"/>
    </row>
    <row r="678" spans="1:14" ht="20.100000000000001" customHeight="1" x14ac:dyDescent="0.25">
      <c r="A678" s="39"/>
      <c r="B678" s="67"/>
      <c r="C678" s="42"/>
      <c r="D678" s="52"/>
      <c r="E678" s="19"/>
      <c r="F678" s="19"/>
      <c r="G678" s="19"/>
      <c r="H678" s="42"/>
      <c r="I678" s="42"/>
      <c r="J678" s="42"/>
      <c r="K678" s="42"/>
      <c r="L678" s="42"/>
      <c r="M678" s="42"/>
      <c r="N678" s="52"/>
    </row>
    <row r="679" spans="1:14" ht="20.100000000000001" customHeight="1" x14ac:dyDescent="0.25">
      <c r="A679" s="39"/>
      <c r="B679" s="67"/>
      <c r="C679" s="42"/>
      <c r="D679" s="52"/>
      <c r="E679" s="19"/>
      <c r="F679" s="19"/>
      <c r="G679" s="19"/>
      <c r="H679" s="42"/>
      <c r="I679" s="42"/>
      <c r="J679" s="42"/>
      <c r="K679" s="42"/>
      <c r="L679" s="42"/>
      <c r="M679" s="42"/>
      <c r="N679" s="52"/>
    </row>
    <row r="680" spans="1:14" ht="20.100000000000001" customHeight="1" x14ac:dyDescent="0.25">
      <c r="A680" s="39"/>
      <c r="B680" s="67"/>
      <c r="C680" s="42"/>
      <c r="D680" s="52"/>
      <c r="E680" s="19"/>
      <c r="F680" s="19"/>
      <c r="G680" s="19"/>
      <c r="H680" s="42"/>
      <c r="I680" s="42"/>
      <c r="J680" s="42"/>
      <c r="K680" s="42"/>
      <c r="L680" s="42"/>
      <c r="M680" s="42"/>
      <c r="N680" s="52"/>
    </row>
    <row r="681" spans="1:14" ht="20.100000000000001" customHeight="1" x14ac:dyDescent="0.25">
      <c r="A681" s="39"/>
      <c r="B681" s="67"/>
      <c r="C681" s="42"/>
      <c r="D681" s="52"/>
      <c r="E681" s="19"/>
      <c r="F681" s="19"/>
      <c r="G681" s="19"/>
      <c r="H681" s="42"/>
      <c r="I681" s="42"/>
      <c r="J681" s="42"/>
      <c r="K681" s="42"/>
      <c r="L681" s="42"/>
      <c r="M681" s="42"/>
      <c r="N681" s="52"/>
    </row>
    <row r="682" spans="1:14" ht="20.100000000000001" customHeight="1" x14ac:dyDescent="0.25">
      <c r="A682" s="39"/>
      <c r="B682" s="67"/>
      <c r="C682" s="42"/>
      <c r="D682" s="52"/>
      <c r="E682" s="19"/>
      <c r="F682" s="19"/>
      <c r="G682" s="19"/>
      <c r="H682" s="42"/>
      <c r="I682" s="42"/>
      <c r="J682" s="42"/>
      <c r="K682" s="42"/>
      <c r="L682" s="42"/>
      <c r="M682" s="42"/>
      <c r="N682" s="52"/>
    </row>
    <row r="683" spans="1:14" ht="20.100000000000001" customHeight="1" x14ac:dyDescent="0.25">
      <c r="A683" s="39"/>
      <c r="B683" s="67"/>
      <c r="C683" s="42"/>
      <c r="D683" s="52"/>
      <c r="E683" s="19"/>
      <c r="F683" s="19"/>
      <c r="G683" s="19"/>
      <c r="H683" s="42"/>
      <c r="I683" s="42"/>
      <c r="J683" s="42"/>
      <c r="K683" s="42"/>
      <c r="L683" s="42"/>
      <c r="M683" s="42"/>
      <c r="N683" s="52"/>
    </row>
    <row r="684" spans="1:14" ht="20.100000000000001" customHeight="1" x14ac:dyDescent="0.25">
      <c r="A684" s="39"/>
      <c r="B684" s="67"/>
      <c r="C684" s="42"/>
      <c r="D684" s="52"/>
      <c r="E684" s="19"/>
      <c r="F684" s="19"/>
      <c r="G684" s="19"/>
      <c r="H684" s="42"/>
      <c r="I684" s="42"/>
      <c r="J684" s="42"/>
      <c r="K684" s="42"/>
      <c r="L684" s="42"/>
      <c r="M684" s="42"/>
      <c r="N684" s="52"/>
    </row>
    <row r="685" spans="1:14" ht="20.100000000000001" customHeight="1" x14ac:dyDescent="0.25">
      <c r="A685" s="39"/>
      <c r="B685" s="67"/>
      <c r="C685" s="42"/>
      <c r="D685" s="52"/>
      <c r="E685" s="19"/>
      <c r="F685" s="19"/>
      <c r="G685" s="19"/>
      <c r="H685" s="42"/>
      <c r="I685" s="42"/>
      <c r="J685" s="42"/>
      <c r="K685" s="42"/>
      <c r="L685" s="42"/>
      <c r="M685" s="42"/>
      <c r="N685" s="52"/>
    </row>
    <row r="686" spans="1:14" ht="20.100000000000001" customHeight="1" x14ac:dyDescent="0.25">
      <c r="A686" s="39"/>
      <c r="B686" s="67"/>
      <c r="C686" s="42"/>
      <c r="D686" s="52"/>
      <c r="E686" s="19"/>
      <c r="F686" s="19"/>
      <c r="G686" s="19"/>
      <c r="H686" s="42"/>
      <c r="I686" s="42"/>
      <c r="J686" s="42"/>
      <c r="K686" s="42"/>
      <c r="L686" s="42"/>
      <c r="M686" s="42"/>
      <c r="N686" s="52"/>
    </row>
    <row r="687" spans="1:14" ht="20.100000000000001" customHeight="1" x14ac:dyDescent="0.25">
      <c r="A687" s="39"/>
      <c r="B687" s="67"/>
      <c r="C687" s="42"/>
      <c r="D687" s="52"/>
      <c r="E687" s="19"/>
      <c r="F687" s="19"/>
      <c r="G687" s="19"/>
      <c r="H687" s="42"/>
      <c r="I687" s="42"/>
      <c r="J687" s="42"/>
      <c r="K687" s="42"/>
      <c r="L687" s="42"/>
      <c r="M687" s="42"/>
      <c r="N687" s="52"/>
    </row>
    <row r="688" spans="1:14" ht="20.100000000000001" customHeight="1" x14ac:dyDescent="0.25">
      <c r="A688" s="39"/>
      <c r="B688" s="67"/>
      <c r="C688" s="42"/>
      <c r="D688" s="52"/>
      <c r="E688" s="19"/>
      <c r="F688" s="19"/>
      <c r="G688" s="19"/>
      <c r="H688" s="42"/>
      <c r="I688" s="42"/>
      <c r="J688" s="42"/>
      <c r="K688" s="42"/>
      <c r="L688" s="42"/>
      <c r="M688" s="42"/>
      <c r="N688" s="52"/>
    </row>
    <row r="689" spans="1:14" ht="20.100000000000001" customHeight="1" x14ac:dyDescent="0.25">
      <c r="A689" s="39"/>
      <c r="B689" s="67"/>
      <c r="C689" s="42"/>
      <c r="D689" s="52"/>
      <c r="E689" s="19"/>
      <c r="F689" s="19"/>
      <c r="G689" s="19"/>
      <c r="H689" s="42"/>
      <c r="I689" s="42"/>
      <c r="J689" s="42"/>
      <c r="K689" s="42"/>
      <c r="L689" s="42"/>
      <c r="M689" s="42"/>
      <c r="N689" s="52"/>
    </row>
    <row r="690" spans="1:14" ht="20.100000000000001" customHeight="1" x14ac:dyDescent="0.25">
      <c r="A690" s="39"/>
      <c r="B690" s="67"/>
      <c r="C690" s="42"/>
      <c r="D690" s="52"/>
      <c r="E690" s="19"/>
      <c r="F690" s="19"/>
      <c r="G690" s="19"/>
      <c r="H690" s="42"/>
      <c r="I690" s="42"/>
      <c r="J690" s="42"/>
      <c r="K690" s="42"/>
      <c r="L690" s="42"/>
      <c r="M690" s="42"/>
      <c r="N690" s="52"/>
    </row>
    <row r="691" spans="1:14" ht="20.100000000000001" customHeight="1" x14ac:dyDescent="0.25">
      <c r="A691" s="39"/>
      <c r="B691" s="67"/>
      <c r="C691" s="42"/>
      <c r="D691" s="52"/>
      <c r="E691" s="19"/>
      <c r="F691" s="19"/>
      <c r="G691" s="19"/>
      <c r="H691" s="42"/>
      <c r="I691" s="42"/>
      <c r="J691" s="42"/>
      <c r="K691" s="42"/>
      <c r="L691" s="42"/>
      <c r="M691" s="42"/>
      <c r="N691" s="52"/>
    </row>
    <row r="692" spans="1:14" ht="20.100000000000001" customHeight="1" x14ac:dyDescent="0.25">
      <c r="A692" s="39"/>
      <c r="B692" s="67"/>
      <c r="C692" s="42"/>
      <c r="D692" s="52"/>
      <c r="E692" s="19"/>
      <c r="F692" s="19"/>
      <c r="G692" s="19"/>
      <c r="H692" s="42"/>
      <c r="I692" s="42"/>
      <c r="J692" s="42"/>
      <c r="K692" s="42"/>
      <c r="L692" s="42"/>
      <c r="M692" s="42"/>
      <c r="N692" s="52"/>
    </row>
    <row r="693" spans="1:14" ht="20.100000000000001" customHeight="1" x14ac:dyDescent="0.25">
      <c r="A693" s="39"/>
      <c r="B693" s="67"/>
      <c r="C693" s="42"/>
      <c r="D693" s="52"/>
      <c r="E693" s="19"/>
      <c r="F693" s="19"/>
      <c r="G693" s="19"/>
      <c r="H693" s="42"/>
      <c r="I693" s="42"/>
      <c r="J693" s="42"/>
      <c r="K693" s="42"/>
      <c r="L693" s="42"/>
      <c r="M693" s="42"/>
      <c r="N693" s="52"/>
    </row>
    <row r="694" spans="1:14" ht="20.100000000000001" customHeight="1" x14ac:dyDescent="0.25">
      <c r="A694" s="39"/>
      <c r="B694" s="67"/>
      <c r="C694" s="42"/>
      <c r="D694" s="52"/>
      <c r="E694" s="19"/>
      <c r="F694" s="19"/>
      <c r="G694" s="19"/>
      <c r="H694" s="42"/>
      <c r="I694" s="42"/>
      <c r="J694" s="42"/>
      <c r="K694" s="42"/>
      <c r="L694" s="42"/>
      <c r="M694" s="42"/>
      <c r="N694" s="52"/>
    </row>
    <row r="695" spans="1:14" ht="20.100000000000001" customHeight="1" x14ac:dyDescent="0.25">
      <c r="A695" s="39"/>
      <c r="B695" s="67"/>
      <c r="C695" s="42"/>
      <c r="D695" s="52"/>
      <c r="E695" s="19"/>
      <c r="F695" s="19"/>
      <c r="G695" s="19"/>
      <c r="H695" s="42"/>
      <c r="I695" s="42"/>
      <c r="J695" s="42"/>
      <c r="K695" s="42"/>
      <c r="L695" s="42"/>
      <c r="M695" s="42"/>
      <c r="N695" s="52"/>
    </row>
    <row r="696" spans="1:14" ht="20.100000000000001" customHeight="1" x14ac:dyDescent="0.25">
      <c r="A696" s="39"/>
      <c r="B696" s="67"/>
      <c r="C696" s="42"/>
      <c r="D696" s="52"/>
      <c r="E696" s="19"/>
      <c r="F696" s="19"/>
      <c r="G696" s="19"/>
      <c r="H696" s="42"/>
      <c r="I696" s="42"/>
      <c r="J696" s="42"/>
      <c r="K696" s="42"/>
      <c r="L696" s="42"/>
      <c r="M696" s="42"/>
      <c r="N696" s="52"/>
    </row>
    <row r="697" spans="1:14" ht="20.100000000000001" customHeight="1" x14ac:dyDescent="0.25">
      <c r="A697" s="39"/>
      <c r="B697" s="67"/>
      <c r="C697" s="42"/>
      <c r="D697" s="52"/>
      <c r="E697" s="19"/>
      <c r="F697" s="19"/>
      <c r="G697" s="19"/>
      <c r="H697" s="42"/>
      <c r="I697" s="42"/>
      <c r="J697" s="42"/>
      <c r="K697" s="42"/>
      <c r="L697" s="42"/>
      <c r="M697" s="42"/>
      <c r="N697" s="52"/>
    </row>
    <row r="698" spans="1:14" ht="20.100000000000001" customHeight="1" x14ac:dyDescent="0.25">
      <c r="A698" s="39"/>
      <c r="B698" s="67"/>
      <c r="C698" s="42"/>
      <c r="D698" s="52"/>
      <c r="E698" s="19"/>
      <c r="F698" s="19"/>
      <c r="G698" s="19"/>
      <c r="H698" s="42"/>
      <c r="I698" s="42"/>
      <c r="J698" s="42"/>
      <c r="K698" s="42"/>
      <c r="L698" s="42"/>
      <c r="M698" s="42"/>
      <c r="N698" s="52"/>
    </row>
    <row r="699" spans="1:14" ht="20.100000000000001" customHeight="1" x14ac:dyDescent="0.25">
      <c r="A699" s="39"/>
      <c r="B699" s="67"/>
      <c r="C699" s="42"/>
      <c r="D699" s="52"/>
      <c r="E699" s="19"/>
      <c r="F699" s="19"/>
      <c r="G699" s="19"/>
      <c r="H699" s="42"/>
      <c r="I699" s="42"/>
      <c r="J699" s="42"/>
      <c r="K699" s="42"/>
      <c r="L699" s="42"/>
      <c r="M699" s="42"/>
      <c r="N699" s="52"/>
    </row>
    <row r="700" spans="1:14" ht="20.100000000000001" customHeight="1" x14ac:dyDescent="0.25">
      <c r="A700" s="39"/>
      <c r="B700" s="67"/>
      <c r="C700" s="42"/>
      <c r="D700" s="52"/>
      <c r="E700" s="19"/>
      <c r="F700" s="19"/>
      <c r="G700" s="19"/>
      <c r="H700" s="42"/>
      <c r="I700" s="42"/>
      <c r="J700" s="42"/>
      <c r="K700" s="42"/>
      <c r="L700" s="42"/>
      <c r="M700" s="42"/>
      <c r="N700" s="52"/>
    </row>
    <row r="701" spans="1:14" ht="20.100000000000001" customHeight="1" x14ac:dyDescent="0.25">
      <c r="A701" s="39"/>
      <c r="B701" s="67"/>
      <c r="C701" s="42"/>
      <c r="D701" s="52"/>
      <c r="E701" s="19"/>
      <c r="F701" s="19"/>
      <c r="G701" s="19"/>
      <c r="H701" s="42"/>
      <c r="I701" s="42"/>
      <c r="J701" s="42"/>
      <c r="K701" s="42"/>
      <c r="L701" s="42"/>
      <c r="M701" s="42"/>
      <c r="N701" s="52"/>
    </row>
    <row r="702" spans="1:14" ht="20.100000000000001" customHeight="1" x14ac:dyDescent="0.25">
      <c r="A702" s="39"/>
      <c r="B702" s="67"/>
      <c r="C702" s="42"/>
      <c r="D702" s="52"/>
      <c r="E702" s="19"/>
      <c r="F702" s="19"/>
      <c r="G702" s="19"/>
      <c r="H702" s="42"/>
      <c r="I702" s="42"/>
      <c r="J702" s="42"/>
      <c r="K702" s="42"/>
      <c r="L702" s="42"/>
      <c r="M702" s="42"/>
      <c r="N702" s="52"/>
    </row>
    <row r="703" spans="1:14" ht="20.100000000000001" customHeight="1" x14ac:dyDescent="0.25">
      <c r="A703" s="39"/>
      <c r="B703" s="67"/>
      <c r="C703" s="42"/>
      <c r="D703" s="52"/>
      <c r="E703" s="19"/>
      <c r="F703" s="19"/>
      <c r="G703" s="19"/>
      <c r="H703" s="42"/>
      <c r="I703" s="42"/>
      <c r="J703" s="42"/>
      <c r="K703" s="42"/>
      <c r="L703" s="42"/>
      <c r="M703" s="42"/>
      <c r="N703" s="52"/>
    </row>
    <row r="704" spans="1:14" ht="20.100000000000001" customHeight="1" x14ac:dyDescent="0.25">
      <c r="A704" s="39"/>
      <c r="B704" s="67"/>
      <c r="C704" s="42"/>
      <c r="D704" s="52"/>
      <c r="E704" s="19"/>
      <c r="F704" s="19"/>
      <c r="G704" s="19"/>
      <c r="H704" s="42"/>
      <c r="I704" s="42"/>
      <c r="J704" s="42"/>
      <c r="K704" s="42"/>
      <c r="L704" s="42"/>
      <c r="M704" s="42"/>
      <c r="N704" s="52"/>
    </row>
    <row r="705" spans="1:14" ht="20.100000000000001" customHeight="1" x14ac:dyDescent="0.25">
      <c r="A705" s="39"/>
      <c r="B705" s="67"/>
      <c r="C705" s="42"/>
      <c r="D705" s="52"/>
      <c r="E705" s="19"/>
      <c r="F705" s="19"/>
      <c r="G705" s="19"/>
      <c r="H705" s="42"/>
      <c r="I705" s="42"/>
      <c r="J705" s="42"/>
      <c r="K705" s="42"/>
      <c r="L705" s="42"/>
      <c r="M705" s="42"/>
      <c r="N705" s="52"/>
    </row>
    <row r="706" spans="1:14" ht="20.100000000000001" customHeight="1" x14ac:dyDescent="0.25">
      <c r="A706" s="39"/>
      <c r="B706" s="67"/>
      <c r="C706" s="42"/>
      <c r="D706" s="52"/>
      <c r="E706" s="19"/>
      <c r="F706" s="19"/>
      <c r="G706" s="19"/>
      <c r="H706" s="42"/>
      <c r="I706" s="42"/>
      <c r="J706" s="42"/>
      <c r="K706" s="42"/>
      <c r="L706" s="42"/>
      <c r="M706" s="42"/>
      <c r="N706" s="52"/>
    </row>
    <row r="707" spans="1:14" ht="20.100000000000001" customHeight="1" x14ac:dyDescent="0.25">
      <c r="A707" s="39"/>
      <c r="B707" s="67"/>
      <c r="C707" s="42"/>
      <c r="D707" s="52"/>
      <c r="E707" s="19"/>
      <c r="F707" s="19"/>
      <c r="G707" s="19"/>
      <c r="H707" s="42"/>
      <c r="I707" s="42"/>
      <c r="J707" s="42"/>
      <c r="K707" s="42"/>
      <c r="L707" s="42"/>
      <c r="M707" s="42"/>
      <c r="N707" s="52"/>
    </row>
    <row r="708" spans="1:14" ht="20.100000000000001" customHeight="1" x14ac:dyDescent="0.25">
      <c r="A708" s="39"/>
      <c r="B708" s="67"/>
      <c r="C708" s="42"/>
      <c r="D708" s="52"/>
      <c r="E708" s="19"/>
      <c r="F708" s="19"/>
      <c r="G708" s="19"/>
      <c r="H708" s="42"/>
      <c r="I708" s="42"/>
      <c r="J708" s="42"/>
      <c r="K708" s="42"/>
      <c r="L708" s="42"/>
      <c r="M708" s="42"/>
      <c r="N708" s="52"/>
    </row>
    <row r="709" spans="1:14" ht="20.100000000000001" customHeight="1" x14ac:dyDescent="0.25">
      <c r="A709" s="39"/>
      <c r="B709" s="67"/>
      <c r="C709" s="42"/>
      <c r="D709" s="52"/>
      <c r="E709" s="19"/>
      <c r="F709" s="19"/>
      <c r="G709" s="19"/>
      <c r="H709" s="42"/>
      <c r="I709" s="42"/>
      <c r="J709" s="42"/>
      <c r="K709" s="42"/>
      <c r="L709" s="42"/>
      <c r="M709" s="42"/>
      <c r="N709" s="52"/>
    </row>
    <row r="710" spans="1:14" ht="20.100000000000001" customHeight="1" x14ac:dyDescent="0.25">
      <c r="A710" s="39"/>
      <c r="B710" s="67"/>
      <c r="C710" s="42"/>
      <c r="D710" s="52"/>
      <c r="E710" s="19"/>
      <c r="F710" s="19"/>
      <c r="G710" s="19"/>
      <c r="H710" s="42"/>
      <c r="I710" s="42"/>
      <c r="J710" s="42"/>
      <c r="K710" s="42"/>
      <c r="L710" s="42"/>
      <c r="M710" s="42"/>
      <c r="N710" s="52"/>
    </row>
    <row r="711" spans="1:14" ht="20.100000000000001" customHeight="1" x14ac:dyDescent="0.25">
      <c r="A711" s="39"/>
      <c r="B711" s="67"/>
      <c r="C711" s="42"/>
      <c r="D711" s="52"/>
      <c r="E711" s="19"/>
      <c r="F711" s="19"/>
      <c r="G711" s="19"/>
      <c r="H711" s="42"/>
      <c r="I711" s="42"/>
      <c r="J711" s="42"/>
      <c r="K711" s="42"/>
      <c r="L711" s="42"/>
      <c r="M711" s="42"/>
      <c r="N711" s="52"/>
    </row>
    <row r="712" spans="1:14" ht="20.100000000000001" customHeight="1" x14ac:dyDescent="0.25">
      <c r="A712" s="39"/>
      <c r="B712" s="67"/>
      <c r="C712" s="42"/>
      <c r="D712" s="52"/>
      <c r="E712" s="19"/>
      <c r="F712" s="19"/>
      <c r="G712" s="19"/>
      <c r="H712" s="42"/>
      <c r="I712" s="42"/>
      <c r="J712" s="42"/>
      <c r="K712" s="42"/>
      <c r="L712" s="42"/>
      <c r="M712" s="42"/>
      <c r="N712" s="52"/>
    </row>
    <row r="713" spans="1:14" ht="20.100000000000001" customHeight="1" x14ac:dyDescent="0.25">
      <c r="A713" s="39"/>
      <c r="B713" s="67"/>
      <c r="C713" s="42"/>
      <c r="D713" s="52"/>
      <c r="E713" s="19"/>
      <c r="F713" s="19"/>
      <c r="G713" s="19"/>
      <c r="H713" s="42"/>
      <c r="I713" s="42"/>
      <c r="J713" s="42"/>
      <c r="K713" s="42"/>
      <c r="L713" s="42"/>
      <c r="M713" s="42"/>
      <c r="N713" s="52"/>
    </row>
    <row r="714" spans="1:14" ht="20.100000000000001" customHeight="1" x14ac:dyDescent="0.25">
      <c r="A714" s="39"/>
      <c r="B714" s="67"/>
      <c r="C714" s="42"/>
      <c r="D714" s="52"/>
      <c r="E714" s="19"/>
      <c r="F714" s="19"/>
      <c r="G714" s="19"/>
      <c r="H714" s="42"/>
      <c r="I714" s="42"/>
      <c r="J714" s="42"/>
      <c r="K714" s="42"/>
      <c r="L714" s="42"/>
      <c r="M714" s="42"/>
      <c r="N714" s="52"/>
    </row>
    <row r="715" spans="1:14" ht="20.100000000000001" customHeight="1" x14ac:dyDescent="0.25">
      <c r="A715" s="39"/>
      <c r="B715" s="67"/>
      <c r="C715" s="42"/>
      <c r="D715" s="52"/>
      <c r="E715" s="19"/>
      <c r="F715" s="19"/>
      <c r="G715" s="19"/>
      <c r="H715" s="42"/>
      <c r="I715" s="42"/>
      <c r="J715" s="42"/>
      <c r="K715" s="42"/>
      <c r="L715" s="42"/>
      <c r="M715" s="42"/>
      <c r="N715" s="52"/>
    </row>
    <row r="716" spans="1:14" ht="20.100000000000001" customHeight="1" x14ac:dyDescent="0.25">
      <c r="A716" s="39"/>
      <c r="B716" s="67"/>
      <c r="C716" s="42"/>
      <c r="D716" s="52"/>
      <c r="E716" s="19"/>
      <c r="F716" s="19"/>
      <c r="G716" s="19"/>
      <c r="H716" s="42"/>
      <c r="I716" s="42"/>
      <c r="J716" s="42"/>
      <c r="K716" s="42"/>
      <c r="L716" s="42"/>
      <c r="M716" s="42"/>
      <c r="N716" s="52"/>
    </row>
    <row r="717" spans="1:14" ht="20.100000000000001" customHeight="1" x14ac:dyDescent="0.25">
      <c r="A717" s="39"/>
      <c r="B717" s="67"/>
      <c r="C717" s="42"/>
      <c r="D717" s="52"/>
      <c r="E717" s="19"/>
      <c r="F717" s="19"/>
      <c r="G717" s="19"/>
      <c r="H717" s="42"/>
      <c r="I717" s="42"/>
      <c r="J717" s="42"/>
      <c r="K717" s="42"/>
      <c r="L717" s="42"/>
      <c r="M717" s="42"/>
      <c r="N717" s="52"/>
    </row>
    <row r="718" spans="1:14" ht="20.100000000000001" customHeight="1" x14ac:dyDescent="0.25">
      <c r="A718" s="39"/>
      <c r="B718" s="67"/>
      <c r="C718" s="42"/>
      <c r="D718" s="52"/>
      <c r="E718" s="19"/>
      <c r="F718" s="19"/>
      <c r="G718" s="19"/>
      <c r="H718" s="42"/>
      <c r="I718" s="42"/>
      <c r="J718" s="42"/>
      <c r="K718" s="42"/>
      <c r="L718" s="42"/>
      <c r="M718" s="42"/>
      <c r="N718" s="52"/>
    </row>
    <row r="719" spans="1:14" ht="20.100000000000001" customHeight="1" x14ac:dyDescent="0.25">
      <c r="A719" s="39"/>
      <c r="B719" s="67"/>
      <c r="C719" s="42"/>
      <c r="D719" s="52"/>
      <c r="E719" s="19"/>
      <c r="F719" s="19"/>
      <c r="G719" s="19"/>
      <c r="H719" s="42"/>
      <c r="I719" s="42"/>
      <c r="J719" s="42"/>
      <c r="K719" s="42"/>
      <c r="L719" s="42"/>
      <c r="M719" s="42"/>
      <c r="N719" s="52"/>
    </row>
    <row r="720" spans="1:14" ht="20.100000000000001" customHeight="1" x14ac:dyDescent="0.25">
      <c r="A720" s="39"/>
      <c r="B720" s="67"/>
      <c r="C720" s="42"/>
      <c r="D720" s="52"/>
      <c r="E720" s="19"/>
      <c r="F720" s="19"/>
      <c r="G720" s="19"/>
      <c r="H720" s="42"/>
      <c r="I720" s="42"/>
      <c r="J720" s="42"/>
      <c r="K720" s="42"/>
      <c r="L720" s="42"/>
      <c r="M720" s="42"/>
      <c r="N720" s="52"/>
    </row>
    <row r="721" spans="1:14" ht="20.100000000000001" customHeight="1" x14ac:dyDescent="0.25">
      <c r="A721" s="39"/>
      <c r="B721" s="67"/>
      <c r="C721" s="42"/>
      <c r="D721" s="52"/>
      <c r="E721" s="19"/>
      <c r="F721" s="19"/>
      <c r="G721" s="19"/>
      <c r="H721" s="42"/>
      <c r="I721" s="42"/>
      <c r="J721" s="42"/>
      <c r="K721" s="42"/>
      <c r="L721" s="42"/>
      <c r="M721" s="42"/>
      <c r="N721" s="52"/>
    </row>
    <row r="722" spans="1:14" ht="20.100000000000001" customHeight="1" x14ac:dyDescent="0.25">
      <c r="A722" s="39"/>
      <c r="B722" s="67"/>
      <c r="C722" s="42"/>
      <c r="D722" s="52"/>
      <c r="E722" s="19"/>
      <c r="F722" s="19"/>
      <c r="G722" s="19"/>
      <c r="H722" s="42"/>
      <c r="I722" s="42"/>
      <c r="J722" s="42"/>
      <c r="K722" s="42"/>
      <c r="L722" s="42"/>
      <c r="M722" s="42"/>
      <c r="N722" s="52"/>
    </row>
    <row r="723" spans="1:14" ht="20.100000000000001" customHeight="1" x14ac:dyDescent="0.25">
      <c r="A723" s="39"/>
      <c r="B723" s="67"/>
      <c r="C723" s="42"/>
      <c r="D723" s="52"/>
      <c r="E723" s="19"/>
      <c r="F723" s="19"/>
      <c r="G723" s="19"/>
      <c r="H723" s="42"/>
      <c r="I723" s="42"/>
      <c r="J723" s="42"/>
      <c r="K723" s="42"/>
      <c r="L723" s="42"/>
      <c r="M723" s="42"/>
      <c r="N723" s="52"/>
    </row>
    <row r="724" spans="1:14" ht="20.100000000000001" customHeight="1" x14ac:dyDescent="0.25">
      <c r="A724" s="39"/>
      <c r="B724" s="67"/>
      <c r="C724" s="42"/>
      <c r="D724" s="52"/>
      <c r="E724" s="19"/>
      <c r="F724" s="19"/>
      <c r="G724" s="19"/>
      <c r="H724" s="42"/>
      <c r="I724" s="42"/>
      <c r="J724" s="42"/>
      <c r="K724" s="42"/>
      <c r="L724" s="42"/>
      <c r="M724" s="42"/>
      <c r="N724" s="52"/>
    </row>
    <row r="725" spans="1:14" ht="20.100000000000001" customHeight="1" x14ac:dyDescent="0.25">
      <c r="A725" s="39"/>
      <c r="B725" s="67"/>
      <c r="C725" s="42"/>
      <c r="D725" s="52"/>
      <c r="E725" s="19"/>
      <c r="F725" s="19"/>
      <c r="G725" s="19"/>
      <c r="H725" s="42"/>
      <c r="I725" s="42"/>
      <c r="J725" s="42"/>
      <c r="K725" s="42"/>
      <c r="L725" s="42"/>
      <c r="M725" s="42"/>
      <c r="N725" s="52"/>
    </row>
    <row r="726" spans="1:14" ht="20.100000000000001" customHeight="1" x14ac:dyDescent="0.25">
      <c r="A726" s="39"/>
      <c r="B726" s="67"/>
      <c r="C726" s="42"/>
      <c r="D726" s="52"/>
      <c r="E726" s="19"/>
      <c r="F726" s="19"/>
      <c r="G726" s="19"/>
      <c r="H726" s="42"/>
      <c r="I726" s="42"/>
      <c r="J726" s="42"/>
      <c r="K726" s="42"/>
      <c r="L726" s="42"/>
      <c r="M726" s="42"/>
      <c r="N726" s="52"/>
    </row>
    <row r="727" spans="1:14" ht="20.100000000000001" customHeight="1" x14ac:dyDescent="0.25">
      <c r="A727" s="39"/>
      <c r="B727" s="67"/>
      <c r="C727" s="42"/>
      <c r="D727" s="52"/>
      <c r="E727" s="19"/>
      <c r="F727" s="19"/>
      <c r="G727" s="19"/>
      <c r="H727" s="42"/>
      <c r="I727" s="42"/>
      <c r="J727" s="42"/>
      <c r="K727" s="42"/>
      <c r="L727" s="42"/>
      <c r="M727" s="42"/>
      <c r="N727" s="52"/>
    </row>
    <row r="728" spans="1:14" ht="20.100000000000001" customHeight="1" x14ac:dyDescent="0.25">
      <c r="A728" s="39"/>
      <c r="B728" s="67"/>
      <c r="C728" s="42"/>
      <c r="D728" s="52"/>
      <c r="E728" s="19"/>
      <c r="F728" s="19"/>
      <c r="G728" s="19"/>
      <c r="H728" s="42"/>
      <c r="I728" s="42"/>
      <c r="J728" s="42"/>
      <c r="K728" s="42"/>
      <c r="L728" s="42"/>
      <c r="M728" s="42"/>
      <c r="N728" s="52"/>
    </row>
    <row r="729" spans="1:14" ht="20.100000000000001" customHeight="1" x14ac:dyDescent="0.25">
      <c r="A729" s="39"/>
      <c r="B729" s="67"/>
      <c r="C729" s="42"/>
      <c r="D729" s="52"/>
      <c r="E729" s="19"/>
      <c r="F729" s="19"/>
      <c r="G729" s="19"/>
      <c r="H729" s="42"/>
      <c r="I729" s="42"/>
      <c r="J729" s="42"/>
      <c r="K729" s="42"/>
      <c r="L729" s="42"/>
      <c r="M729" s="42"/>
      <c r="N729" s="52"/>
    </row>
    <row r="730" spans="1:14" ht="20.100000000000001" customHeight="1" x14ac:dyDescent="0.25">
      <c r="A730" s="39"/>
      <c r="B730" s="67"/>
      <c r="C730" s="42"/>
      <c r="D730" s="52"/>
      <c r="E730" s="19"/>
      <c r="F730" s="19"/>
      <c r="G730" s="19"/>
      <c r="H730" s="42"/>
      <c r="I730" s="42"/>
      <c r="J730" s="42"/>
      <c r="K730" s="42"/>
      <c r="L730" s="42"/>
      <c r="M730" s="42"/>
      <c r="N730" s="52"/>
    </row>
    <row r="731" spans="1:14" ht="20.100000000000001" customHeight="1" x14ac:dyDescent="0.25">
      <c r="A731" s="39"/>
      <c r="B731" s="67"/>
      <c r="C731" s="42"/>
      <c r="D731" s="52"/>
      <c r="E731" s="19"/>
      <c r="F731" s="19"/>
      <c r="G731" s="19"/>
      <c r="H731" s="42"/>
      <c r="I731" s="42"/>
      <c r="J731" s="42"/>
      <c r="K731" s="42"/>
      <c r="L731" s="42"/>
      <c r="M731" s="42"/>
      <c r="N731" s="52"/>
    </row>
    <row r="732" spans="1:14" ht="20.100000000000001" customHeight="1" x14ac:dyDescent="0.25">
      <c r="A732" s="39"/>
      <c r="B732" s="67"/>
      <c r="C732" s="42"/>
      <c r="D732" s="52"/>
      <c r="E732" s="19"/>
      <c r="F732" s="19"/>
      <c r="G732" s="19"/>
      <c r="H732" s="42"/>
      <c r="I732" s="42"/>
      <c r="J732" s="42"/>
      <c r="K732" s="42"/>
      <c r="L732" s="42"/>
      <c r="M732" s="42"/>
      <c r="N732" s="52"/>
    </row>
    <row r="733" spans="1:14" ht="20.100000000000001" customHeight="1" x14ac:dyDescent="0.25">
      <c r="A733" s="39"/>
      <c r="B733" s="67"/>
      <c r="C733" s="42"/>
      <c r="D733" s="52"/>
      <c r="E733" s="19"/>
      <c r="F733" s="19"/>
      <c r="G733" s="19"/>
      <c r="H733" s="42"/>
      <c r="I733" s="42"/>
      <c r="J733" s="42"/>
      <c r="K733" s="42"/>
      <c r="L733" s="42"/>
      <c r="M733" s="42"/>
      <c r="N733" s="52"/>
    </row>
    <row r="734" spans="1:14" ht="20.100000000000001" customHeight="1" x14ac:dyDescent="0.25">
      <c r="A734" s="39"/>
      <c r="B734" s="67"/>
      <c r="C734" s="42"/>
      <c r="D734" s="52"/>
      <c r="E734" s="19"/>
      <c r="F734" s="19"/>
      <c r="G734" s="19"/>
      <c r="H734" s="42"/>
      <c r="I734" s="42"/>
      <c r="J734" s="42"/>
      <c r="K734" s="42"/>
      <c r="L734" s="42"/>
      <c r="M734" s="42"/>
      <c r="N734" s="52"/>
    </row>
    <row r="735" spans="1:14" ht="20.100000000000001" customHeight="1" x14ac:dyDescent="0.25">
      <c r="A735" s="39"/>
      <c r="B735" s="67"/>
      <c r="C735" s="42"/>
      <c r="D735" s="52"/>
      <c r="E735" s="19"/>
      <c r="F735" s="19"/>
      <c r="G735" s="19"/>
      <c r="H735" s="42"/>
      <c r="I735" s="42"/>
      <c r="J735" s="42"/>
      <c r="K735" s="42"/>
      <c r="L735" s="42"/>
      <c r="M735" s="42"/>
      <c r="N735" s="52"/>
    </row>
    <row r="736" spans="1:14" ht="20.100000000000001" customHeight="1" x14ac:dyDescent="0.25">
      <c r="A736" s="39"/>
      <c r="B736" s="67"/>
      <c r="C736" s="42"/>
      <c r="D736" s="52"/>
      <c r="E736" s="19"/>
      <c r="F736" s="19"/>
      <c r="G736" s="19"/>
      <c r="H736" s="42"/>
      <c r="I736" s="42"/>
      <c r="J736" s="42"/>
      <c r="K736" s="42"/>
      <c r="L736" s="42"/>
      <c r="M736" s="42"/>
      <c r="N736" s="52"/>
    </row>
    <row r="737" spans="1:14" ht="20.100000000000001" customHeight="1" x14ac:dyDescent="0.25">
      <c r="A737" s="39"/>
      <c r="B737" s="67"/>
      <c r="C737" s="42"/>
      <c r="D737" s="52"/>
      <c r="E737" s="19"/>
      <c r="F737" s="19"/>
      <c r="G737" s="19"/>
      <c r="H737" s="42"/>
      <c r="I737" s="42"/>
      <c r="J737" s="42"/>
      <c r="K737" s="42"/>
      <c r="L737" s="42"/>
      <c r="M737" s="42"/>
      <c r="N737" s="52"/>
    </row>
    <row r="738" spans="1:14" ht="20.100000000000001" customHeight="1" x14ac:dyDescent="0.25">
      <c r="A738" s="39"/>
      <c r="B738" s="67"/>
      <c r="C738" s="42"/>
      <c r="D738" s="52"/>
      <c r="E738" s="19"/>
      <c r="F738" s="19"/>
      <c r="G738" s="19"/>
      <c r="H738" s="42"/>
      <c r="I738" s="42"/>
      <c r="J738" s="42"/>
      <c r="K738" s="42"/>
      <c r="L738" s="42"/>
      <c r="M738" s="42"/>
      <c r="N738" s="52"/>
    </row>
    <row r="739" spans="1:14" ht="20.100000000000001" customHeight="1" x14ac:dyDescent="0.25">
      <c r="A739" s="39"/>
      <c r="B739" s="67"/>
      <c r="C739" s="42"/>
      <c r="D739" s="52"/>
      <c r="E739" s="19"/>
      <c r="F739" s="19"/>
      <c r="G739" s="19"/>
      <c r="H739" s="42"/>
      <c r="I739" s="42"/>
      <c r="J739" s="42"/>
      <c r="K739" s="42"/>
      <c r="L739" s="42"/>
      <c r="M739" s="42"/>
      <c r="N739" s="52"/>
    </row>
    <row r="740" spans="1:14" ht="20.100000000000001" customHeight="1" x14ac:dyDescent="0.25">
      <c r="A740" s="39"/>
      <c r="B740" s="67"/>
      <c r="C740" s="42"/>
      <c r="D740" s="52"/>
      <c r="E740" s="19"/>
      <c r="F740" s="19"/>
      <c r="G740" s="19"/>
      <c r="H740" s="42"/>
      <c r="I740" s="42"/>
      <c r="J740" s="42"/>
      <c r="K740" s="42"/>
      <c r="L740" s="42"/>
      <c r="M740" s="42"/>
      <c r="N740" s="52"/>
    </row>
    <row r="741" spans="1:14" ht="20.100000000000001" customHeight="1" x14ac:dyDescent="0.25">
      <c r="A741" s="39"/>
      <c r="B741" s="67"/>
      <c r="C741" s="42"/>
      <c r="D741" s="52"/>
      <c r="E741" s="19"/>
      <c r="F741" s="19"/>
      <c r="G741" s="19"/>
      <c r="H741" s="42"/>
      <c r="I741" s="42"/>
      <c r="J741" s="42"/>
      <c r="K741" s="42"/>
      <c r="L741" s="42"/>
      <c r="M741" s="42"/>
      <c r="N741" s="52"/>
    </row>
    <row r="742" spans="1:14" ht="20.100000000000001" customHeight="1" x14ac:dyDescent="0.25">
      <c r="A742" s="39"/>
      <c r="B742" s="67"/>
      <c r="C742" s="42"/>
      <c r="D742" s="52"/>
      <c r="E742" s="19"/>
      <c r="F742" s="19"/>
      <c r="G742" s="19"/>
      <c r="H742" s="42"/>
      <c r="I742" s="42"/>
      <c r="J742" s="42"/>
      <c r="K742" s="42"/>
      <c r="L742" s="42"/>
      <c r="M742" s="42"/>
      <c r="N742" s="52"/>
    </row>
    <row r="743" spans="1:14" ht="20.100000000000001" customHeight="1" x14ac:dyDescent="0.25">
      <c r="A743" s="39"/>
      <c r="B743" s="67"/>
      <c r="C743" s="42"/>
      <c r="D743" s="52"/>
      <c r="E743" s="19"/>
      <c r="F743" s="19"/>
      <c r="G743" s="19"/>
      <c r="H743" s="42"/>
      <c r="I743" s="42"/>
      <c r="J743" s="42"/>
      <c r="K743" s="42"/>
      <c r="L743" s="42"/>
      <c r="M743" s="42"/>
      <c r="N743" s="52"/>
    </row>
    <row r="744" spans="1:14" ht="20.100000000000001" customHeight="1" x14ac:dyDescent="0.25">
      <c r="A744" s="39"/>
      <c r="B744" s="67"/>
      <c r="C744" s="42"/>
      <c r="D744" s="52"/>
      <c r="E744" s="19"/>
      <c r="F744" s="19"/>
      <c r="G744" s="19"/>
      <c r="H744" s="42"/>
      <c r="I744" s="42"/>
      <c r="J744" s="42"/>
      <c r="K744" s="42"/>
      <c r="L744" s="42"/>
      <c r="M744" s="42"/>
      <c r="N744" s="52"/>
    </row>
    <row r="745" spans="1:14" ht="20.100000000000001" customHeight="1" x14ac:dyDescent="0.25">
      <c r="A745" s="39"/>
      <c r="B745" s="67"/>
      <c r="C745" s="42"/>
      <c r="D745" s="52"/>
      <c r="E745" s="19"/>
      <c r="F745" s="19"/>
      <c r="G745" s="19"/>
      <c r="H745" s="42"/>
      <c r="I745" s="42"/>
      <c r="J745" s="42"/>
      <c r="K745" s="42"/>
      <c r="L745" s="42"/>
      <c r="M745" s="42"/>
      <c r="N745" s="52"/>
    </row>
    <row r="746" spans="1:14" ht="20.100000000000001" customHeight="1" x14ac:dyDescent="0.25">
      <c r="A746" s="39"/>
      <c r="B746" s="67"/>
      <c r="C746" s="42"/>
      <c r="D746" s="52"/>
      <c r="E746" s="19"/>
      <c r="F746" s="19"/>
      <c r="G746" s="19"/>
      <c r="H746" s="42"/>
      <c r="I746" s="42"/>
      <c r="J746" s="42"/>
      <c r="K746" s="42"/>
      <c r="L746" s="42"/>
      <c r="M746" s="42"/>
      <c r="N746" s="52"/>
    </row>
    <row r="747" spans="1:14" ht="20.100000000000001" customHeight="1" x14ac:dyDescent="0.25">
      <c r="A747" s="39"/>
      <c r="B747" s="67"/>
      <c r="C747" s="42"/>
      <c r="D747" s="52"/>
      <c r="E747" s="19"/>
      <c r="F747" s="19"/>
      <c r="G747" s="19"/>
      <c r="H747" s="42"/>
      <c r="I747" s="42"/>
      <c r="J747" s="42"/>
      <c r="K747" s="42"/>
      <c r="L747" s="42"/>
      <c r="M747" s="42"/>
      <c r="N747" s="52"/>
    </row>
    <row r="748" spans="1:14" ht="20.100000000000001" customHeight="1" x14ac:dyDescent="0.25">
      <c r="A748" s="39"/>
      <c r="B748" s="67"/>
      <c r="C748" s="42"/>
      <c r="D748" s="52"/>
      <c r="E748" s="19"/>
      <c r="F748" s="19"/>
      <c r="G748" s="19"/>
      <c r="H748" s="42"/>
      <c r="I748" s="42"/>
      <c r="J748" s="42"/>
      <c r="K748" s="42"/>
      <c r="L748" s="42"/>
      <c r="M748" s="42"/>
      <c r="N748" s="52"/>
    </row>
    <row r="749" spans="1:14" ht="20.100000000000001" customHeight="1" x14ac:dyDescent="0.25">
      <c r="A749" s="39"/>
      <c r="B749" s="67"/>
      <c r="C749" s="42"/>
      <c r="D749" s="52"/>
      <c r="E749" s="19"/>
      <c r="F749" s="19"/>
      <c r="G749" s="19"/>
      <c r="H749" s="42"/>
      <c r="I749" s="42"/>
      <c r="J749" s="42"/>
      <c r="K749" s="42"/>
      <c r="L749" s="42"/>
      <c r="M749" s="42"/>
      <c r="N749" s="52"/>
    </row>
    <row r="750" spans="1:14" ht="20.100000000000001" customHeight="1" x14ac:dyDescent="0.25">
      <c r="A750" s="39"/>
      <c r="B750" s="67"/>
      <c r="C750" s="42"/>
      <c r="D750" s="52"/>
      <c r="E750" s="19"/>
      <c r="F750" s="19"/>
      <c r="G750" s="19"/>
      <c r="H750" s="42"/>
      <c r="I750" s="42"/>
      <c r="J750" s="42"/>
      <c r="K750" s="42"/>
      <c r="L750" s="42"/>
      <c r="M750" s="42"/>
      <c r="N750" s="52"/>
    </row>
    <row r="751" spans="1:14" ht="20.100000000000001" customHeight="1" x14ac:dyDescent="0.25">
      <c r="A751" s="39"/>
      <c r="B751" s="67"/>
      <c r="C751" s="42"/>
      <c r="D751" s="52"/>
      <c r="E751" s="19"/>
      <c r="F751" s="19"/>
      <c r="G751" s="19"/>
      <c r="H751" s="42"/>
      <c r="I751" s="42"/>
      <c r="J751" s="42"/>
      <c r="K751" s="42"/>
      <c r="L751" s="42"/>
      <c r="M751" s="42"/>
      <c r="N751" s="52"/>
    </row>
    <row r="752" spans="1:14" ht="20.100000000000001" customHeight="1" x14ac:dyDescent="0.25">
      <c r="A752" s="39"/>
      <c r="B752" s="67"/>
      <c r="C752" s="42"/>
      <c r="D752" s="52"/>
      <c r="E752" s="19"/>
      <c r="F752" s="19"/>
      <c r="G752" s="19"/>
      <c r="H752" s="42"/>
      <c r="I752" s="42"/>
      <c r="J752" s="42"/>
      <c r="K752" s="42"/>
      <c r="L752" s="42"/>
      <c r="M752" s="42"/>
      <c r="N752" s="52"/>
    </row>
    <row r="753" spans="1:14" ht="20.100000000000001" customHeight="1" x14ac:dyDescent="0.25">
      <c r="A753" s="39"/>
      <c r="B753" s="67"/>
      <c r="C753" s="42"/>
      <c r="D753" s="52"/>
      <c r="E753" s="19"/>
      <c r="F753" s="19"/>
      <c r="G753" s="19"/>
      <c r="H753" s="42"/>
      <c r="I753" s="42"/>
      <c r="J753" s="42"/>
      <c r="K753" s="42"/>
      <c r="L753" s="42"/>
      <c r="M753" s="42"/>
      <c r="N753" s="52"/>
    </row>
    <row r="754" spans="1:14" ht="20.100000000000001" customHeight="1" x14ac:dyDescent="0.25">
      <c r="A754" s="39"/>
      <c r="B754" s="67"/>
      <c r="C754" s="42"/>
      <c r="D754" s="52"/>
      <c r="E754" s="19"/>
      <c r="F754" s="19"/>
      <c r="G754" s="19"/>
      <c r="H754" s="42"/>
      <c r="I754" s="42"/>
      <c r="J754" s="42"/>
      <c r="K754" s="42"/>
      <c r="L754" s="42"/>
      <c r="M754" s="42"/>
      <c r="N754" s="52"/>
    </row>
    <row r="755" spans="1:14" ht="20.100000000000001" customHeight="1" x14ac:dyDescent="0.25">
      <c r="A755" s="39"/>
      <c r="B755" s="67"/>
      <c r="C755" s="42"/>
      <c r="D755" s="52"/>
      <c r="E755" s="19"/>
      <c r="F755" s="19"/>
      <c r="G755" s="19"/>
      <c r="H755" s="42"/>
      <c r="I755" s="42"/>
      <c r="J755" s="42"/>
      <c r="K755" s="42"/>
      <c r="L755" s="42"/>
      <c r="M755" s="42"/>
      <c r="N755" s="52"/>
    </row>
    <row r="756" spans="1:14" ht="20.100000000000001" customHeight="1" x14ac:dyDescent="0.25">
      <c r="A756" s="39"/>
      <c r="B756" s="67"/>
      <c r="C756" s="42"/>
      <c r="D756" s="52"/>
      <c r="E756" s="19"/>
      <c r="F756" s="19"/>
      <c r="G756" s="19"/>
      <c r="H756" s="42"/>
      <c r="I756" s="42"/>
      <c r="J756" s="42"/>
      <c r="K756" s="42"/>
      <c r="L756" s="42"/>
      <c r="M756" s="42"/>
      <c r="N756" s="52"/>
    </row>
    <row r="757" spans="1:14" ht="20.100000000000001" customHeight="1" x14ac:dyDescent="0.25">
      <c r="A757" s="39"/>
      <c r="B757" s="67"/>
      <c r="C757" s="42"/>
      <c r="D757" s="52"/>
      <c r="E757" s="19"/>
      <c r="F757" s="19"/>
      <c r="G757" s="19"/>
      <c r="H757" s="42"/>
      <c r="I757" s="42"/>
      <c r="J757" s="42"/>
      <c r="K757" s="42"/>
      <c r="L757" s="42"/>
      <c r="M757" s="42"/>
      <c r="N757" s="52"/>
    </row>
    <row r="758" spans="1:14" ht="20.100000000000001" customHeight="1" x14ac:dyDescent="0.25">
      <c r="A758" s="39"/>
      <c r="B758" s="67"/>
      <c r="C758" s="42"/>
      <c r="D758" s="52"/>
      <c r="E758" s="19"/>
      <c r="F758" s="19"/>
      <c r="G758" s="19"/>
      <c r="H758" s="42"/>
      <c r="I758" s="42"/>
      <c r="J758" s="42"/>
      <c r="K758" s="42"/>
      <c r="L758" s="42"/>
      <c r="M758" s="42"/>
      <c r="N758" s="52"/>
    </row>
    <row r="759" spans="1:14" ht="20.100000000000001" customHeight="1" x14ac:dyDescent="0.25">
      <c r="A759" s="39"/>
      <c r="B759" s="67"/>
      <c r="C759" s="42"/>
      <c r="D759" s="52"/>
      <c r="E759" s="19"/>
      <c r="F759" s="19"/>
      <c r="G759" s="19"/>
      <c r="H759" s="42"/>
      <c r="I759" s="42"/>
      <c r="J759" s="42"/>
      <c r="K759" s="42"/>
      <c r="L759" s="42"/>
      <c r="M759" s="42"/>
      <c r="N759" s="52"/>
    </row>
    <row r="760" spans="1:14" ht="20.100000000000001" customHeight="1" x14ac:dyDescent="0.25">
      <c r="A760" s="39"/>
      <c r="B760" s="67"/>
      <c r="C760" s="42"/>
      <c r="D760" s="52"/>
      <c r="E760" s="19"/>
      <c r="F760" s="19"/>
      <c r="G760" s="19"/>
      <c r="H760" s="42"/>
      <c r="I760" s="42"/>
      <c r="J760" s="42"/>
      <c r="K760" s="42"/>
      <c r="L760" s="42"/>
      <c r="M760" s="42"/>
      <c r="N760" s="52"/>
    </row>
    <row r="761" spans="1:14" ht="20.100000000000001" customHeight="1" x14ac:dyDescent="0.25">
      <c r="A761" s="39"/>
      <c r="B761" s="67"/>
      <c r="C761" s="42"/>
      <c r="D761" s="52"/>
      <c r="E761" s="19"/>
      <c r="F761" s="19"/>
      <c r="G761" s="19"/>
      <c r="H761" s="42"/>
      <c r="I761" s="42"/>
      <c r="J761" s="42"/>
      <c r="K761" s="42"/>
      <c r="L761" s="42"/>
      <c r="M761" s="42"/>
      <c r="N761" s="52"/>
    </row>
    <row r="762" spans="1:14" ht="20.100000000000001" customHeight="1" x14ac:dyDescent="0.25">
      <c r="A762" s="39"/>
      <c r="B762" s="67"/>
      <c r="C762" s="42"/>
      <c r="D762" s="52"/>
      <c r="E762" s="19"/>
      <c r="F762" s="19"/>
      <c r="G762" s="19"/>
      <c r="H762" s="42"/>
      <c r="I762" s="42"/>
      <c r="J762" s="42"/>
      <c r="K762" s="42"/>
      <c r="L762" s="42"/>
      <c r="M762" s="42"/>
      <c r="N762" s="52"/>
    </row>
    <row r="763" spans="1:14" ht="20.100000000000001" customHeight="1" x14ac:dyDescent="0.25">
      <c r="A763" s="39"/>
      <c r="B763" s="67"/>
      <c r="C763" s="42"/>
      <c r="D763" s="52"/>
      <c r="E763" s="19"/>
      <c r="F763" s="19"/>
      <c r="G763" s="19"/>
      <c r="H763" s="42"/>
      <c r="I763" s="42"/>
      <c r="J763" s="42"/>
      <c r="K763" s="42"/>
      <c r="L763" s="42"/>
      <c r="M763" s="42"/>
      <c r="N763" s="52"/>
    </row>
    <row r="764" spans="1:14" ht="20.100000000000001" customHeight="1" x14ac:dyDescent="0.25">
      <c r="A764" s="39"/>
      <c r="B764" s="67"/>
      <c r="C764" s="42"/>
      <c r="D764" s="52"/>
      <c r="E764" s="19"/>
      <c r="F764" s="19"/>
      <c r="G764" s="19"/>
      <c r="H764" s="42"/>
      <c r="I764" s="42"/>
      <c r="J764" s="42"/>
      <c r="K764" s="42"/>
      <c r="L764" s="42"/>
      <c r="M764" s="42"/>
      <c r="N764" s="52"/>
    </row>
    <row r="765" spans="1:14" ht="20.100000000000001" customHeight="1" x14ac:dyDescent="0.25">
      <c r="A765" s="39"/>
      <c r="B765" s="67"/>
      <c r="C765" s="42"/>
      <c r="D765" s="52"/>
      <c r="E765" s="19"/>
      <c r="F765" s="19"/>
      <c r="G765" s="19"/>
      <c r="H765" s="42"/>
      <c r="I765" s="42"/>
      <c r="J765" s="42"/>
      <c r="K765" s="42"/>
      <c r="L765" s="42"/>
      <c r="M765" s="42"/>
      <c r="N765" s="52"/>
    </row>
    <row r="766" spans="1:14" ht="20.100000000000001" customHeight="1" x14ac:dyDescent="0.25">
      <c r="A766" s="39"/>
      <c r="B766" s="67"/>
      <c r="C766" s="42"/>
      <c r="D766" s="52"/>
      <c r="E766" s="19"/>
      <c r="F766" s="19"/>
      <c r="G766" s="19"/>
      <c r="H766" s="42"/>
      <c r="I766" s="42"/>
      <c r="J766" s="42"/>
      <c r="K766" s="42"/>
      <c r="L766" s="42"/>
      <c r="M766" s="42"/>
      <c r="N766" s="52"/>
    </row>
    <row r="767" spans="1:14" ht="20.100000000000001" customHeight="1" x14ac:dyDescent="0.25">
      <c r="A767" s="39"/>
      <c r="B767" s="67"/>
      <c r="C767" s="42"/>
      <c r="D767" s="52"/>
      <c r="E767" s="19"/>
      <c r="F767" s="19"/>
      <c r="G767" s="19"/>
      <c r="H767" s="42"/>
      <c r="I767" s="42"/>
      <c r="J767" s="42"/>
      <c r="K767" s="42"/>
      <c r="L767" s="42"/>
      <c r="M767" s="42"/>
      <c r="N767" s="52"/>
    </row>
    <row r="768" spans="1:14" ht="20.100000000000001" customHeight="1" x14ac:dyDescent="0.25">
      <c r="A768" s="39"/>
      <c r="B768" s="67"/>
      <c r="C768" s="42"/>
      <c r="D768" s="52"/>
      <c r="E768" s="19"/>
      <c r="F768" s="19"/>
      <c r="G768" s="19"/>
      <c r="H768" s="42"/>
      <c r="I768" s="42"/>
      <c r="J768" s="42"/>
      <c r="K768" s="42"/>
      <c r="L768" s="42"/>
      <c r="M768" s="42"/>
      <c r="N768" s="52"/>
    </row>
    <row r="769" spans="1:14" ht="20.100000000000001" customHeight="1" x14ac:dyDescent="0.25">
      <c r="A769" s="39"/>
      <c r="B769" s="67"/>
      <c r="C769" s="42"/>
      <c r="D769" s="52"/>
      <c r="E769" s="19"/>
      <c r="F769" s="19"/>
      <c r="G769" s="19"/>
      <c r="H769" s="42"/>
      <c r="I769" s="42"/>
      <c r="J769" s="42"/>
      <c r="K769" s="42"/>
      <c r="L769" s="42"/>
      <c r="M769" s="42"/>
      <c r="N769" s="52"/>
    </row>
    <row r="770" spans="1:14" ht="20.100000000000001" customHeight="1" x14ac:dyDescent="0.25">
      <c r="A770" s="39"/>
      <c r="B770" s="67"/>
      <c r="C770" s="42"/>
      <c r="D770" s="52"/>
      <c r="E770" s="19"/>
      <c r="F770" s="19"/>
      <c r="G770" s="19"/>
      <c r="H770" s="42"/>
      <c r="I770" s="42"/>
      <c r="J770" s="42"/>
      <c r="K770" s="42"/>
      <c r="L770" s="42"/>
      <c r="M770" s="42"/>
      <c r="N770" s="52"/>
    </row>
    <row r="771" spans="1:14" ht="20.100000000000001" customHeight="1" x14ac:dyDescent="0.25">
      <c r="A771" s="39"/>
      <c r="B771" s="67"/>
      <c r="C771" s="42"/>
      <c r="D771" s="52"/>
      <c r="E771" s="19"/>
      <c r="F771" s="19"/>
      <c r="G771" s="19"/>
      <c r="H771" s="42"/>
      <c r="I771" s="42"/>
      <c r="J771" s="42"/>
      <c r="K771" s="42"/>
      <c r="L771" s="42"/>
      <c r="M771" s="42"/>
      <c r="N771" s="52"/>
    </row>
    <row r="772" spans="1:14" ht="20.100000000000001" customHeight="1" x14ac:dyDescent="0.25">
      <c r="A772" s="39"/>
      <c r="B772" s="67"/>
      <c r="C772" s="42"/>
      <c r="D772" s="52"/>
      <c r="E772" s="19"/>
      <c r="F772" s="19"/>
      <c r="G772" s="19"/>
      <c r="H772" s="42"/>
      <c r="I772" s="42"/>
      <c r="J772" s="42"/>
      <c r="K772" s="42"/>
      <c r="L772" s="42"/>
      <c r="M772" s="42"/>
      <c r="N772" s="52"/>
    </row>
    <row r="773" spans="1:14" ht="20.100000000000001" customHeight="1" x14ac:dyDescent="0.25">
      <c r="A773" s="39"/>
      <c r="B773" s="67"/>
      <c r="C773" s="42"/>
      <c r="D773" s="52"/>
      <c r="E773" s="19"/>
      <c r="F773" s="19"/>
      <c r="G773" s="19"/>
      <c r="H773" s="42"/>
      <c r="I773" s="42"/>
      <c r="J773" s="42"/>
      <c r="K773" s="42"/>
      <c r="L773" s="42"/>
      <c r="M773" s="42"/>
      <c r="N773" s="52"/>
    </row>
    <row r="774" spans="1:14" ht="20.100000000000001" customHeight="1" x14ac:dyDescent="0.25">
      <c r="A774" s="39"/>
      <c r="B774" s="67"/>
      <c r="C774" s="42"/>
      <c r="D774" s="52"/>
      <c r="E774" s="19"/>
      <c r="F774" s="19"/>
      <c r="G774" s="19"/>
      <c r="H774" s="42"/>
      <c r="I774" s="42"/>
      <c r="J774" s="42"/>
      <c r="K774" s="42"/>
      <c r="L774" s="42"/>
      <c r="M774" s="42"/>
      <c r="N774" s="52"/>
    </row>
    <row r="775" spans="1:14" ht="20.100000000000001" customHeight="1" x14ac:dyDescent="0.25">
      <c r="A775" s="39"/>
      <c r="B775" s="67"/>
      <c r="C775" s="42"/>
      <c r="D775" s="52"/>
      <c r="E775" s="19"/>
      <c r="F775" s="19"/>
      <c r="G775" s="19"/>
      <c r="H775" s="42"/>
      <c r="I775" s="42"/>
      <c r="J775" s="42"/>
      <c r="K775" s="42"/>
      <c r="L775" s="42"/>
      <c r="M775" s="42"/>
      <c r="N775" s="52"/>
    </row>
    <row r="776" spans="1:14" ht="20.100000000000001" customHeight="1" x14ac:dyDescent="0.25">
      <c r="A776" s="39"/>
      <c r="B776" s="67"/>
      <c r="C776" s="42"/>
      <c r="D776" s="52"/>
      <c r="E776" s="19"/>
      <c r="F776" s="19"/>
      <c r="G776" s="19"/>
      <c r="H776" s="42"/>
      <c r="I776" s="42"/>
      <c r="J776" s="42"/>
      <c r="K776" s="42"/>
      <c r="L776" s="42"/>
      <c r="M776" s="42"/>
      <c r="N776" s="52"/>
    </row>
    <row r="777" spans="1:14" ht="20.100000000000001" customHeight="1" x14ac:dyDescent="0.25">
      <c r="A777" s="39"/>
      <c r="B777" s="67"/>
      <c r="C777" s="42"/>
      <c r="D777" s="52"/>
      <c r="E777" s="19"/>
      <c r="F777" s="19"/>
      <c r="G777" s="19"/>
      <c r="H777" s="42"/>
      <c r="I777" s="42"/>
      <c r="J777" s="42"/>
      <c r="K777" s="42"/>
      <c r="L777" s="42"/>
      <c r="M777" s="42"/>
      <c r="N777" s="52"/>
    </row>
    <row r="778" spans="1:14" ht="20.100000000000001" customHeight="1" x14ac:dyDescent="0.25">
      <c r="A778" s="39"/>
      <c r="B778" s="67"/>
      <c r="C778" s="42"/>
      <c r="D778" s="52"/>
      <c r="E778" s="19"/>
      <c r="F778" s="19"/>
      <c r="G778" s="19"/>
      <c r="H778" s="42"/>
      <c r="I778" s="42"/>
      <c r="J778" s="42"/>
      <c r="K778" s="42"/>
      <c r="L778" s="42"/>
      <c r="M778" s="42"/>
      <c r="N778" s="52"/>
    </row>
    <row r="779" spans="1:14" ht="20.100000000000001" customHeight="1" x14ac:dyDescent="0.25">
      <c r="A779" s="39"/>
      <c r="B779" s="67"/>
      <c r="C779" s="42"/>
      <c r="D779" s="52"/>
      <c r="E779" s="19"/>
      <c r="F779" s="19"/>
      <c r="G779" s="19"/>
      <c r="H779" s="42"/>
      <c r="I779" s="42"/>
      <c r="J779" s="42"/>
      <c r="K779" s="42"/>
      <c r="L779" s="42"/>
      <c r="M779" s="42"/>
      <c r="N779" s="52"/>
    </row>
    <row r="780" spans="1:14" ht="20.100000000000001" customHeight="1" x14ac:dyDescent="0.25">
      <c r="A780" s="39"/>
      <c r="B780" s="67"/>
      <c r="C780" s="42"/>
      <c r="D780" s="52"/>
      <c r="E780" s="19"/>
      <c r="F780" s="19"/>
      <c r="G780" s="19"/>
      <c r="H780" s="42"/>
      <c r="I780" s="42"/>
      <c r="J780" s="42"/>
      <c r="K780" s="42"/>
      <c r="L780" s="42"/>
      <c r="M780" s="42"/>
      <c r="N780" s="52"/>
    </row>
    <row r="781" spans="1:14" ht="20.100000000000001" customHeight="1" x14ac:dyDescent="0.25">
      <c r="A781" s="39"/>
      <c r="B781" s="67"/>
      <c r="C781" s="42"/>
      <c r="D781" s="52"/>
      <c r="E781" s="19"/>
      <c r="F781" s="19"/>
      <c r="G781" s="19"/>
      <c r="H781" s="42"/>
      <c r="I781" s="42"/>
      <c r="J781" s="42"/>
      <c r="K781" s="42"/>
      <c r="L781" s="42"/>
      <c r="M781" s="42"/>
      <c r="N781" s="52"/>
    </row>
    <row r="782" spans="1:14" ht="20.100000000000001" customHeight="1" x14ac:dyDescent="0.25">
      <c r="A782" s="39"/>
      <c r="B782" s="67"/>
      <c r="C782" s="42"/>
      <c r="D782" s="52"/>
      <c r="E782" s="19"/>
      <c r="F782" s="19"/>
      <c r="G782" s="19"/>
      <c r="H782" s="42"/>
      <c r="I782" s="42"/>
      <c r="J782" s="42"/>
      <c r="K782" s="42"/>
      <c r="L782" s="42"/>
      <c r="M782" s="42"/>
      <c r="N782" s="52"/>
    </row>
    <row r="783" spans="1:14" ht="20.100000000000001" customHeight="1" x14ac:dyDescent="0.25">
      <c r="A783" s="39"/>
      <c r="B783" s="67"/>
      <c r="C783" s="42"/>
      <c r="D783" s="52"/>
      <c r="E783" s="19"/>
      <c r="F783" s="19"/>
      <c r="G783" s="19"/>
      <c r="H783" s="42"/>
      <c r="I783" s="42"/>
      <c r="J783" s="42"/>
      <c r="K783" s="42"/>
      <c r="L783" s="42"/>
      <c r="M783" s="42"/>
      <c r="N783" s="52"/>
    </row>
    <row r="784" spans="1:14" ht="20.100000000000001" customHeight="1" x14ac:dyDescent="0.25">
      <c r="A784" s="39"/>
      <c r="B784" s="67"/>
      <c r="C784" s="42"/>
      <c r="D784" s="52"/>
      <c r="E784" s="19"/>
      <c r="F784" s="19"/>
      <c r="G784" s="19"/>
      <c r="H784" s="42"/>
      <c r="I784" s="42"/>
      <c r="J784" s="42"/>
      <c r="K784" s="42"/>
      <c r="L784" s="42"/>
      <c r="M784" s="42"/>
      <c r="N784" s="52"/>
    </row>
    <row r="785" spans="1:14" ht="20.100000000000001" customHeight="1" x14ac:dyDescent="0.25">
      <c r="A785" s="39"/>
      <c r="B785" s="67"/>
      <c r="C785" s="42"/>
      <c r="D785" s="52"/>
      <c r="E785" s="19"/>
      <c r="F785" s="19"/>
      <c r="G785" s="19"/>
      <c r="H785" s="42"/>
      <c r="I785" s="42"/>
      <c r="J785" s="42"/>
      <c r="K785" s="42"/>
      <c r="L785" s="42"/>
      <c r="M785" s="42"/>
      <c r="N785" s="52"/>
    </row>
    <row r="786" spans="1:14" ht="20.100000000000001" customHeight="1" x14ac:dyDescent="0.25">
      <c r="A786" s="39"/>
      <c r="B786" s="67"/>
      <c r="C786" s="42"/>
      <c r="D786" s="52"/>
      <c r="E786" s="19"/>
      <c r="F786" s="19"/>
      <c r="G786" s="19"/>
      <c r="H786" s="42"/>
      <c r="I786" s="42"/>
      <c r="J786" s="42"/>
      <c r="K786" s="42"/>
      <c r="L786" s="42"/>
      <c r="M786" s="42"/>
      <c r="N786" s="52"/>
    </row>
    <row r="787" spans="1:14" ht="20.100000000000001" customHeight="1" x14ac:dyDescent="0.25">
      <c r="A787" s="39"/>
      <c r="B787" s="67"/>
      <c r="C787" s="42"/>
      <c r="D787" s="52"/>
      <c r="E787" s="19"/>
      <c r="F787" s="19"/>
      <c r="G787" s="19"/>
      <c r="H787" s="42"/>
      <c r="I787" s="42"/>
      <c r="J787" s="42"/>
      <c r="K787" s="42"/>
      <c r="L787" s="42"/>
      <c r="M787" s="42"/>
      <c r="N787" s="52"/>
    </row>
    <row r="788" spans="1:14" ht="20.100000000000001" customHeight="1" x14ac:dyDescent="0.25">
      <c r="A788" s="39"/>
      <c r="B788" s="67"/>
      <c r="C788" s="42"/>
      <c r="D788" s="52"/>
      <c r="E788" s="19"/>
      <c r="F788" s="19"/>
      <c r="G788" s="19"/>
      <c r="H788" s="42"/>
      <c r="I788" s="42"/>
      <c r="J788" s="42"/>
      <c r="K788" s="42"/>
      <c r="L788" s="42"/>
      <c r="M788" s="42"/>
      <c r="N788" s="52"/>
    </row>
    <row r="789" spans="1:14" ht="20.100000000000001" customHeight="1" x14ac:dyDescent="0.25">
      <c r="A789" s="39"/>
      <c r="B789" s="67"/>
      <c r="C789" s="42"/>
      <c r="D789" s="52"/>
      <c r="E789" s="19"/>
      <c r="F789" s="19"/>
      <c r="G789" s="19"/>
      <c r="H789" s="42"/>
      <c r="I789" s="42"/>
      <c r="J789" s="42"/>
      <c r="K789" s="42"/>
      <c r="L789" s="42"/>
      <c r="M789" s="42"/>
      <c r="N789" s="52"/>
    </row>
    <row r="790" spans="1:14" ht="20.100000000000001" customHeight="1" x14ac:dyDescent="0.25">
      <c r="A790" s="39"/>
      <c r="B790" s="67"/>
      <c r="C790" s="42"/>
      <c r="D790" s="52"/>
      <c r="E790" s="19"/>
      <c r="F790" s="19"/>
      <c r="G790" s="19"/>
      <c r="H790" s="42"/>
      <c r="I790" s="42"/>
      <c r="J790" s="42"/>
      <c r="K790" s="42"/>
      <c r="L790" s="42"/>
      <c r="M790" s="42"/>
      <c r="N790" s="52"/>
    </row>
    <row r="791" spans="1:14" ht="20.100000000000001" customHeight="1" x14ac:dyDescent="0.25">
      <c r="A791" s="39"/>
      <c r="B791" s="67"/>
      <c r="C791" s="42"/>
      <c r="D791" s="52"/>
      <c r="E791" s="19"/>
      <c r="F791" s="19"/>
      <c r="G791" s="19"/>
      <c r="H791" s="42"/>
      <c r="I791" s="42"/>
      <c r="J791" s="42"/>
      <c r="K791" s="42"/>
      <c r="L791" s="42"/>
      <c r="M791" s="42"/>
      <c r="N791" s="52"/>
    </row>
    <row r="792" spans="1:14" ht="20.100000000000001" customHeight="1" x14ac:dyDescent="0.25">
      <c r="A792" s="39"/>
      <c r="B792" s="67"/>
      <c r="C792" s="42"/>
      <c r="D792" s="52"/>
      <c r="E792" s="19"/>
      <c r="F792" s="19"/>
      <c r="G792" s="19"/>
      <c r="H792" s="42"/>
      <c r="I792" s="42"/>
      <c r="J792" s="42"/>
      <c r="K792" s="42"/>
      <c r="L792" s="42"/>
      <c r="M792" s="42"/>
      <c r="N792" s="52"/>
    </row>
    <row r="793" spans="1:14" ht="20.100000000000001" customHeight="1" x14ac:dyDescent="0.25">
      <c r="A793" s="39"/>
      <c r="B793" s="67"/>
      <c r="C793" s="42"/>
      <c r="D793" s="52"/>
      <c r="E793" s="19"/>
      <c r="F793" s="19"/>
      <c r="G793" s="19"/>
      <c r="H793" s="42"/>
      <c r="I793" s="42"/>
      <c r="J793" s="42"/>
      <c r="K793" s="42"/>
      <c r="L793" s="42"/>
      <c r="M793" s="42"/>
      <c r="N793" s="52"/>
    </row>
    <row r="794" spans="1:14" ht="20.100000000000001" customHeight="1" x14ac:dyDescent="0.25">
      <c r="A794" s="39"/>
      <c r="B794" s="67"/>
      <c r="C794" s="42"/>
      <c r="D794" s="52"/>
      <c r="E794" s="19"/>
      <c r="F794" s="19"/>
      <c r="G794" s="19"/>
      <c r="H794" s="42"/>
      <c r="I794" s="42"/>
      <c r="J794" s="42"/>
      <c r="K794" s="42"/>
      <c r="L794" s="42"/>
      <c r="M794" s="42"/>
      <c r="N794" s="52"/>
    </row>
    <row r="795" spans="1:14" ht="20.100000000000001" customHeight="1" x14ac:dyDescent="0.25">
      <c r="A795" s="39"/>
      <c r="B795" s="67"/>
      <c r="C795" s="42"/>
      <c r="D795" s="52"/>
      <c r="E795" s="19"/>
      <c r="F795" s="19"/>
      <c r="G795" s="19"/>
      <c r="H795" s="42"/>
      <c r="I795" s="42"/>
      <c r="J795" s="42"/>
      <c r="K795" s="42"/>
      <c r="L795" s="42"/>
      <c r="M795" s="42"/>
      <c r="N795" s="52"/>
    </row>
    <row r="796" spans="1:14" ht="20.100000000000001" customHeight="1" x14ac:dyDescent="0.25">
      <c r="A796" s="39"/>
      <c r="B796" s="67"/>
      <c r="C796" s="42"/>
      <c r="D796" s="52"/>
      <c r="E796" s="19"/>
      <c r="F796" s="19"/>
      <c r="G796" s="19"/>
      <c r="H796" s="42"/>
      <c r="I796" s="42"/>
      <c r="J796" s="42"/>
      <c r="K796" s="42"/>
      <c r="L796" s="42"/>
      <c r="M796" s="42"/>
      <c r="N796" s="52"/>
    </row>
    <row r="797" spans="1:14" ht="20.100000000000001" customHeight="1" x14ac:dyDescent="0.25">
      <c r="A797" s="39"/>
      <c r="B797" s="67"/>
      <c r="C797" s="42"/>
      <c r="D797" s="52"/>
      <c r="E797" s="19"/>
      <c r="F797" s="19"/>
      <c r="G797" s="19"/>
      <c r="H797" s="42"/>
      <c r="I797" s="42"/>
      <c r="J797" s="42"/>
      <c r="K797" s="42"/>
      <c r="L797" s="42"/>
      <c r="M797" s="42"/>
      <c r="N797" s="52"/>
    </row>
    <row r="798" spans="1:14" ht="20.100000000000001" customHeight="1" x14ac:dyDescent="0.25">
      <c r="A798" s="39"/>
      <c r="B798" s="67"/>
      <c r="C798" s="42"/>
      <c r="D798" s="52"/>
      <c r="E798" s="19"/>
      <c r="F798" s="19"/>
      <c r="G798" s="19"/>
      <c r="H798" s="42"/>
      <c r="I798" s="42"/>
      <c r="J798" s="42"/>
      <c r="K798" s="42"/>
      <c r="L798" s="42"/>
      <c r="M798" s="42"/>
      <c r="N798" s="52"/>
    </row>
    <row r="799" spans="1:14" ht="20.100000000000001" customHeight="1" x14ac:dyDescent="0.25">
      <c r="A799" s="39"/>
      <c r="B799" s="67"/>
      <c r="C799" s="42"/>
      <c r="D799" s="52"/>
      <c r="E799" s="19"/>
      <c r="F799" s="19"/>
      <c r="G799" s="19"/>
      <c r="H799" s="42"/>
      <c r="I799" s="42"/>
      <c r="J799" s="42"/>
      <c r="K799" s="42"/>
      <c r="L799" s="42"/>
      <c r="M799" s="42"/>
      <c r="N799" s="52"/>
    </row>
    <row r="800" spans="1:14" ht="20.100000000000001" customHeight="1" x14ac:dyDescent="0.25">
      <c r="A800" s="39"/>
      <c r="B800" s="67"/>
      <c r="C800" s="42"/>
      <c r="D800" s="52"/>
      <c r="E800" s="19"/>
      <c r="F800" s="19"/>
      <c r="G800" s="19"/>
      <c r="H800" s="42"/>
      <c r="I800" s="42"/>
      <c r="J800" s="42"/>
      <c r="K800" s="42"/>
      <c r="L800" s="42"/>
      <c r="M800" s="42"/>
      <c r="N800" s="52"/>
    </row>
    <row r="801" spans="1:14" ht="20.100000000000001" customHeight="1" x14ac:dyDescent="0.25">
      <c r="A801" s="39"/>
      <c r="B801" s="67"/>
      <c r="C801" s="42"/>
      <c r="D801" s="52"/>
      <c r="E801" s="19"/>
      <c r="F801" s="19"/>
      <c r="G801" s="19"/>
      <c r="H801" s="42"/>
      <c r="I801" s="42"/>
      <c r="J801" s="42"/>
      <c r="K801" s="42"/>
      <c r="L801" s="42"/>
      <c r="M801" s="42"/>
      <c r="N801" s="52"/>
    </row>
    <row r="802" spans="1:14" ht="20.100000000000001" customHeight="1" x14ac:dyDescent="0.25">
      <c r="A802" s="39"/>
      <c r="B802" s="67"/>
      <c r="C802" s="42"/>
      <c r="D802" s="52"/>
      <c r="E802" s="19"/>
      <c r="F802" s="19"/>
      <c r="G802" s="19"/>
      <c r="H802" s="42"/>
      <c r="I802" s="42"/>
      <c r="J802" s="42"/>
      <c r="K802" s="42"/>
      <c r="L802" s="42"/>
      <c r="M802" s="42"/>
      <c r="N802" s="52"/>
    </row>
    <row r="803" spans="1:14" ht="20.100000000000001" customHeight="1" x14ac:dyDescent="0.25">
      <c r="A803" s="39"/>
      <c r="B803" s="67"/>
      <c r="C803" s="42"/>
      <c r="D803" s="52"/>
      <c r="E803" s="19"/>
      <c r="F803" s="42"/>
      <c r="G803" s="42"/>
      <c r="H803" s="42"/>
      <c r="I803" s="42"/>
      <c r="J803" s="42"/>
      <c r="K803" s="42"/>
      <c r="L803" s="42"/>
      <c r="M803" s="42"/>
      <c r="N803" s="52"/>
    </row>
    <row r="804" spans="1:14" ht="20.100000000000001" customHeight="1" x14ac:dyDescent="0.25">
      <c r="A804" s="39"/>
      <c r="B804" s="67"/>
      <c r="C804" s="42"/>
      <c r="D804" s="52"/>
      <c r="E804" s="19"/>
      <c r="F804" s="42"/>
      <c r="G804" s="42"/>
      <c r="H804" s="42"/>
      <c r="I804" s="42"/>
      <c r="J804" s="42"/>
      <c r="K804" s="42"/>
      <c r="L804" s="42"/>
      <c r="M804" s="42"/>
      <c r="N804" s="52"/>
    </row>
    <row r="805" spans="1:14" ht="20.100000000000001" customHeight="1" x14ac:dyDescent="0.25">
      <c r="A805" s="39"/>
      <c r="B805" s="67"/>
      <c r="C805" s="42"/>
      <c r="D805" s="52"/>
      <c r="E805" s="19"/>
      <c r="F805" s="42"/>
      <c r="G805" s="42"/>
      <c r="H805" s="42"/>
      <c r="I805" s="42"/>
      <c r="J805" s="42"/>
      <c r="K805" s="42"/>
      <c r="L805" s="42"/>
      <c r="M805" s="42"/>
      <c r="N805" s="52"/>
    </row>
    <row r="806" spans="1:14" ht="20.100000000000001" customHeight="1" x14ac:dyDescent="0.25">
      <c r="A806" s="39"/>
      <c r="B806" s="67"/>
      <c r="C806" s="42"/>
      <c r="D806" s="52"/>
      <c r="E806" s="19"/>
      <c r="F806" s="42"/>
      <c r="G806" s="42"/>
      <c r="H806" s="42"/>
      <c r="I806" s="42"/>
      <c r="J806" s="42"/>
      <c r="K806" s="42"/>
      <c r="L806" s="42"/>
      <c r="M806" s="42"/>
      <c r="N806" s="52"/>
    </row>
    <row r="807" spans="1:14" ht="20.100000000000001" customHeight="1" x14ac:dyDescent="0.25">
      <c r="A807" s="39"/>
      <c r="B807" s="67"/>
      <c r="C807" s="42"/>
      <c r="D807" s="52"/>
      <c r="E807" s="19"/>
      <c r="F807" s="42"/>
      <c r="G807" s="42"/>
      <c r="H807" s="42"/>
      <c r="I807" s="42"/>
      <c r="J807" s="42"/>
      <c r="K807" s="42"/>
      <c r="L807" s="42"/>
      <c r="M807" s="42"/>
      <c r="N807" s="52"/>
    </row>
    <row r="808" spans="1:14" ht="20.100000000000001" customHeight="1" x14ac:dyDescent="0.25">
      <c r="A808" s="39"/>
      <c r="B808" s="67"/>
      <c r="C808" s="42"/>
      <c r="D808" s="52"/>
      <c r="E808" s="19"/>
      <c r="F808" s="42"/>
      <c r="G808" s="42"/>
      <c r="H808" s="42"/>
      <c r="I808" s="42"/>
      <c r="J808" s="42"/>
      <c r="K808" s="42"/>
      <c r="L808" s="42"/>
      <c r="M808" s="42"/>
      <c r="N808" s="52"/>
    </row>
    <row r="809" spans="1:14" ht="20.100000000000001" customHeight="1" x14ac:dyDescent="0.25">
      <c r="A809" s="39"/>
      <c r="B809" s="67"/>
      <c r="C809" s="42"/>
      <c r="D809" s="52"/>
      <c r="E809" s="19"/>
      <c r="F809" s="42"/>
      <c r="G809" s="42"/>
      <c r="H809" s="42"/>
      <c r="I809" s="42"/>
      <c r="J809" s="42"/>
      <c r="K809" s="42"/>
      <c r="L809" s="42"/>
      <c r="M809" s="42"/>
      <c r="N809" s="52"/>
    </row>
    <row r="810" spans="1:14" ht="20.100000000000001" customHeight="1" x14ac:dyDescent="0.25">
      <c r="A810" s="39"/>
      <c r="B810" s="67"/>
      <c r="C810" s="42"/>
      <c r="D810" s="52"/>
      <c r="E810" s="19"/>
      <c r="F810" s="42"/>
      <c r="G810" s="42"/>
      <c r="H810" s="42"/>
      <c r="I810" s="42"/>
      <c r="J810" s="42"/>
      <c r="K810" s="42"/>
      <c r="L810" s="42"/>
      <c r="M810" s="42"/>
      <c r="N810" s="52"/>
    </row>
    <row r="811" spans="1:14" ht="20.100000000000001" customHeight="1" x14ac:dyDescent="0.25">
      <c r="A811" s="39"/>
      <c r="B811" s="67"/>
      <c r="C811" s="42"/>
      <c r="D811" s="52"/>
      <c r="E811" s="19"/>
      <c r="F811" s="42"/>
      <c r="G811" s="42"/>
      <c r="H811" s="42"/>
      <c r="I811" s="42"/>
      <c r="J811" s="42"/>
      <c r="K811" s="42"/>
      <c r="L811" s="42"/>
      <c r="M811" s="42"/>
      <c r="N811" s="52"/>
    </row>
    <row r="812" spans="1:14" ht="20.100000000000001" customHeight="1" x14ac:dyDescent="0.25">
      <c r="A812" s="39"/>
      <c r="B812" s="67"/>
      <c r="C812" s="42"/>
      <c r="D812" s="52"/>
      <c r="E812" s="19"/>
      <c r="F812" s="42"/>
      <c r="G812" s="42"/>
      <c r="H812" s="42"/>
      <c r="I812" s="42"/>
      <c r="J812" s="42"/>
      <c r="K812" s="42"/>
      <c r="L812" s="42"/>
      <c r="M812" s="42"/>
      <c r="N812" s="52"/>
    </row>
    <row r="813" spans="1:14" ht="20.100000000000001" customHeight="1" x14ac:dyDescent="0.25">
      <c r="A813" s="39"/>
      <c r="B813" s="67"/>
      <c r="C813" s="42"/>
      <c r="D813" s="52"/>
      <c r="E813" s="19"/>
      <c r="F813" s="42"/>
      <c r="G813" s="42"/>
      <c r="H813" s="42"/>
      <c r="I813" s="42"/>
      <c r="J813" s="42"/>
      <c r="K813" s="42"/>
      <c r="L813" s="42"/>
      <c r="M813" s="42"/>
      <c r="N813" s="52"/>
    </row>
    <row r="814" spans="1:14" ht="20.100000000000001" customHeight="1" x14ac:dyDescent="0.25">
      <c r="A814" s="39"/>
      <c r="B814" s="67"/>
      <c r="C814" s="42"/>
      <c r="D814" s="52"/>
      <c r="E814" s="19"/>
      <c r="F814" s="42"/>
      <c r="G814" s="42"/>
      <c r="H814" s="42"/>
      <c r="I814" s="42"/>
      <c r="J814" s="42"/>
      <c r="K814" s="42"/>
      <c r="L814" s="42"/>
      <c r="M814" s="42"/>
      <c r="N814" s="52"/>
    </row>
    <row r="815" spans="1:14" ht="20.100000000000001" customHeight="1" x14ac:dyDescent="0.25">
      <c r="A815" s="39"/>
      <c r="B815" s="67"/>
      <c r="C815" s="42"/>
      <c r="D815" s="52"/>
      <c r="E815" s="19"/>
      <c r="F815" s="42"/>
      <c r="G815" s="42"/>
      <c r="H815" s="42"/>
      <c r="I815" s="42"/>
      <c r="J815" s="42"/>
      <c r="K815" s="42"/>
      <c r="L815" s="42"/>
      <c r="M815" s="42"/>
      <c r="N815" s="52"/>
    </row>
    <row r="816" spans="1:14" ht="20.100000000000001" customHeight="1" x14ac:dyDescent="0.25">
      <c r="A816" s="39"/>
      <c r="B816" s="67"/>
      <c r="C816" s="42"/>
      <c r="D816" s="52"/>
      <c r="E816" s="19"/>
      <c r="F816" s="42"/>
      <c r="G816" s="42"/>
      <c r="H816" s="42"/>
      <c r="I816" s="42"/>
      <c r="J816" s="42"/>
      <c r="K816" s="42"/>
      <c r="L816" s="42"/>
      <c r="M816" s="42"/>
      <c r="N816" s="52"/>
    </row>
    <row r="817" spans="1:14" ht="20.100000000000001" customHeight="1" x14ac:dyDescent="0.25">
      <c r="A817" s="39"/>
      <c r="B817" s="67"/>
      <c r="C817" s="42"/>
      <c r="D817" s="52"/>
      <c r="E817" s="19"/>
      <c r="F817" s="42"/>
      <c r="G817" s="42"/>
      <c r="H817" s="42"/>
      <c r="I817" s="42"/>
      <c r="J817" s="42"/>
      <c r="K817" s="42"/>
      <c r="L817" s="42"/>
      <c r="M817" s="42"/>
      <c r="N817" s="52"/>
    </row>
    <row r="818" spans="1:14" ht="20.100000000000001" customHeight="1" x14ac:dyDescent="0.25">
      <c r="A818" s="39"/>
      <c r="B818" s="67"/>
      <c r="C818" s="42"/>
      <c r="D818" s="52"/>
      <c r="E818" s="19"/>
      <c r="F818" s="42"/>
      <c r="G818" s="42"/>
      <c r="H818" s="42"/>
      <c r="I818" s="42"/>
      <c r="J818" s="42"/>
      <c r="K818" s="42"/>
      <c r="L818" s="42"/>
      <c r="M818" s="42"/>
      <c r="N818" s="52"/>
    </row>
    <row r="819" spans="1:14" ht="20.100000000000001" customHeight="1" x14ac:dyDescent="0.25">
      <c r="A819" s="39"/>
      <c r="B819" s="67"/>
      <c r="C819" s="42"/>
      <c r="D819" s="52"/>
      <c r="E819" s="19"/>
      <c r="F819" s="42"/>
      <c r="G819" s="42"/>
      <c r="H819" s="42"/>
      <c r="I819" s="42"/>
      <c r="J819" s="42"/>
      <c r="K819" s="42"/>
      <c r="L819" s="42"/>
      <c r="M819" s="42"/>
      <c r="N819" s="52"/>
    </row>
    <row r="820" spans="1:14" ht="20.100000000000001" customHeight="1" x14ac:dyDescent="0.25">
      <c r="A820" s="39"/>
      <c r="B820" s="67"/>
      <c r="C820" s="42"/>
      <c r="D820" s="52"/>
      <c r="E820" s="19"/>
      <c r="F820" s="42"/>
      <c r="G820" s="42"/>
      <c r="H820" s="42"/>
      <c r="I820" s="42"/>
      <c r="J820" s="42"/>
      <c r="K820" s="42"/>
      <c r="L820" s="42"/>
      <c r="M820" s="42"/>
      <c r="N820" s="52"/>
    </row>
    <row r="821" spans="1:14" ht="20.100000000000001" customHeight="1" x14ac:dyDescent="0.25">
      <c r="A821" s="39"/>
      <c r="B821" s="67"/>
      <c r="C821" s="42"/>
      <c r="D821" s="52"/>
      <c r="E821" s="19"/>
      <c r="F821" s="42"/>
      <c r="G821" s="42"/>
      <c r="H821" s="42"/>
      <c r="I821" s="42"/>
      <c r="J821" s="42"/>
      <c r="K821" s="42"/>
      <c r="L821" s="42"/>
      <c r="M821" s="42"/>
      <c r="N821" s="52"/>
    </row>
    <row r="822" spans="1:14" ht="20.100000000000001" customHeight="1" x14ac:dyDescent="0.25">
      <c r="A822" s="39"/>
      <c r="B822" s="67"/>
      <c r="C822" s="42"/>
      <c r="D822" s="52"/>
      <c r="E822" s="19"/>
      <c r="F822" s="42"/>
      <c r="G822" s="42"/>
      <c r="H822" s="42"/>
      <c r="I822" s="42"/>
      <c r="J822" s="42"/>
      <c r="K822" s="42"/>
      <c r="L822" s="42"/>
      <c r="M822" s="42"/>
      <c r="N822" s="52"/>
    </row>
    <row r="823" spans="1:14" ht="20.100000000000001" customHeight="1" x14ac:dyDescent="0.25">
      <c r="A823" s="39"/>
      <c r="B823" s="67"/>
      <c r="C823" s="42"/>
      <c r="D823" s="52"/>
      <c r="E823" s="19"/>
      <c r="F823" s="42"/>
      <c r="G823" s="42"/>
      <c r="H823" s="42"/>
      <c r="I823" s="42"/>
      <c r="J823" s="42"/>
      <c r="K823" s="42"/>
      <c r="L823" s="42"/>
      <c r="M823" s="42"/>
      <c r="N823" s="52"/>
    </row>
    <row r="824" spans="1:14" ht="20.100000000000001" customHeight="1" x14ac:dyDescent="0.25">
      <c r="A824" s="39"/>
      <c r="B824" s="67"/>
      <c r="C824" s="42"/>
      <c r="D824" s="52"/>
      <c r="E824" s="19"/>
      <c r="F824" s="42"/>
      <c r="G824" s="42"/>
      <c r="H824" s="42"/>
      <c r="I824" s="42"/>
      <c r="J824" s="42"/>
      <c r="K824" s="42"/>
      <c r="L824" s="42"/>
      <c r="M824" s="42"/>
      <c r="N824" s="52"/>
    </row>
    <row r="825" spans="1:14" ht="20.100000000000001" customHeight="1" x14ac:dyDescent="0.25">
      <c r="A825" s="39"/>
      <c r="B825" s="67"/>
      <c r="C825" s="42"/>
      <c r="D825" s="52"/>
      <c r="E825" s="19"/>
      <c r="F825" s="42"/>
      <c r="G825" s="42"/>
      <c r="H825" s="42"/>
      <c r="I825" s="42"/>
      <c r="J825" s="42"/>
      <c r="K825" s="42"/>
      <c r="L825" s="42"/>
      <c r="M825" s="42"/>
      <c r="N825" s="52"/>
    </row>
    <row r="826" spans="1:14" ht="20.100000000000001" customHeight="1" x14ac:dyDescent="0.25">
      <c r="A826" s="39"/>
      <c r="B826" s="67"/>
      <c r="C826" s="42"/>
      <c r="D826" s="52"/>
      <c r="E826" s="19"/>
      <c r="F826" s="42"/>
      <c r="G826" s="42"/>
      <c r="H826" s="42"/>
      <c r="I826" s="42"/>
      <c r="J826" s="42"/>
      <c r="K826" s="42"/>
      <c r="L826" s="42"/>
      <c r="M826" s="42"/>
      <c r="N826" s="52"/>
    </row>
    <row r="827" spans="1:14" ht="20.100000000000001" customHeight="1" x14ac:dyDescent="0.25">
      <c r="A827" s="39"/>
      <c r="B827" s="67"/>
      <c r="C827" s="42"/>
      <c r="D827" s="52"/>
      <c r="E827" s="19"/>
      <c r="F827" s="42"/>
      <c r="G827" s="42"/>
      <c r="H827" s="42"/>
      <c r="I827" s="42"/>
      <c r="J827" s="42"/>
      <c r="K827" s="42"/>
      <c r="L827" s="42"/>
      <c r="M827" s="42"/>
      <c r="N827" s="52"/>
    </row>
    <row r="828" spans="1:14" ht="20.100000000000001" customHeight="1" x14ac:dyDescent="0.25">
      <c r="A828" s="39"/>
      <c r="B828" s="67"/>
      <c r="C828" s="42"/>
      <c r="D828" s="52"/>
      <c r="E828" s="19"/>
      <c r="F828" s="42"/>
      <c r="G828" s="42"/>
      <c r="H828" s="42"/>
      <c r="I828" s="42"/>
      <c r="J828" s="42"/>
      <c r="K828" s="42"/>
      <c r="L828" s="42"/>
      <c r="M828" s="42"/>
      <c r="N828" s="52"/>
    </row>
    <row r="829" spans="1:14" ht="20.100000000000001" customHeight="1" x14ac:dyDescent="0.25">
      <c r="A829" s="39"/>
      <c r="B829" s="67"/>
      <c r="C829" s="42"/>
      <c r="D829" s="52"/>
      <c r="E829" s="19"/>
      <c r="F829" s="42"/>
      <c r="G829" s="42"/>
      <c r="H829" s="42"/>
      <c r="I829" s="42"/>
      <c r="J829" s="42"/>
      <c r="K829" s="42"/>
      <c r="L829" s="42"/>
      <c r="M829" s="42"/>
      <c r="N829" s="52"/>
    </row>
    <row r="830" spans="1:14" ht="20.100000000000001" customHeight="1" x14ac:dyDescent="0.25">
      <c r="A830" s="39"/>
      <c r="B830" s="67"/>
      <c r="C830" s="42"/>
      <c r="D830" s="52"/>
      <c r="E830" s="19"/>
      <c r="F830" s="42"/>
      <c r="G830" s="42"/>
      <c r="H830" s="42"/>
      <c r="I830" s="42"/>
      <c r="J830" s="42"/>
      <c r="K830" s="42"/>
      <c r="L830" s="42"/>
      <c r="M830" s="42"/>
      <c r="N830" s="52"/>
    </row>
    <row r="831" spans="1:14" ht="20.100000000000001" customHeight="1" x14ac:dyDescent="0.25">
      <c r="A831" s="39"/>
      <c r="B831" s="67"/>
      <c r="C831" s="42"/>
      <c r="D831" s="52"/>
      <c r="E831" s="19"/>
      <c r="F831" s="42"/>
      <c r="G831" s="42"/>
      <c r="H831" s="42"/>
      <c r="I831" s="42"/>
      <c r="J831" s="42"/>
      <c r="K831" s="42"/>
      <c r="L831" s="42"/>
      <c r="M831" s="42"/>
      <c r="N831" s="52"/>
    </row>
    <row r="832" spans="1:14" ht="20.100000000000001" customHeight="1" x14ac:dyDescent="0.25">
      <c r="A832" s="39"/>
      <c r="B832" s="67"/>
      <c r="C832" s="42"/>
      <c r="D832" s="52"/>
      <c r="E832" s="19"/>
      <c r="F832" s="42"/>
      <c r="G832" s="42"/>
      <c r="H832" s="42"/>
      <c r="I832" s="42"/>
      <c r="J832" s="42"/>
      <c r="K832" s="42"/>
      <c r="L832" s="42"/>
      <c r="M832" s="42"/>
      <c r="N832" s="52"/>
    </row>
    <row r="833" spans="1:14" ht="20.100000000000001" customHeight="1" x14ac:dyDescent="0.25">
      <c r="A833" s="39"/>
      <c r="B833" s="67"/>
      <c r="C833" s="42"/>
      <c r="D833" s="52"/>
      <c r="E833" s="19"/>
      <c r="F833" s="42"/>
      <c r="G833" s="42"/>
      <c r="H833" s="42"/>
      <c r="I833" s="42"/>
      <c r="J833" s="42"/>
      <c r="K833" s="42"/>
      <c r="L833" s="42"/>
      <c r="M833" s="42"/>
      <c r="N833" s="52"/>
    </row>
    <row r="834" spans="1:14" ht="20.100000000000001" customHeight="1" x14ac:dyDescent="0.25">
      <c r="A834" s="39"/>
      <c r="B834" s="67"/>
      <c r="C834" s="42"/>
      <c r="D834" s="52"/>
      <c r="E834" s="19"/>
      <c r="F834" s="42"/>
      <c r="G834" s="42"/>
      <c r="H834" s="42"/>
      <c r="I834" s="42"/>
      <c r="J834" s="42"/>
      <c r="K834" s="42"/>
      <c r="L834" s="42"/>
      <c r="M834" s="42"/>
      <c r="N834" s="52"/>
    </row>
    <row r="835" spans="1:14" ht="20.100000000000001" customHeight="1" x14ac:dyDescent="0.25">
      <c r="A835" s="39"/>
      <c r="B835" s="67"/>
      <c r="C835" s="42"/>
      <c r="D835" s="52"/>
      <c r="E835" s="19"/>
      <c r="F835" s="42"/>
      <c r="G835" s="42"/>
      <c r="H835" s="42"/>
      <c r="I835" s="42"/>
      <c r="J835" s="42"/>
      <c r="K835" s="42"/>
      <c r="L835" s="42"/>
      <c r="M835" s="42"/>
      <c r="N835" s="52"/>
    </row>
    <row r="836" spans="1:14" ht="20.100000000000001" customHeight="1" x14ac:dyDescent="0.25">
      <c r="A836" s="39"/>
      <c r="B836" s="67"/>
      <c r="C836" s="42"/>
      <c r="D836" s="52"/>
      <c r="E836" s="19"/>
      <c r="F836" s="42"/>
      <c r="G836" s="42"/>
      <c r="H836" s="42"/>
      <c r="I836" s="42"/>
      <c r="J836" s="42"/>
      <c r="K836" s="42"/>
      <c r="L836" s="42"/>
      <c r="M836" s="42"/>
      <c r="N836" s="52"/>
    </row>
    <row r="837" spans="1:14" ht="20.100000000000001" customHeight="1" x14ac:dyDescent="0.25">
      <c r="A837" s="39"/>
      <c r="B837" s="67"/>
      <c r="C837" s="42"/>
      <c r="D837" s="52"/>
      <c r="E837" s="19"/>
      <c r="F837" s="42"/>
      <c r="G837" s="42"/>
      <c r="H837" s="42"/>
      <c r="I837" s="42"/>
      <c r="J837" s="42"/>
      <c r="K837" s="42"/>
      <c r="L837" s="42"/>
      <c r="M837" s="42"/>
      <c r="N837" s="52"/>
    </row>
    <row r="838" spans="1:14" ht="20.100000000000001" customHeight="1" x14ac:dyDescent="0.25">
      <c r="A838" s="39"/>
      <c r="B838" s="67"/>
      <c r="C838" s="42"/>
      <c r="D838" s="52"/>
      <c r="E838" s="19"/>
      <c r="F838" s="42"/>
      <c r="G838" s="42"/>
      <c r="H838" s="42"/>
      <c r="I838" s="42"/>
      <c r="J838" s="42"/>
      <c r="K838" s="42"/>
      <c r="L838" s="42"/>
      <c r="M838" s="42"/>
      <c r="N838" s="52"/>
    </row>
    <row r="839" spans="1:14" ht="20.100000000000001" customHeight="1" x14ac:dyDescent="0.25">
      <c r="A839" s="39"/>
      <c r="B839" s="67"/>
      <c r="C839" s="42"/>
      <c r="D839" s="52"/>
      <c r="E839" s="19"/>
      <c r="F839" s="42"/>
      <c r="G839" s="42"/>
      <c r="H839" s="42"/>
      <c r="I839" s="42"/>
      <c r="J839" s="42"/>
      <c r="K839" s="42"/>
      <c r="L839" s="42"/>
      <c r="M839" s="42"/>
      <c r="N839" s="52"/>
    </row>
    <row r="840" spans="1:14" ht="20.100000000000001" customHeight="1" x14ac:dyDescent="0.25">
      <c r="A840" s="39"/>
      <c r="B840" s="67"/>
      <c r="C840" s="42"/>
      <c r="D840" s="52"/>
      <c r="E840" s="19"/>
      <c r="F840" s="42"/>
      <c r="G840" s="42"/>
      <c r="H840" s="42"/>
      <c r="I840" s="42"/>
      <c r="J840" s="42"/>
      <c r="K840" s="42"/>
      <c r="L840" s="42"/>
      <c r="M840" s="42"/>
      <c r="N840" s="52"/>
    </row>
    <row r="841" spans="1:14" ht="20.100000000000001" customHeight="1" x14ac:dyDescent="0.25">
      <c r="A841" s="39"/>
      <c r="B841" s="67"/>
      <c r="C841" s="42"/>
      <c r="D841" s="52"/>
      <c r="E841" s="19"/>
      <c r="F841" s="42"/>
      <c r="G841" s="42"/>
      <c r="H841" s="42"/>
      <c r="I841" s="42"/>
      <c r="J841" s="42"/>
      <c r="K841" s="42"/>
      <c r="L841" s="42"/>
      <c r="M841" s="42"/>
      <c r="N841" s="52"/>
    </row>
    <row r="842" spans="1:14" ht="20.100000000000001" customHeight="1" x14ac:dyDescent="0.25">
      <c r="A842" s="39"/>
      <c r="B842" s="67"/>
      <c r="C842" s="42"/>
      <c r="D842" s="52"/>
      <c r="E842" s="19"/>
      <c r="F842" s="42"/>
      <c r="G842" s="42"/>
      <c r="H842" s="42"/>
      <c r="I842" s="42"/>
      <c r="J842" s="42"/>
      <c r="K842" s="42"/>
      <c r="L842" s="42"/>
      <c r="M842" s="42"/>
      <c r="N842" s="52"/>
    </row>
    <row r="843" spans="1:14" ht="20.100000000000001" customHeight="1" x14ac:dyDescent="0.25">
      <c r="A843" s="39"/>
      <c r="B843" s="67"/>
      <c r="C843" s="42"/>
      <c r="D843" s="52"/>
      <c r="E843" s="19"/>
      <c r="F843" s="42"/>
      <c r="G843" s="42"/>
      <c r="H843" s="42"/>
      <c r="I843" s="42"/>
      <c r="J843" s="42"/>
      <c r="K843" s="42"/>
      <c r="L843" s="42"/>
      <c r="M843" s="42"/>
      <c r="N843" s="52"/>
    </row>
    <row r="844" spans="1:14" ht="20.100000000000001" customHeight="1" x14ac:dyDescent="0.25">
      <c r="A844" s="39"/>
      <c r="B844" s="67"/>
      <c r="C844" s="42"/>
      <c r="D844" s="52"/>
      <c r="E844" s="19"/>
      <c r="F844" s="42"/>
      <c r="G844" s="42"/>
      <c r="H844" s="42"/>
      <c r="I844" s="42"/>
      <c r="J844" s="42"/>
      <c r="K844" s="42"/>
      <c r="L844" s="42"/>
      <c r="M844" s="42"/>
      <c r="N844" s="52"/>
    </row>
    <row r="845" spans="1:14" ht="20.100000000000001" customHeight="1" x14ac:dyDescent="0.25">
      <c r="A845" s="39"/>
      <c r="B845" s="67"/>
      <c r="C845" s="42"/>
      <c r="D845" s="52"/>
      <c r="E845" s="19"/>
      <c r="F845" s="42"/>
      <c r="G845" s="42"/>
      <c r="H845" s="42"/>
      <c r="I845" s="42"/>
      <c r="J845" s="42"/>
      <c r="K845" s="42"/>
      <c r="L845" s="42"/>
      <c r="M845" s="42"/>
      <c r="N845" s="52"/>
    </row>
    <row r="846" spans="1:14" ht="20.100000000000001" customHeight="1" x14ac:dyDescent="0.25">
      <c r="A846" s="39"/>
      <c r="B846" s="67"/>
      <c r="C846" s="42"/>
      <c r="D846" s="52"/>
      <c r="E846" s="19"/>
      <c r="F846" s="42"/>
      <c r="G846" s="42"/>
      <c r="H846" s="42"/>
      <c r="I846" s="42"/>
      <c r="J846" s="42"/>
      <c r="K846" s="42"/>
      <c r="L846" s="42"/>
      <c r="M846" s="42"/>
      <c r="N846" s="52"/>
    </row>
    <row r="847" spans="1:14" ht="20.100000000000001" customHeight="1" x14ac:dyDescent="0.25">
      <c r="A847" s="39"/>
      <c r="B847" s="67"/>
      <c r="C847" s="42"/>
      <c r="D847" s="52"/>
      <c r="E847" s="19"/>
      <c r="F847" s="42"/>
      <c r="G847" s="42"/>
      <c r="H847" s="42"/>
      <c r="I847" s="42"/>
      <c r="J847" s="42"/>
      <c r="K847" s="42"/>
      <c r="L847" s="42"/>
      <c r="M847" s="42"/>
      <c r="N847" s="52"/>
    </row>
    <row r="848" spans="1:14" ht="20.100000000000001" customHeight="1" x14ac:dyDescent="0.25">
      <c r="A848" s="39"/>
      <c r="B848" s="67"/>
      <c r="C848" s="42"/>
      <c r="D848" s="52"/>
      <c r="E848" s="19"/>
      <c r="F848" s="42"/>
      <c r="G848" s="42"/>
      <c r="H848" s="42"/>
      <c r="I848" s="42"/>
      <c r="J848" s="42"/>
      <c r="K848" s="42"/>
      <c r="L848" s="42"/>
      <c r="M848" s="42"/>
      <c r="N848" s="52"/>
    </row>
    <row r="849" spans="1:14" ht="20.100000000000001" customHeight="1" x14ac:dyDescent="0.25">
      <c r="A849" s="39"/>
      <c r="B849" s="67"/>
      <c r="C849" s="42"/>
      <c r="D849" s="52"/>
      <c r="E849" s="19"/>
      <c r="F849" s="42"/>
      <c r="G849" s="42"/>
      <c r="H849" s="42"/>
      <c r="I849" s="42"/>
      <c r="J849" s="42"/>
      <c r="K849" s="42"/>
      <c r="L849" s="42"/>
      <c r="M849" s="42"/>
      <c r="N849" s="52"/>
    </row>
    <row r="850" spans="1:14" ht="20.100000000000001" customHeight="1" x14ac:dyDescent="0.25">
      <c r="A850" s="39"/>
      <c r="B850" s="67"/>
      <c r="C850" s="42"/>
      <c r="D850" s="52"/>
      <c r="E850" s="19"/>
      <c r="F850" s="42"/>
      <c r="G850" s="42"/>
      <c r="H850" s="42"/>
      <c r="I850" s="42"/>
      <c r="J850" s="42"/>
      <c r="K850" s="42"/>
      <c r="L850" s="42"/>
      <c r="M850" s="42"/>
      <c r="N850" s="52"/>
    </row>
    <row r="851" spans="1:14" ht="20.100000000000001" customHeight="1" x14ac:dyDescent="0.25">
      <c r="A851" s="39"/>
      <c r="B851" s="67"/>
      <c r="C851" s="42"/>
      <c r="D851" s="52"/>
      <c r="E851" s="19"/>
      <c r="F851" s="42"/>
      <c r="G851" s="42"/>
      <c r="H851" s="42"/>
      <c r="I851" s="42"/>
      <c r="J851" s="42"/>
      <c r="K851" s="42"/>
      <c r="L851" s="42"/>
      <c r="M851" s="42"/>
      <c r="N851" s="52"/>
    </row>
    <row r="852" spans="1:14" ht="20.100000000000001" customHeight="1" x14ac:dyDescent="0.25">
      <c r="A852" s="39"/>
      <c r="B852" s="67"/>
      <c r="C852" s="42"/>
      <c r="D852" s="52"/>
      <c r="E852" s="19"/>
      <c r="F852" s="42"/>
      <c r="G852" s="42"/>
      <c r="H852" s="42"/>
      <c r="I852" s="42"/>
      <c r="J852" s="42"/>
      <c r="K852" s="42"/>
      <c r="L852" s="42"/>
      <c r="M852" s="42"/>
      <c r="N852" s="52"/>
    </row>
    <row r="853" spans="1:14" ht="20.100000000000001" customHeight="1" x14ac:dyDescent="0.25">
      <c r="A853" s="39"/>
      <c r="B853" s="67"/>
      <c r="C853" s="42"/>
      <c r="D853" s="52"/>
      <c r="E853" s="19"/>
      <c r="F853" s="42"/>
      <c r="G853" s="42"/>
      <c r="H853" s="42"/>
      <c r="I853" s="42"/>
      <c r="J853" s="42"/>
      <c r="K853" s="42"/>
      <c r="L853" s="42"/>
      <c r="M853" s="42"/>
      <c r="N853" s="52"/>
    </row>
    <row r="854" spans="1:14" ht="20.100000000000001" customHeight="1" x14ac:dyDescent="0.25">
      <c r="A854" s="39"/>
      <c r="B854" s="67"/>
      <c r="C854" s="42"/>
      <c r="D854" s="52"/>
      <c r="E854" s="19"/>
      <c r="F854" s="42"/>
      <c r="G854" s="42"/>
      <c r="H854" s="42"/>
      <c r="I854" s="42"/>
      <c r="J854" s="42"/>
      <c r="K854" s="42"/>
      <c r="L854" s="42"/>
      <c r="M854" s="42"/>
      <c r="N854" s="52"/>
    </row>
    <row r="855" spans="1:14" ht="20.100000000000001" customHeight="1" x14ac:dyDescent="0.25">
      <c r="A855" s="39"/>
      <c r="B855" s="67"/>
      <c r="C855" s="42"/>
      <c r="D855" s="52"/>
      <c r="E855" s="19"/>
      <c r="F855" s="42"/>
      <c r="G855" s="42"/>
      <c r="H855" s="42"/>
      <c r="I855" s="42"/>
      <c r="J855" s="42"/>
      <c r="K855" s="42"/>
      <c r="L855" s="42"/>
      <c r="M855" s="42"/>
      <c r="N855" s="52"/>
    </row>
    <row r="856" spans="1:14" ht="20.100000000000001" customHeight="1" x14ac:dyDescent="0.25">
      <c r="A856" s="39"/>
      <c r="B856" s="67"/>
      <c r="C856" s="42"/>
      <c r="D856" s="52"/>
      <c r="E856" s="19"/>
      <c r="F856" s="42"/>
      <c r="G856" s="42"/>
      <c r="H856" s="42"/>
      <c r="I856" s="42"/>
      <c r="J856" s="42"/>
      <c r="K856" s="42"/>
      <c r="L856" s="42"/>
      <c r="M856" s="42"/>
      <c r="N856" s="52"/>
    </row>
    <row r="857" spans="1:14" ht="20.100000000000001" customHeight="1" x14ac:dyDescent="0.25">
      <c r="A857" s="39"/>
      <c r="B857" s="67"/>
      <c r="C857" s="42"/>
      <c r="D857" s="52"/>
      <c r="E857" s="19"/>
      <c r="F857" s="42"/>
      <c r="G857" s="42"/>
      <c r="H857" s="42"/>
      <c r="I857" s="42"/>
      <c r="J857" s="42"/>
      <c r="K857" s="42"/>
      <c r="L857" s="42"/>
      <c r="M857" s="42"/>
      <c r="N857" s="52"/>
    </row>
    <row r="858" spans="1:14" ht="20.100000000000001" customHeight="1" x14ac:dyDescent="0.25">
      <c r="A858" s="39"/>
      <c r="B858" s="67"/>
      <c r="C858" s="42"/>
      <c r="D858" s="52"/>
      <c r="E858" s="19"/>
      <c r="F858" s="42"/>
      <c r="G858" s="42"/>
      <c r="H858" s="42"/>
      <c r="I858" s="42"/>
      <c r="J858" s="42"/>
      <c r="K858" s="42"/>
      <c r="L858" s="42"/>
      <c r="M858" s="42"/>
      <c r="N858" s="52"/>
    </row>
    <row r="859" spans="1:14" ht="20.100000000000001" customHeight="1" x14ac:dyDescent="0.25">
      <c r="A859" s="39"/>
      <c r="B859" s="67"/>
      <c r="C859" s="42"/>
      <c r="D859" s="52"/>
      <c r="E859" s="19"/>
      <c r="F859" s="42"/>
      <c r="G859" s="42"/>
      <c r="H859" s="42"/>
      <c r="I859" s="42"/>
      <c r="J859" s="42"/>
      <c r="K859" s="42"/>
      <c r="L859" s="42"/>
      <c r="M859" s="42"/>
      <c r="N859" s="52"/>
    </row>
    <row r="860" spans="1:14" ht="20.100000000000001" customHeight="1" x14ac:dyDescent="0.25">
      <c r="A860" s="39"/>
      <c r="B860" s="67"/>
      <c r="C860" s="42"/>
      <c r="D860" s="52"/>
      <c r="E860" s="19"/>
      <c r="F860" s="42"/>
      <c r="G860" s="42"/>
      <c r="H860" s="42"/>
      <c r="I860" s="42"/>
      <c r="J860" s="42"/>
      <c r="K860" s="42"/>
      <c r="L860" s="42"/>
      <c r="M860" s="42"/>
      <c r="N860" s="52"/>
    </row>
    <row r="861" spans="1:14" ht="20.100000000000001" customHeight="1" x14ac:dyDescent="0.25">
      <c r="A861" s="39"/>
      <c r="B861" s="67"/>
      <c r="C861" s="42"/>
      <c r="D861" s="52"/>
      <c r="E861" s="19"/>
      <c r="F861" s="42"/>
      <c r="G861" s="42"/>
      <c r="H861" s="42"/>
      <c r="I861" s="42"/>
      <c r="J861" s="42"/>
      <c r="K861" s="42"/>
      <c r="L861" s="42"/>
      <c r="M861" s="42"/>
      <c r="N861" s="52"/>
    </row>
    <row r="862" spans="1:14" ht="20.100000000000001" customHeight="1" x14ac:dyDescent="0.25">
      <c r="A862" s="39"/>
      <c r="B862" s="67"/>
      <c r="C862" s="42"/>
      <c r="D862" s="52"/>
      <c r="E862" s="19"/>
      <c r="F862" s="42"/>
      <c r="G862" s="42"/>
      <c r="H862" s="42"/>
      <c r="I862" s="42"/>
      <c r="J862" s="42"/>
      <c r="K862" s="42"/>
      <c r="L862" s="42"/>
      <c r="M862" s="42"/>
      <c r="N862" s="52"/>
    </row>
    <row r="863" spans="1:14" ht="20.100000000000001" customHeight="1" x14ac:dyDescent="0.25">
      <c r="A863" s="39"/>
      <c r="B863" s="67"/>
      <c r="C863" s="42"/>
      <c r="D863" s="52"/>
      <c r="E863" s="19"/>
      <c r="F863" s="42"/>
      <c r="G863" s="42"/>
      <c r="H863" s="42"/>
      <c r="I863" s="42"/>
      <c r="J863" s="42"/>
      <c r="K863" s="42"/>
      <c r="L863" s="42"/>
      <c r="M863" s="42"/>
      <c r="N863" s="52"/>
    </row>
    <row r="864" spans="1:14" ht="20.100000000000001" customHeight="1" x14ac:dyDescent="0.25">
      <c r="A864" s="39"/>
      <c r="B864" s="67"/>
      <c r="C864" s="42"/>
      <c r="D864" s="52"/>
      <c r="E864" s="19"/>
      <c r="F864" s="42"/>
      <c r="G864" s="42"/>
      <c r="H864" s="42"/>
      <c r="I864" s="42"/>
      <c r="J864" s="42"/>
      <c r="K864" s="42"/>
      <c r="L864" s="42"/>
      <c r="M864" s="42"/>
      <c r="N864" s="52"/>
    </row>
    <row r="865" spans="1:14" ht="20.100000000000001" customHeight="1" x14ac:dyDescent="0.25">
      <c r="A865" s="39"/>
      <c r="B865" s="67"/>
      <c r="C865" s="42"/>
      <c r="D865" s="52"/>
      <c r="E865" s="19"/>
      <c r="F865" s="42"/>
      <c r="G865" s="42"/>
      <c r="H865" s="42"/>
      <c r="I865" s="42"/>
      <c r="J865" s="42"/>
      <c r="K865" s="42"/>
      <c r="L865" s="42"/>
      <c r="M865" s="42"/>
      <c r="N865" s="52"/>
    </row>
    <row r="866" spans="1:14" ht="20.100000000000001" customHeight="1" x14ac:dyDescent="0.25">
      <c r="A866" s="39"/>
      <c r="B866" s="67"/>
      <c r="C866" s="42"/>
      <c r="D866" s="52"/>
      <c r="E866" s="19"/>
      <c r="F866" s="42"/>
      <c r="G866" s="42"/>
      <c r="H866" s="42"/>
      <c r="I866" s="42"/>
      <c r="J866" s="42"/>
      <c r="K866" s="42"/>
      <c r="L866" s="42"/>
      <c r="M866" s="42"/>
      <c r="N866" s="52"/>
    </row>
    <row r="867" spans="1:14" ht="20.100000000000001" customHeight="1" x14ac:dyDescent="0.25">
      <c r="A867" s="39"/>
      <c r="B867" s="67"/>
      <c r="C867" s="42"/>
      <c r="D867" s="52"/>
      <c r="E867" s="19"/>
      <c r="F867" s="42"/>
      <c r="G867" s="42"/>
      <c r="H867" s="42"/>
      <c r="I867" s="42"/>
      <c r="J867" s="42"/>
      <c r="K867" s="42"/>
      <c r="L867" s="42"/>
      <c r="M867" s="42"/>
      <c r="N867" s="52"/>
    </row>
    <row r="868" spans="1:14" ht="20.100000000000001" customHeight="1" x14ac:dyDescent="0.25">
      <c r="A868" s="39"/>
      <c r="B868" s="67"/>
      <c r="C868" s="42"/>
      <c r="D868" s="52"/>
      <c r="E868" s="19"/>
      <c r="F868" s="42"/>
      <c r="G868" s="42"/>
      <c r="H868" s="42"/>
      <c r="I868" s="42"/>
      <c r="J868" s="42"/>
      <c r="K868" s="42"/>
      <c r="L868" s="42"/>
      <c r="M868" s="42"/>
      <c r="N868" s="52"/>
    </row>
    <row r="869" spans="1:14" ht="20.100000000000001" customHeight="1" x14ac:dyDescent="0.25">
      <c r="A869" s="39"/>
      <c r="B869" s="67"/>
      <c r="C869" s="42"/>
      <c r="D869" s="52"/>
      <c r="E869" s="19"/>
      <c r="F869" s="42"/>
      <c r="G869" s="42"/>
      <c r="H869" s="42"/>
      <c r="I869" s="42"/>
      <c r="J869" s="42"/>
      <c r="K869" s="42"/>
      <c r="L869" s="42"/>
      <c r="M869" s="42"/>
      <c r="N869" s="52"/>
    </row>
    <row r="870" spans="1:14" ht="20.100000000000001" customHeight="1" x14ac:dyDescent="0.25">
      <c r="A870" s="39"/>
      <c r="B870" s="67"/>
      <c r="C870" s="42"/>
      <c r="D870" s="52"/>
      <c r="E870" s="19"/>
      <c r="F870" s="42"/>
      <c r="G870" s="42"/>
      <c r="H870" s="42"/>
      <c r="I870" s="42"/>
      <c r="J870" s="42"/>
      <c r="K870" s="42"/>
      <c r="L870" s="42"/>
      <c r="M870" s="42"/>
      <c r="N870" s="52"/>
    </row>
    <row r="871" spans="1:14" ht="20.100000000000001" customHeight="1" x14ac:dyDescent="0.25">
      <c r="A871" s="39"/>
      <c r="B871" s="67"/>
      <c r="C871" s="42"/>
      <c r="D871" s="52"/>
      <c r="E871" s="19"/>
      <c r="F871" s="42"/>
      <c r="G871" s="42"/>
      <c r="H871" s="42"/>
      <c r="I871" s="42"/>
      <c r="J871" s="42"/>
      <c r="K871" s="42"/>
      <c r="L871" s="42"/>
      <c r="M871" s="42"/>
      <c r="N871" s="52"/>
    </row>
    <row r="872" spans="1:14" ht="20.100000000000001" customHeight="1" x14ac:dyDescent="0.25">
      <c r="A872" s="39"/>
      <c r="B872" s="67"/>
      <c r="C872" s="42"/>
      <c r="D872" s="52"/>
      <c r="E872" s="19"/>
      <c r="F872" s="42"/>
      <c r="G872" s="42"/>
      <c r="H872" s="42"/>
      <c r="I872" s="42"/>
      <c r="J872" s="42"/>
      <c r="K872" s="42"/>
      <c r="L872" s="42"/>
      <c r="M872" s="42"/>
      <c r="N872" s="52"/>
    </row>
    <row r="873" spans="1:14" ht="20.100000000000001" customHeight="1" x14ac:dyDescent="0.25">
      <c r="A873" s="39"/>
      <c r="B873" s="67"/>
      <c r="C873" s="42"/>
      <c r="D873" s="52"/>
      <c r="E873" s="19"/>
      <c r="F873" s="42"/>
      <c r="G873" s="42"/>
      <c r="H873" s="42"/>
      <c r="I873" s="42"/>
      <c r="J873" s="42"/>
      <c r="K873" s="42"/>
      <c r="L873" s="42"/>
      <c r="M873" s="42"/>
      <c r="N873" s="52"/>
    </row>
    <row r="874" spans="1:14" ht="20.100000000000001" customHeight="1" x14ac:dyDescent="0.25">
      <c r="A874" s="39"/>
      <c r="B874" s="67"/>
      <c r="C874" s="42"/>
      <c r="D874" s="52"/>
      <c r="E874" s="19"/>
      <c r="F874" s="42"/>
      <c r="G874" s="42"/>
      <c r="H874" s="42"/>
      <c r="I874" s="42"/>
      <c r="J874" s="42"/>
      <c r="K874" s="42"/>
      <c r="L874" s="42"/>
      <c r="M874" s="42"/>
      <c r="N874" s="52"/>
    </row>
    <row r="875" spans="1:14" ht="20.100000000000001" customHeight="1" x14ac:dyDescent="0.25">
      <c r="A875" s="39"/>
      <c r="B875" s="67"/>
      <c r="C875" s="42"/>
      <c r="D875" s="52"/>
      <c r="E875" s="19"/>
      <c r="F875" s="42"/>
      <c r="G875" s="42"/>
      <c r="H875" s="42"/>
      <c r="I875" s="42"/>
      <c r="J875" s="42"/>
      <c r="K875" s="42"/>
      <c r="L875" s="42"/>
      <c r="M875" s="42"/>
      <c r="N875" s="52"/>
    </row>
    <row r="876" spans="1:14" ht="20.100000000000001" customHeight="1" x14ac:dyDescent="0.25">
      <c r="A876" s="39"/>
      <c r="B876" s="67"/>
      <c r="C876" s="42"/>
      <c r="D876" s="52"/>
      <c r="E876" s="19"/>
      <c r="F876" s="42"/>
      <c r="G876" s="42"/>
      <c r="H876" s="42"/>
      <c r="I876" s="42"/>
      <c r="J876" s="42"/>
      <c r="K876" s="42"/>
      <c r="L876" s="42"/>
      <c r="M876" s="42"/>
      <c r="N876" s="52"/>
    </row>
    <row r="877" spans="1:14" ht="20.100000000000001" customHeight="1" x14ac:dyDescent="0.25">
      <c r="A877" s="39"/>
      <c r="B877" s="67"/>
      <c r="C877" s="42"/>
      <c r="D877" s="52"/>
      <c r="E877" s="19"/>
      <c r="F877" s="42"/>
      <c r="G877" s="42"/>
      <c r="H877" s="42"/>
      <c r="I877" s="42"/>
      <c r="J877" s="42"/>
      <c r="K877" s="42"/>
      <c r="L877" s="42"/>
      <c r="M877" s="42"/>
      <c r="N877" s="52"/>
    </row>
    <row r="878" spans="1:14" ht="20.100000000000001" customHeight="1" x14ac:dyDescent="0.25">
      <c r="A878" s="39"/>
      <c r="B878" s="67"/>
      <c r="C878" s="42"/>
      <c r="D878" s="52"/>
      <c r="E878" s="19"/>
      <c r="F878" s="42"/>
      <c r="G878" s="42"/>
      <c r="H878" s="42"/>
      <c r="I878" s="42"/>
      <c r="J878" s="42"/>
      <c r="K878" s="42"/>
      <c r="L878" s="42"/>
      <c r="M878" s="42"/>
      <c r="N878" s="52"/>
    </row>
    <row r="879" spans="1:14" ht="20.100000000000001" customHeight="1" x14ac:dyDescent="0.25">
      <c r="A879" s="39"/>
      <c r="B879" s="67"/>
      <c r="C879" s="42"/>
      <c r="D879" s="52"/>
      <c r="E879" s="19"/>
      <c r="F879" s="42"/>
      <c r="G879" s="42"/>
      <c r="H879" s="42"/>
      <c r="I879" s="42"/>
      <c r="J879" s="42"/>
      <c r="K879" s="42"/>
      <c r="L879" s="42"/>
      <c r="M879" s="42"/>
      <c r="N879" s="52"/>
    </row>
    <row r="880" spans="1:14" ht="20.100000000000001" customHeight="1" x14ac:dyDescent="0.25">
      <c r="A880" s="39"/>
      <c r="B880" s="67"/>
      <c r="C880" s="42"/>
      <c r="D880" s="52"/>
      <c r="E880" s="19"/>
      <c r="F880" s="42"/>
      <c r="G880" s="42"/>
      <c r="H880" s="42"/>
      <c r="I880" s="42"/>
      <c r="J880" s="42"/>
      <c r="K880" s="42"/>
      <c r="L880" s="42"/>
      <c r="M880" s="42"/>
      <c r="N880" s="52"/>
    </row>
    <row r="881" spans="1:14" ht="20.100000000000001" customHeight="1" x14ac:dyDescent="0.25">
      <c r="A881" s="39"/>
      <c r="B881" s="67"/>
      <c r="C881" s="42"/>
      <c r="D881" s="52"/>
      <c r="E881" s="19"/>
      <c r="F881" s="42"/>
      <c r="G881" s="42"/>
      <c r="H881" s="42"/>
      <c r="I881" s="42"/>
      <c r="J881" s="42"/>
      <c r="K881" s="42"/>
      <c r="L881" s="42"/>
      <c r="M881" s="42"/>
      <c r="N881" s="52"/>
    </row>
    <row r="882" spans="1:14" ht="20.100000000000001" customHeight="1" x14ac:dyDescent="0.25">
      <c r="A882" s="39"/>
      <c r="B882" s="67"/>
      <c r="C882" s="42"/>
      <c r="D882" s="52"/>
      <c r="E882" s="19"/>
      <c r="F882" s="42"/>
      <c r="G882" s="42"/>
      <c r="H882" s="42"/>
      <c r="I882" s="42"/>
      <c r="J882" s="42"/>
      <c r="K882" s="42"/>
      <c r="L882" s="42"/>
      <c r="M882" s="42"/>
      <c r="N882" s="52"/>
    </row>
    <row r="883" spans="1:14" ht="20.100000000000001" customHeight="1" x14ac:dyDescent="0.25">
      <c r="A883" s="39"/>
      <c r="B883" s="67"/>
      <c r="C883" s="42"/>
      <c r="D883" s="52"/>
      <c r="E883" s="19"/>
      <c r="F883" s="42"/>
      <c r="G883" s="42"/>
      <c r="H883" s="42"/>
      <c r="I883" s="42"/>
      <c r="J883" s="42"/>
      <c r="K883" s="42"/>
      <c r="L883" s="42"/>
      <c r="M883" s="42"/>
      <c r="N883" s="52"/>
    </row>
    <row r="884" spans="1:14" ht="20.100000000000001" customHeight="1" x14ac:dyDescent="0.25">
      <c r="A884" s="39"/>
      <c r="B884" s="67"/>
      <c r="C884" s="42"/>
      <c r="D884" s="52"/>
      <c r="E884" s="19"/>
      <c r="F884" s="42"/>
      <c r="G884" s="42"/>
      <c r="H884" s="42"/>
      <c r="I884" s="42"/>
      <c r="J884" s="42"/>
      <c r="K884" s="42"/>
      <c r="L884" s="42"/>
      <c r="M884" s="42"/>
      <c r="N884" s="52"/>
    </row>
    <row r="885" spans="1:14" ht="20.100000000000001" customHeight="1" x14ac:dyDescent="0.25">
      <c r="A885" s="39"/>
      <c r="B885" s="67"/>
      <c r="C885" s="42"/>
      <c r="D885" s="52"/>
      <c r="E885" s="19"/>
      <c r="F885" s="42"/>
      <c r="G885" s="42"/>
      <c r="H885" s="42"/>
      <c r="I885" s="42"/>
      <c r="J885" s="42"/>
      <c r="K885" s="42"/>
      <c r="L885" s="42"/>
      <c r="M885" s="42"/>
      <c r="N885" s="52"/>
    </row>
    <row r="886" spans="1:14" ht="20.100000000000001" customHeight="1" x14ac:dyDescent="0.25">
      <c r="A886" s="39"/>
      <c r="B886" s="67"/>
      <c r="C886" s="42"/>
      <c r="D886" s="52"/>
      <c r="E886" s="19"/>
      <c r="F886" s="42"/>
      <c r="G886" s="42"/>
      <c r="H886" s="42"/>
      <c r="I886" s="42"/>
      <c r="J886" s="42"/>
      <c r="K886" s="42"/>
      <c r="L886" s="42"/>
      <c r="M886" s="42"/>
      <c r="N886" s="52"/>
    </row>
    <row r="887" spans="1:14" ht="20.100000000000001" customHeight="1" x14ac:dyDescent="0.25">
      <c r="A887" s="39"/>
      <c r="B887" s="67"/>
      <c r="C887" s="42"/>
      <c r="D887" s="52"/>
      <c r="E887" s="19"/>
      <c r="F887" s="42"/>
      <c r="G887" s="42"/>
      <c r="H887" s="42"/>
      <c r="I887" s="42"/>
      <c r="J887" s="42"/>
      <c r="K887" s="42"/>
      <c r="L887" s="42"/>
      <c r="M887" s="42"/>
      <c r="N887" s="52"/>
    </row>
    <row r="888" spans="1:14" ht="20.100000000000001" customHeight="1" x14ac:dyDescent="0.25">
      <c r="A888" s="39"/>
      <c r="B888" s="67"/>
      <c r="C888" s="42"/>
      <c r="D888" s="52"/>
      <c r="E888" s="19"/>
      <c r="F888" s="42"/>
      <c r="G888" s="42"/>
      <c r="H888" s="42"/>
      <c r="I888" s="42"/>
      <c r="J888" s="42"/>
      <c r="K888" s="42"/>
      <c r="L888" s="42"/>
      <c r="M888" s="42"/>
      <c r="N888" s="52"/>
    </row>
    <row r="889" spans="1:14" ht="20.100000000000001" customHeight="1" x14ac:dyDescent="0.25">
      <c r="A889" s="39"/>
      <c r="B889" s="67"/>
      <c r="C889" s="42"/>
      <c r="D889" s="52"/>
      <c r="E889" s="19"/>
      <c r="F889" s="42"/>
      <c r="G889" s="42"/>
      <c r="H889" s="42"/>
      <c r="I889" s="42"/>
      <c r="J889" s="42"/>
      <c r="K889" s="42"/>
      <c r="L889" s="42"/>
      <c r="M889" s="42"/>
      <c r="N889" s="52"/>
    </row>
    <row r="890" spans="1:14" ht="20.100000000000001" customHeight="1" x14ac:dyDescent="0.25">
      <c r="A890" s="39"/>
      <c r="B890" s="67"/>
      <c r="C890" s="42"/>
      <c r="D890" s="52"/>
      <c r="E890" s="19"/>
      <c r="F890" s="42"/>
      <c r="G890" s="42"/>
      <c r="H890" s="42"/>
      <c r="I890" s="42"/>
      <c r="J890" s="42"/>
      <c r="K890" s="42"/>
      <c r="L890" s="42"/>
      <c r="M890" s="42"/>
      <c r="N890" s="52"/>
    </row>
    <row r="891" spans="1:14" ht="20.100000000000001" customHeight="1" x14ac:dyDescent="0.25">
      <c r="A891" s="39"/>
      <c r="B891" s="67"/>
      <c r="C891" s="42"/>
      <c r="D891" s="52"/>
      <c r="E891" s="19"/>
      <c r="F891" s="42"/>
      <c r="G891" s="42"/>
      <c r="H891" s="42"/>
      <c r="I891" s="42"/>
      <c r="J891" s="42"/>
      <c r="K891" s="42"/>
      <c r="L891" s="42"/>
      <c r="M891" s="42"/>
      <c r="N891" s="52"/>
    </row>
    <row r="892" spans="1:14" ht="20.100000000000001" customHeight="1" x14ac:dyDescent="0.25">
      <c r="A892" s="39"/>
      <c r="B892" s="67"/>
      <c r="C892" s="42"/>
      <c r="D892" s="52"/>
      <c r="E892" s="19"/>
      <c r="F892" s="42"/>
      <c r="G892" s="42"/>
      <c r="H892" s="42"/>
      <c r="I892" s="42"/>
      <c r="J892" s="42"/>
      <c r="K892" s="42"/>
      <c r="L892" s="42"/>
      <c r="M892" s="42"/>
      <c r="N892" s="52"/>
    </row>
    <row r="893" spans="1:14" ht="20.100000000000001" customHeight="1" x14ac:dyDescent="0.25">
      <c r="A893" s="39"/>
      <c r="B893" s="67"/>
      <c r="C893" s="42"/>
      <c r="D893" s="52"/>
      <c r="E893" s="19"/>
      <c r="F893" s="42"/>
      <c r="G893" s="42"/>
      <c r="H893" s="42"/>
      <c r="I893" s="42"/>
      <c r="J893" s="42"/>
      <c r="K893" s="42"/>
      <c r="L893" s="42"/>
      <c r="M893" s="42"/>
      <c r="N893" s="52"/>
    </row>
    <row r="894" spans="1:14" ht="20.100000000000001" customHeight="1" x14ac:dyDescent="0.25">
      <c r="A894" s="39"/>
      <c r="B894" s="67"/>
      <c r="C894" s="42"/>
      <c r="D894" s="52"/>
      <c r="E894" s="19"/>
      <c r="F894" s="42"/>
      <c r="G894" s="42"/>
      <c r="H894" s="42"/>
      <c r="I894" s="42"/>
      <c r="J894" s="42"/>
      <c r="K894" s="42"/>
      <c r="L894" s="42"/>
      <c r="M894" s="42"/>
      <c r="N894" s="52"/>
    </row>
    <row r="895" spans="1:14" ht="20.100000000000001" customHeight="1" x14ac:dyDescent="0.25">
      <c r="A895" s="39"/>
      <c r="B895" s="67"/>
      <c r="C895" s="42"/>
      <c r="D895" s="52"/>
      <c r="E895" s="19"/>
      <c r="F895" s="42"/>
      <c r="G895" s="42"/>
      <c r="H895" s="42"/>
      <c r="I895" s="42"/>
      <c r="J895" s="42"/>
      <c r="K895" s="42"/>
      <c r="L895" s="42"/>
      <c r="M895" s="42"/>
      <c r="N895" s="52"/>
    </row>
    <row r="896" spans="1:14" ht="20.100000000000001" customHeight="1" x14ac:dyDescent="0.25">
      <c r="A896" s="39"/>
      <c r="B896" s="67"/>
      <c r="C896" s="42"/>
      <c r="D896" s="52"/>
      <c r="E896" s="19"/>
      <c r="F896" s="42"/>
      <c r="G896" s="42"/>
      <c r="H896" s="42"/>
      <c r="I896" s="42"/>
      <c r="J896" s="42"/>
      <c r="K896" s="42"/>
      <c r="L896" s="42"/>
      <c r="M896" s="42"/>
      <c r="N896" s="52"/>
    </row>
    <row r="897" spans="1:14" ht="20.100000000000001" customHeight="1" x14ac:dyDescent="0.25">
      <c r="A897" s="39"/>
      <c r="B897" s="67"/>
      <c r="C897" s="42"/>
      <c r="D897" s="52"/>
      <c r="E897" s="19"/>
      <c r="F897" s="42"/>
      <c r="G897" s="42"/>
      <c r="H897" s="42"/>
      <c r="I897" s="42"/>
      <c r="J897" s="42"/>
      <c r="K897" s="42"/>
      <c r="L897" s="42"/>
      <c r="M897" s="42"/>
      <c r="N897" s="52"/>
    </row>
    <row r="898" spans="1:14" ht="20.100000000000001" customHeight="1" x14ac:dyDescent="0.25">
      <c r="A898" s="39"/>
      <c r="B898" s="67"/>
      <c r="C898" s="42"/>
      <c r="D898" s="52"/>
      <c r="E898" s="19"/>
      <c r="F898" s="42"/>
      <c r="G898" s="42"/>
      <c r="H898" s="42"/>
      <c r="I898" s="42"/>
      <c r="J898" s="42"/>
      <c r="K898" s="42"/>
      <c r="L898" s="42"/>
      <c r="M898" s="42"/>
      <c r="N898" s="52"/>
    </row>
    <row r="899" spans="1:14" ht="20.100000000000001" customHeight="1" x14ac:dyDescent="0.25">
      <c r="A899" s="39"/>
      <c r="B899" s="67"/>
      <c r="C899" s="42"/>
      <c r="D899" s="52"/>
      <c r="E899" s="19"/>
      <c r="F899" s="42"/>
      <c r="G899" s="42"/>
      <c r="H899" s="42"/>
      <c r="I899" s="42"/>
      <c r="J899" s="42"/>
      <c r="K899" s="42"/>
      <c r="L899" s="42"/>
      <c r="M899" s="42"/>
      <c r="N899" s="52"/>
    </row>
    <row r="900" spans="1:14" ht="20.100000000000001" customHeight="1" x14ac:dyDescent="0.25">
      <c r="A900" s="39"/>
      <c r="B900" s="67"/>
      <c r="C900" s="42"/>
      <c r="D900" s="52"/>
      <c r="E900" s="19"/>
      <c r="F900" s="42"/>
      <c r="G900" s="42"/>
      <c r="H900" s="42"/>
      <c r="I900" s="42"/>
      <c r="J900" s="42"/>
      <c r="K900" s="42"/>
      <c r="L900" s="42"/>
      <c r="M900" s="42"/>
      <c r="N900" s="52"/>
    </row>
    <row r="901" spans="1:14" ht="20.100000000000001" customHeight="1" x14ac:dyDescent="0.25">
      <c r="A901" s="39"/>
      <c r="B901" s="67"/>
      <c r="C901" s="42"/>
      <c r="D901" s="52"/>
      <c r="E901" s="19"/>
      <c r="F901" s="42"/>
      <c r="G901" s="42"/>
      <c r="H901" s="42"/>
      <c r="I901" s="42"/>
      <c r="J901" s="42"/>
      <c r="K901" s="42"/>
      <c r="L901" s="42"/>
      <c r="M901" s="42"/>
      <c r="N901" s="52"/>
    </row>
    <row r="902" spans="1:14" ht="20.100000000000001" customHeight="1" x14ac:dyDescent="0.25">
      <c r="A902" s="39"/>
      <c r="B902" s="67"/>
      <c r="C902" s="42"/>
      <c r="D902" s="52"/>
      <c r="E902" s="19"/>
      <c r="F902" s="42"/>
      <c r="G902" s="42"/>
      <c r="H902" s="42"/>
      <c r="I902" s="42"/>
      <c r="J902" s="42"/>
      <c r="K902" s="42"/>
      <c r="L902" s="42"/>
      <c r="M902" s="42"/>
      <c r="N902" s="52"/>
    </row>
    <row r="903" spans="1:14" ht="20.100000000000001" customHeight="1" x14ac:dyDescent="0.25">
      <c r="A903" s="39"/>
      <c r="B903" s="67"/>
      <c r="C903" s="42"/>
      <c r="D903" s="52"/>
      <c r="E903" s="19"/>
      <c r="F903" s="42"/>
      <c r="G903" s="42"/>
      <c r="H903" s="42"/>
      <c r="I903" s="42"/>
      <c r="J903" s="42"/>
      <c r="K903" s="42"/>
      <c r="L903" s="42"/>
      <c r="M903" s="42"/>
      <c r="N903" s="52" t="str">
        <f>CONCATENATE("(",A903,",'",B903,"','",C903,"','",TEXT(E903,"aaaa-mm-jj"),"','",TEXT(F903,"aaaa-mm-jj"),"',",H903,",",I903,",",K903,"),")</f>
        <v>(,'','','1900-01-00','1900-01-00',,,),</v>
      </c>
    </row>
    <row r="904" spans="1:14" ht="20.100000000000001" customHeight="1" x14ac:dyDescent="0.25">
      <c r="A904" s="39"/>
      <c r="B904" s="67"/>
      <c r="C904" s="42"/>
      <c r="D904" s="52"/>
      <c r="E904" s="19"/>
      <c r="F904" s="42"/>
      <c r="G904" s="42"/>
      <c r="H904" s="42"/>
      <c r="I904" s="42"/>
      <c r="J904" s="42"/>
      <c r="K904" s="42"/>
      <c r="L904" s="42"/>
      <c r="M904" s="42"/>
      <c r="N904" s="52" t="str">
        <f>CONCATENATE("(",A904,",'",B904,"','",C904,"','",TEXT(E904,"aaaa-mm-jj"),"','",TEXT(F904,"aaaa-mm-jj"),"',",H904,",",I904,",",K904,"),")</f>
        <v>(,'','','1900-01-00','1900-01-00',,,),</v>
      </c>
    </row>
    <row r="905" spans="1:14" ht="20.100000000000001" customHeight="1" x14ac:dyDescent="0.25">
      <c r="A905" s="39"/>
      <c r="B905" s="67"/>
      <c r="C905" s="42"/>
      <c r="D905" s="52"/>
      <c r="E905" s="19"/>
      <c r="F905" s="42"/>
      <c r="G905" s="42"/>
      <c r="H905" s="42"/>
      <c r="I905" s="42"/>
      <c r="J905" s="42"/>
      <c r="K905" s="42"/>
      <c r="L905" s="42"/>
      <c r="M905" s="42"/>
      <c r="N905" s="52" t="str">
        <f>CONCATENATE("(",A905,",'",B905,"','",C905,"','",TEXT(E905,"aaaa-mm-jj"),"','",TEXT(F905,"aaaa-mm-jj"),"',",H905,",",I905,",",K905,"),")</f>
        <v>(,'','','1900-01-00','1900-01-00',,,),</v>
      </c>
    </row>
  </sheetData>
  <autoFilter ref="A2:N905"/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"/>
  <sheetViews>
    <sheetView tabSelected="1" workbookViewId="0">
      <selection activeCell="C13" sqref="C13"/>
    </sheetView>
  </sheetViews>
  <sheetFormatPr baseColWidth="10" defaultRowHeight="15" x14ac:dyDescent="0.25"/>
  <sheetData>
    <row r="13" spans="3:3" ht="15.75" x14ac:dyDescent="0.25">
      <c r="C13" s="52" t="s">
        <v>727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I3" sqref="I3"/>
    </sheetView>
  </sheetViews>
  <sheetFormatPr baseColWidth="10" defaultRowHeight="18" x14ac:dyDescent="0.25"/>
  <cols>
    <col min="1" max="1" width="18" style="72" bestFit="1" customWidth="1"/>
    <col min="2" max="10" width="18.7109375" style="72" customWidth="1"/>
    <col min="11" max="16384" width="11.42578125" style="72"/>
  </cols>
  <sheetData>
    <row r="1" spans="1:10" ht="24.95" customHeight="1" x14ac:dyDescent="0.25">
      <c r="A1" s="73"/>
      <c r="B1" s="81" t="s">
        <v>3370</v>
      </c>
      <c r="C1" s="81"/>
      <c r="D1" s="81"/>
      <c r="E1" s="81" t="s">
        <v>3382</v>
      </c>
      <c r="F1" s="81"/>
      <c r="G1" s="81"/>
      <c r="H1" s="81" t="s">
        <v>1277</v>
      </c>
      <c r="I1" s="81"/>
      <c r="J1" s="81"/>
    </row>
    <row r="2" spans="1:10" ht="24.95" customHeight="1" x14ac:dyDescent="0.25">
      <c r="A2" s="73"/>
      <c r="B2" s="77" t="s">
        <v>3371</v>
      </c>
      <c r="C2" s="77" t="s">
        <v>3372</v>
      </c>
      <c r="D2" s="77" t="s">
        <v>3373</v>
      </c>
      <c r="E2" s="77" t="s">
        <v>3371</v>
      </c>
      <c r="F2" s="77" t="s">
        <v>3372</v>
      </c>
      <c r="G2" s="77" t="s">
        <v>3373</v>
      </c>
      <c r="H2" s="77" t="s">
        <v>3371</v>
      </c>
      <c r="I2" s="77" t="s">
        <v>3372</v>
      </c>
      <c r="J2" s="77" t="s">
        <v>3373</v>
      </c>
    </row>
    <row r="3" spans="1:10" ht="24.95" customHeight="1" x14ac:dyDescent="0.25">
      <c r="A3" s="78" t="s">
        <v>371</v>
      </c>
      <c r="B3" s="74">
        <v>0</v>
      </c>
      <c r="C3" s="74">
        <v>0</v>
      </c>
      <c r="D3" s="74">
        <v>4</v>
      </c>
      <c r="E3" s="74"/>
      <c r="F3" s="74"/>
      <c r="G3" s="74"/>
      <c r="H3" s="74">
        <v>0</v>
      </c>
      <c r="I3" s="74">
        <v>0</v>
      </c>
      <c r="J3" s="74">
        <v>0</v>
      </c>
    </row>
    <row r="4" spans="1:10" ht="24.95" customHeight="1" x14ac:dyDescent="0.25">
      <c r="A4" s="78" t="s">
        <v>3374</v>
      </c>
      <c r="B4" s="74">
        <v>15</v>
      </c>
      <c r="C4" s="74">
        <v>0</v>
      </c>
      <c r="D4" s="74">
        <v>0</v>
      </c>
      <c r="E4" s="74"/>
      <c r="F4" s="74"/>
      <c r="G4" s="74"/>
      <c r="H4" s="74">
        <v>0</v>
      </c>
      <c r="I4" s="74">
        <v>0</v>
      </c>
      <c r="J4" s="74">
        <v>0</v>
      </c>
    </row>
    <row r="5" spans="1:10" ht="24.95" customHeight="1" x14ac:dyDescent="0.25">
      <c r="A5" s="78" t="s">
        <v>646</v>
      </c>
      <c r="B5" s="74">
        <v>0</v>
      </c>
      <c r="C5" s="74">
        <v>0</v>
      </c>
      <c r="D5" s="74">
        <v>0</v>
      </c>
      <c r="E5" s="74"/>
      <c r="F5" s="74"/>
      <c r="G5" s="74"/>
      <c r="H5" s="74">
        <v>0</v>
      </c>
      <c r="I5" s="74">
        <v>0</v>
      </c>
      <c r="J5" s="74">
        <v>0</v>
      </c>
    </row>
    <row r="6" spans="1:10" ht="24.95" customHeight="1" x14ac:dyDescent="0.25">
      <c r="A6" s="78" t="s">
        <v>3375</v>
      </c>
      <c r="B6" s="74">
        <v>5</v>
      </c>
      <c r="C6" s="74">
        <v>0</v>
      </c>
      <c r="D6" s="74">
        <v>0</v>
      </c>
      <c r="E6" s="74"/>
      <c r="F6" s="74"/>
      <c r="G6" s="74"/>
      <c r="H6" s="74">
        <v>0</v>
      </c>
      <c r="I6" s="74">
        <v>0</v>
      </c>
      <c r="J6" s="74">
        <v>0</v>
      </c>
    </row>
    <row r="7" spans="1:10" ht="24.95" customHeight="1" x14ac:dyDescent="0.25">
      <c r="A7" s="78" t="s">
        <v>659</v>
      </c>
      <c r="B7" s="74">
        <v>0</v>
      </c>
      <c r="C7" s="74">
        <v>0</v>
      </c>
      <c r="D7" s="74">
        <v>0</v>
      </c>
      <c r="E7" s="74"/>
      <c r="F7" s="74"/>
      <c r="G7" s="74"/>
      <c r="H7" s="74">
        <v>0</v>
      </c>
      <c r="I7" s="74">
        <v>0</v>
      </c>
      <c r="J7" s="74">
        <v>0</v>
      </c>
    </row>
    <row r="8" spans="1:10" ht="24.95" customHeight="1" x14ac:dyDescent="0.25">
      <c r="A8" s="78" t="s">
        <v>411</v>
      </c>
      <c r="B8" s="74">
        <v>1</v>
      </c>
      <c r="C8" s="74">
        <v>0</v>
      </c>
      <c r="D8" s="74">
        <v>0</v>
      </c>
      <c r="E8" s="74"/>
      <c r="F8" s="74"/>
      <c r="G8" s="74"/>
      <c r="H8" s="74">
        <v>0</v>
      </c>
      <c r="I8" s="74">
        <v>0</v>
      </c>
      <c r="J8" s="74">
        <v>0</v>
      </c>
    </row>
    <row r="9" spans="1:10" ht="24.95" customHeight="1" x14ac:dyDescent="0.25">
      <c r="A9" s="78" t="s">
        <v>3376</v>
      </c>
      <c r="B9" s="74">
        <v>6</v>
      </c>
      <c r="C9" s="74">
        <v>0</v>
      </c>
      <c r="D9" s="74">
        <v>1</v>
      </c>
      <c r="E9" s="74"/>
      <c r="F9" s="74"/>
      <c r="G9" s="74"/>
      <c r="H9" s="74">
        <v>0</v>
      </c>
      <c r="I9" s="74">
        <v>0</v>
      </c>
      <c r="J9" s="74">
        <v>0</v>
      </c>
    </row>
    <row r="10" spans="1:10" ht="24.95" customHeight="1" x14ac:dyDescent="0.25">
      <c r="A10" s="78" t="s">
        <v>3377</v>
      </c>
      <c r="B10" s="74">
        <v>0</v>
      </c>
      <c r="C10" s="74">
        <v>0</v>
      </c>
      <c r="D10" s="74">
        <v>0</v>
      </c>
      <c r="E10" s="74"/>
      <c r="F10" s="74"/>
      <c r="G10" s="74"/>
      <c r="H10" s="74">
        <v>0</v>
      </c>
      <c r="I10" s="74">
        <v>0</v>
      </c>
      <c r="J10" s="74">
        <v>0</v>
      </c>
    </row>
    <row r="11" spans="1:10" ht="24.95" customHeight="1" x14ac:dyDescent="0.25">
      <c r="A11" s="78" t="s">
        <v>438</v>
      </c>
      <c r="B11" s="74">
        <v>1</v>
      </c>
      <c r="C11" s="74">
        <v>0</v>
      </c>
      <c r="D11" s="74">
        <v>0</v>
      </c>
      <c r="E11" s="74"/>
      <c r="F11" s="74"/>
      <c r="G11" s="74"/>
      <c r="H11" s="74">
        <v>0</v>
      </c>
      <c r="I11" s="74">
        <v>0</v>
      </c>
      <c r="J11" s="74">
        <v>0</v>
      </c>
    </row>
    <row r="12" spans="1:10" ht="24.95" customHeight="1" x14ac:dyDescent="0.25">
      <c r="A12" s="78" t="s">
        <v>3378</v>
      </c>
      <c r="B12" s="74">
        <v>1</v>
      </c>
      <c r="C12" s="74">
        <v>0</v>
      </c>
      <c r="D12" s="74">
        <v>0</v>
      </c>
      <c r="E12" s="74"/>
      <c r="F12" s="74"/>
      <c r="G12" s="74"/>
      <c r="H12" s="74">
        <v>0</v>
      </c>
      <c r="I12" s="74">
        <v>0</v>
      </c>
      <c r="J12" s="74">
        <v>0</v>
      </c>
    </row>
    <row r="13" spans="1:10" ht="24.95" customHeight="1" x14ac:dyDescent="0.25">
      <c r="A13" s="78" t="s">
        <v>3379</v>
      </c>
      <c r="B13" s="74"/>
      <c r="C13" s="74"/>
      <c r="D13" s="74"/>
      <c r="E13" s="74">
        <v>6</v>
      </c>
      <c r="F13" s="74">
        <v>0</v>
      </c>
      <c r="G13" s="74">
        <v>6</v>
      </c>
      <c r="H13" s="74">
        <v>1</v>
      </c>
      <c r="I13" s="74">
        <v>0</v>
      </c>
      <c r="J13" s="74">
        <v>1</v>
      </c>
    </row>
    <row r="14" spans="1:10" ht="24.95" customHeight="1" x14ac:dyDescent="0.25">
      <c r="A14" s="78" t="s">
        <v>309</v>
      </c>
      <c r="B14" s="74"/>
      <c r="C14" s="74"/>
      <c r="D14" s="74"/>
      <c r="E14" s="74">
        <v>4</v>
      </c>
      <c r="F14" s="74">
        <v>0</v>
      </c>
      <c r="G14" s="76">
        <v>1</v>
      </c>
      <c r="H14" s="74">
        <v>0</v>
      </c>
      <c r="I14" s="74">
        <v>0</v>
      </c>
      <c r="J14" s="74">
        <v>0</v>
      </c>
    </row>
    <row r="15" spans="1:10" ht="24.95" customHeight="1" x14ac:dyDescent="0.25">
      <c r="A15" s="78" t="s">
        <v>552</v>
      </c>
      <c r="B15" s="74"/>
      <c r="C15" s="74"/>
      <c r="D15" s="74"/>
      <c r="E15" s="74">
        <v>5</v>
      </c>
      <c r="F15" s="74">
        <v>1</v>
      </c>
      <c r="G15" s="74">
        <v>8</v>
      </c>
      <c r="H15" s="74">
        <v>0</v>
      </c>
      <c r="I15" s="74">
        <v>0</v>
      </c>
      <c r="J15" s="74">
        <v>0</v>
      </c>
    </row>
    <row r="16" spans="1:10" ht="24.95" customHeight="1" x14ac:dyDescent="0.25">
      <c r="A16" s="78" t="s">
        <v>323</v>
      </c>
      <c r="B16" s="74"/>
      <c r="C16" s="74"/>
      <c r="D16" s="74"/>
      <c r="E16" s="74">
        <v>0</v>
      </c>
      <c r="F16" s="74">
        <v>3</v>
      </c>
      <c r="G16" s="74">
        <v>0</v>
      </c>
      <c r="H16" s="74">
        <v>0</v>
      </c>
      <c r="I16" s="74">
        <v>0</v>
      </c>
      <c r="J16" s="74">
        <v>0</v>
      </c>
    </row>
    <row r="17" spans="1:11" ht="24.95" customHeight="1" x14ac:dyDescent="0.25">
      <c r="A17" s="78" t="s">
        <v>3380</v>
      </c>
      <c r="B17" s="74"/>
      <c r="C17" s="74"/>
      <c r="D17" s="74"/>
      <c r="E17" s="74">
        <v>2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</row>
    <row r="18" spans="1:11" ht="24.95" customHeight="1" x14ac:dyDescent="0.25">
      <c r="A18" s="78" t="s">
        <v>592</v>
      </c>
      <c r="B18" s="74"/>
      <c r="C18" s="74"/>
      <c r="D18" s="74"/>
      <c r="E18" s="74">
        <v>1</v>
      </c>
      <c r="F18" s="74">
        <v>1</v>
      </c>
      <c r="G18" s="74">
        <v>0</v>
      </c>
      <c r="H18" s="74">
        <v>0</v>
      </c>
      <c r="I18" s="74">
        <v>0</v>
      </c>
      <c r="J18" s="74">
        <v>0</v>
      </c>
    </row>
    <row r="19" spans="1:11" ht="24.95" customHeight="1" x14ac:dyDescent="0.25">
      <c r="A19" s="78" t="s">
        <v>321</v>
      </c>
      <c r="B19" s="74"/>
      <c r="C19" s="74"/>
      <c r="D19" s="74"/>
      <c r="E19" s="74">
        <v>2</v>
      </c>
      <c r="F19" s="74">
        <v>0</v>
      </c>
      <c r="G19" s="74">
        <v>0</v>
      </c>
      <c r="H19" s="74">
        <v>0</v>
      </c>
      <c r="I19" s="74">
        <v>0</v>
      </c>
      <c r="J19" s="74">
        <v>0</v>
      </c>
    </row>
    <row r="20" spans="1:11" ht="24.95" customHeight="1" x14ac:dyDescent="0.25">
      <c r="A20" s="78" t="s">
        <v>345</v>
      </c>
      <c r="B20" s="74"/>
      <c r="C20" s="74"/>
      <c r="D20" s="74"/>
      <c r="E20" s="74">
        <v>3</v>
      </c>
      <c r="F20" s="74">
        <v>0</v>
      </c>
      <c r="G20" s="74">
        <v>0</v>
      </c>
      <c r="H20" s="74">
        <v>1</v>
      </c>
      <c r="I20" s="74">
        <v>0</v>
      </c>
      <c r="J20" s="74">
        <v>0</v>
      </c>
    </row>
    <row r="21" spans="1:11" ht="24.95" customHeight="1" x14ac:dyDescent="0.25">
      <c r="A21" s="78" t="s">
        <v>348</v>
      </c>
      <c r="B21" s="74"/>
      <c r="C21" s="74"/>
      <c r="D21" s="74"/>
      <c r="E21" s="74">
        <v>2</v>
      </c>
      <c r="F21" s="74">
        <v>0</v>
      </c>
      <c r="G21" s="74">
        <v>0</v>
      </c>
      <c r="H21" s="74">
        <v>0</v>
      </c>
      <c r="I21" s="74">
        <v>0</v>
      </c>
      <c r="J21" s="74">
        <v>0</v>
      </c>
    </row>
    <row r="22" spans="1:11" ht="24.95" customHeight="1" x14ac:dyDescent="0.25">
      <c r="A22" s="78" t="s">
        <v>351</v>
      </c>
      <c r="B22" s="74"/>
      <c r="C22" s="74"/>
      <c r="D22" s="74"/>
      <c r="E22" s="74">
        <v>0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</row>
    <row r="23" spans="1:11" ht="24.95" customHeight="1" x14ac:dyDescent="0.25">
      <c r="A23" s="78" t="s">
        <v>611</v>
      </c>
      <c r="B23" s="74"/>
      <c r="C23" s="74"/>
      <c r="D23" s="74"/>
      <c r="E23" s="74">
        <v>3</v>
      </c>
      <c r="F23" s="74">
        <v>0</v>
      </c>
      <c r="G23" s="74">
        <v>3</v>
      </c>
      <c r="H23" s="74">
        <v>2</v>
      </c>
      <c r="I23" s="74">
        <v>0</v>
      </c>
      <c r="J23" s="74">
        <v>1</v>
      </c>
    </row>
    <row r="24" spans="1:11" ht="24.95" customHeight="1" x14ac:dyDescent="0.25">
      <c r="A24" s="78" t="s">
        <v>3381</v>
      </c>
      <c r="B24" s="74"/>
      <c r="C24" s="74"/>
      <c r="D24" s="74"/>
      <c r="E24" s="74">
        <v>3</v>
      </c>
      <c r="F24" s="74">
        <v>0</v>
      </c>
      <c r="G24" s="74">
        <v>3</v>
      </c>
      <c r="H24" s="74">
        <v>0</v>
      </c>
      <c r="I24" s="74">
        <v>0</v>
      </c>
      <c r="J24" s="74">
        <v>0</v>
      </c>
    </row>
    <row r="25" spans="1:11" ht="24.95" customHeight="1" x14ac:dyDescent="0.25">
      <c r="B25" s="75">
        <f t="shared" ref="B25:I25" si="0">SUM(B3:B24)</f>
        <v>29</v>
      </c>
      <c r="C25" s="75">
        <f t="shared" si="0"/>
        <v>0</v>
      </c>
      <c r="D25" s="75">
        <f t="shared" si="0"/>
        <v>5</v>
      </c>
      <c r="E25" s="75">
        <f t="shared" si="0"/>
        <v>31</v>
      </c>
      <c r="F25" s="75">
        <f t="shared" si="0"/>
        <v>5</v>
      </c>
      <c r="G25" s="75">
        <f t="shared" si="0"/>
        <v>21</v>
      </c>
      <c r="H25" s="75">
        <f t="shared" si="0"/>
        <v>4</v>
      </c>
      <c r="I25" s="75">
        <f t="shared" si="0"/>
        <v>0</v>
      </c>
      <c r="J25" s="79">
        <f>SUM(J3:J24)</f>
        <v>2</v>
      </c>
      <c r="K25" s="74">
        <f>SUM(B25:J25)</f>
        <v>97</v>
      </c>
    </row>
    <row r="26" spans="1:11" ht="24.95" customHeight="1" x14ac:dyDescent="0.25">
      <c r="B26" s="80"/>
      <c r="C26" s="80"/>
      <c r="D26" s="80"/>
      <c r="E26" s="80"/>
      <c r="F26" s="80"/>
      <c r="G26" s="80"/>
      <c r="H26" s="80"/>
      <c r="I26" s="80"/>
      <c r="J26" s="80"/>
      <c r="K26" s="74">
        <f>B25+C25+E25+F25+H25+I25</f>
        <v>69</v>
      </c>
    </row>
    <row r="27" spans="1:11" ht="24.95" customHeight="1" x14ac:dyDescent="0.25">
      <c r="K27" s="74">
        <f>B25+E25+H25</f>
        <v>64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02-03-01</vt:lpstr>
      <vt:lpstr>02-03-08</vt:lpstr>
      <vt:lpstr>02-03-09</vt:lpstr>
      <vt:lpstr>02-03-PS</vt:lpstr>
      <vt:lpstr>02-03-PC</vt:lpstr>
      <vt:lpstr>02-03-PPR</vt:lpstr>
      <vt:lpstr>02-03-PI</vt:lpstr>
      <vt:lpstr>02-03-PP</vt:lpstr>
      <vt:lpstr>02-03-PRVD</vt:lpstr>
      <vt:lpstr>02-03-10</vt:lpstr>
      <vt:lpstr>Feuil1</vt:lpstr>
      <vt:lpstr>Stations</vt:lpstr>
    </vt:vector>
  </TitlesOfParts>
  <Company>SDR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BSR</dc:creator>
  <cp:lastModifiedBy>BSR</cp:lastModifiedBy>
  <dcterms:created xsi:type="dcterms:W3CDTF">2026-02-17T11:47:56Z</dcterms:created>
  <dcterms:modified xsi:type="dcterms:W3CDTF">2026-02-26T08:19:06Z</dcterms:modified>
</cp:coreProperties>
</file>